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PC\Documents\"/>
    </mc:Choice>
  </mc:AlternateContent>
  <xr:revisionPtr revIDLastSave="0" documentId="13_ncr:1_{557358B6-4558-4270-A64E-9FF65A0B7074}" xr6:coauthVersionLast="47" xr6:coauthVersionMax="47" xr10:uidLastSave="{00000000-0000-0000-0000-000000000000}"/>
  <bookViews>
    <workbookView xWindow="-120" yWindow="-120" windowWidth="20730" windowHeight="11160" activeTab="2" xr2:uid="{00000000-000D-0000-FFFF-FFFF00000000}"/>
  </bookViews>
  <sheets>
    <sheet name="SUMMARIES" sheetId="5" r:id="rId1"/>
    <sheet name="DASHBOARD" sheetId="6" r:id="rId2"/>
    <sheet name="_INVESTEMENTDATA_" sheetId="3" r:id="rId3"/>
    <sheet name="_INVESTEMENTDATA" sheetId="2" state="hidden" r:id="rId4"/>
    <sheet name="Investment_Data" sheetId="1" state="hidden" r:id="rId5"/>
  </sheets>
  <definedNames>
    <definedName name="ExternalData_1" localSheetId="3" hidden="1">'_INVESTEMENTDATA'!$A$1:$N$1002</definedName>
    <definedName name="ExternalData_2" localSheetId="2" hidden="1">'_INVESTEMENTDATA_'!$A$1:$N$1002</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I1002" i="1"/>
  <c r="G1002" i="1"/>
  <c r="F1002" i="1"/>
  <c r="K100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2A13B3-2F52-4D4C-8131-AB566EEBD6FD}" keepAlive="1" name="Query - _INVESTEMENTDATA" description="Connection to the '_INVESTEMENTDATA' query in the workbook." type="5" refreshedVersion="8" background="1" saveData="1">
    <dbPr connection="Provider=Microsoft.Mashup.OleDb.1;Data Source=$Workbook$;Location=_INVESTEMENTDATA;Extended Properties=&quot;&quot;" command="SELECT * FROM [_INVESTEMENTDATA]"/>
  </connection>
  <connection id="2" xr16:uid="{B5E18270-3AAC-4AAB-BB74-0AF2EB160D7C}" keepAlive="1" name="Query - _INVESTEMENTDATA_" description="Connection to the '_INVESTEMENTDATA_' query in the workbook." type="5" refreshedVersion="8" background="1" saveData="1">
    <dbPr connection="Provider=Microsoft.Mashup.OleDb.1;Data Source=$Workbook$;Location=_INVESTEMENTDATA_;Extended Properties=&quot;&quot;" command="SELECT * FROM [_INVESTEMENTDATA_]"/>
  </connection>
</connections>
</file>

<file path=xl/sharedStrings.xml><?xml version="1.0" encoding="utf-8"?>
<sst xmlns="http://schemas.openxmlformats.org/spreadsheetml/2006/main" count="16083" uniqueCount="1863">
  <si>
    <t>Investor_ID</t>
  </si>
  <si>
    <t>Gender</t>
  </si>
  <si>
    <t>Age</t>
  </si>
  <si>
    <t>Investment_Type</t>
  </si>
  <si>
    <t>Sector</t>
  </si>
  <si>
    <t>Region</t>
  </si>
  <si>
    <t>Investment_Amount</t>
  </si>
  <si>
    <t>Expected_Return_%</t>
  </si>
  <si>
    <t>Actual_Return_%</t>
  </si>
  <si>
    <t>Investment_Date</t>
  </si>
  <si>
    <t>INV0001</t>
  </si>
  <si>
    <t>Male</t>
  </si>
  <si>
    <t>Crypto</t>
  </si>
  <si>
    <t>Healthcare</t>
  </si>
  <si>
    <t>Ibadan</t>
  </si>
  <si>
    <t>2023-05-21</t>
  </si>
  <si>
    <t>INV0002</t>
  </si>
  <si>
    <t>Female</t>
  </si>
  <si>
    <t>Stocks</t>
  </si>
  <si>
    <t>Energy</t>
  </si>
  <si>
    <t>Port Harcourt</t>
  </si>
  <si>
    <t>2019-10-08</t>
  </si>
  <si>
    <t>INV0003</t>
  </si>
  <si>
    <t>Consumer Goods</t>
  </si>
  <si>
    <t>2018-02-11</t>
  </si>
  <si>
    <t>INV0004</t>
  </si>
  <si>
    <t>2022-04-20</t>
  </si>
  <si>
    <t>INV0005</t>
  </si>
  <si>
    <t>Real Estate</t>
  </si>
  <si>
    <t>Agriculture</t>
  </si>
  <si>
    <t>Abuja</t>
  </si>
  <si>
    <t>2020-03-03</t>
  </si>
  <si>
    <t>INV0006</t>
  </si>
  <si>
    <t>2019-07-22</t>
  </si>
  <si>
    <t>INV0007</t>
  </si>
  <si>
    <t>Onitsha</t>
  </si>
  <si>
    <t>2019-09-22</t>
  </si>
  <si>
    <t>INV0008</t>
  </si>
  <si>
    <t>Bonds</t>
  </si>
  <si>
    <t>2023-09-17</t>
  </si>
  <si>
    <t>INV0009</t>
  </si>
  <si>
    <t>Lagos</t>
  </si>
  <si>
    <t>2022-10-08</t>
  </si>
  <si>
    <t>INV0010</t>
  </si>
  <si>
    <t>2019-11-07</t>
  </si>
  <si>
    <t>INV0011</t>
  </si>
  <si>
    <t>Mutual Funds</t>
  </si>
  <si>
    <t>Enugu</t>
  </si>
  <si>
    <t>2021-12-30</t>
  </si>
  <si>
    <t>INV0012</t>
  </si>
  <si>
    <t>Finance</t>
  </si>
  <si>
    <t>2018-01-18</t>
  </si>
  <si>
    <t>INV0013</t>
  </si>
  <si>
    <t>2018-12-18</t>
  </si>
  <si>
    <t>INV0014</t>
  </si>
  <si>
    <t>2024-02-07</t>
  </si>
  <si>
    <t>INV0015</t>
  </si>
  <si>
    <t>Technology</t>
  </si>
  <si>
    <t>2018-10-19</t>
  </si>
  <si>
    <t>INV0016</t>
  </si>
  <si>
    <t>2023-07-08</t>
  </si>
  <si>
    <t>INV0017</t>
  </si>
  <si>
    <t>2018-02-22</t>
  </si>
  <si>
    <t>INV0018</t>
  </si>
  <si>
    <t>2020-10-01</t>
  </si>
  <si>
    <t>INV0019</t>
  </si>
  <si>
    <t>2022-05-23</t>
  </si>
  <si>
    <t>INV0020</t>
  </si>
  <si>
    <t>2021-04-27</t>
  </si>
  <si>
    <t>INV0021</t>
  </si>
  <si>
    <t>2019-03-21</t>
  </si>
  <si>
    <t>INV0022</t>
  </si>
  <si>
    <t>2022-12-28</t>
  </si>
  <si>
    <t>INV0023</t>
  </si>
  <si>
    <t>2022-03-18</t>
  </si>
  <si>
    <t>INV0024</t>
  </si>
  <si>
    <t>2021-10-23</t>
  </si>
  <si>
    <t>INV0025</t>
  </si>
  <si>
    <t>2024-06-11</t>
  </si>
  <si>
    <t>INV0026</t>
  </si>
  <si>
    <t>2019-03-01</t>
  </si>
  <si>
    <t>INV0027</t>
  </si>
  <si>
    <t>2023-05-08</t>
  </si>
  <si>
    <t>INV0028</t>
  </si>
  <si>
    <t>2024-09-29</t>
  </si>
  <si>
    <t>INV0029</t>
  </si>
  <si>
    <t>2019-06-06</t>
  </si>
  <si>
    <t>INV0030</t>
  </si>
  <si>
    <t>2019-05-26</t>
  </si>
  <si>
    <t>INV0031</t>
  </si>
  <si>
    <t>2020-11-21</t>
  </si>
  <si>
    <t>INV0032</t>
  </si>
  <si>
    <t>2021-02-03</t>
  </si>
  <si>
    <t>INV0033</t>
  </si>
  <si>
    <t>2019-03-13</t>
  </si>
  <si>
    <t>INV0034</t>
  </si>
  <si>
    <t>2022-03-13</t>
  </si>
  <si>
    <t>INV0035</t>
  </si>
  <si>
    <t>2021-04-08</t>
  </si>
  <si>
    <t>INV0036</t>
  </si>
  <si>
    <t>2020-07-26</t>
  </si>
  <si>
    <t>INV0037</t>
  </si>
  <si>
    <t>2018-09-24</t>
  </si>
  <si>
    <t>INV0038</t>
  </si>
  <si>
    <t>2021-02-20</t>
  </si>
  <si>
    <t>INV0039</t>
  </si>
  <si>
    <t>2020-01-29</t>
  </si>
  <si>
    <t>INV0040</t>
  </si>
  <si>
    <t>2022-08-13</t>
  </si>
  <si>
    <t>INV0041</t>
  </si>
  <si>
    <t>INV0042</t>
  </si>
  <si>
    <t>2020-06-05</t>
  </si>
  <si>
    <t>INV0043</t>
  </si>
  <si>
    <t>2020-06-14</t>
  </si>
  <si>
    <t>INV0044</t>
  </si>
  <si>
    <t>2018-10-23</t>
  </si>
  <si>
    <t>INV0045</t>
  </si>
  <si>
    <t>2021-02-13</t>
  </si>
  <si>
    <t>INV0046</t>
  </si>
  <si>
    <t>2023-04-20</t>
  </si>
  <si>
    <t>INV0047</t>
  </si>
  <si>
    <t>2023-12-11</t>
  </si>
  <si>
    <t>INV0048</t>
  </si>
  <si>
    <t>2020-07-06</t>
  </si>
  <si>
    <t>INV0049</t>
  </si>
  <si>
    <t>2023-11-04</t>
  </si>
  <si>
    <t>INV0050</t>
  </si>
  <si>
    <t>2020-03-05</t>
  </si>
  <si>
    <t>INV0051</t>
  </si>
  <si>
    <t>2018-09-17</t>
  </si>
  <si>
    <t>INV0052</t>
  </si>
  <si>
    <t>2023-03-08</t>
  </si>
  <si>
    <t>INV0053</t>
  </si>
  <si>
    <t>2019-09-26</t>
  </si>
  <si>
    <t>INV0054</t>
  </si>
  <si>
    <t>2020-01-21</t>
  </si>
  <si>
    <t>INV0055</t>
  </si>
  <si>
    <t>2021-11-13</t>
  </si>
  <si>
    <t>INV0056</t>
  </si>
  <si>
    <t>2024-07-13</t>
  </si>
  <si>
    <t>INV0057</t>
  </si>
  <si>
    <t>2021-06-17</t>
  </si>
  <si>
    <t>INV0058</t>
  </si>
  <si>
    <t>2023-12-16</t>
  </si>
  <si>
    <t>INV0059</t>
  </si>
  <si>
    <t>2019-02-01</t>
  </si>
  <si>
    <t>INV0060</t>
  </si>
  <si>
    <t>2018-07-28</t>
  </si>
  <si>
    <t>INV0061</t>
  </si>
  <si>
    <t>2021-01-01</t>
  </si>
  <si>
    <t>INV0062</t>
  </si>
  <si>
    <t>2022-08-28</t>
  </si>
  <si>
    <t>INV0063</t>
  </si>
  <si>
    <t>2018-09-08</t>
  </si>
  <si>
    <t>INV0064</t>
  </si>
  <si>
    <t>2021-03-18</t>
  </si>
  <si>
    <t>INV0065</t>
  </si>
  <si>
    <t>2019-02-04</t>
  </si>
  <si>
    <t>INV0066</t>
  </si>
  <si>
    <t>2022-05-13</t>
  </si>
  <si>
    <t>INV0067</t>
  </si>
  <si>
    <t>2024-05-21</t>
  </si>
  <si>
    <t>INV0068</t>
  </si>
  <si>
    <t>2024-05-11</t>
  </si>
  <si>
    <t>INV0069</t>
  </si>
  <si>
    <t>INV0070</t>
  </si>
  <si>
    <t>2022-10-18</t>
  </si>
  <si>
    <t>INV0071</t>
  </si>
  <si>
    <t>2024-02-26</t>
  </si>
  <si>
    <t>INV0072</t>
  </si>
  <si>
    <t>2021-05-20</t>
  </si>
  <si>
    <t>INV0073</t>
  </si>
  <si>
    <t>2018-12-24</t>
  </si>
  <si>
    <t>INV0074</t>
  </si>
  <si>
    <t>2020-12-10</t>
  </si>
  <si>
    <t>INV0075</t>
  </si>
  <si>
    <t>2020-05-19</t>
  </si>
  <si>
    <t>INV0076</t>
  </si>
  <si>
    <t>2022-09-24</t>
  </si>
  <si>
    <t>INV0077</t>
  </si>
  <si>
    <t>2024-07-05</t>
  </si>
  <si>
    <t>INV0078</t>
  </si>
  <si>
    <t>2021-06-07</t>
  </si>
  <si>
    <t>INV0079</t>
  </si>
  <si>
    <t>2024-09-17</t>
  </si>
  <si>
    <t>INV0080</t>
  </si>
  <si>
    <t>2018-02-10</t>
  </si>
  <si>
    <t>INV0081</t>
  </si>
  <si>
    <t>2020-10-04</t>
  </si>
  <si>
    <t>INV0082</t>
  </si>
  <si>
    <t>2018-04-10</t>
  </si>
  <si>
    <t>INV0083</t>
  </si>
  <si>
    <t>2023-05-07</t>
  </si>
  <si>
    <t>INV0084</t>
  </si>
  <si>
    <t>2019-05-25</t>
  </si>
  <si>
    <t>INV0085</t>
  </si>
  <si>
    <t>2022-10-03</t>
  </si>
  <si>
    <t>INV0086</t>
  </si>
  <si>
    <t>2024-07-21</t>
  </si>
  <si>
    <t>INV0087</t>
  </si>
  <si>
    <t>2019-12-22</t>
  </si>
  <si>
    <t>INV0088</t>
  </si>
  <si>
    <t>2018-02-15</t>
  </si>
  <si>
    <t>INV0089</t>
  </si>
  <si>
    <t>2019-01-29</t>
  </si>
  <si>
    <t>INV0090</t>
  </si>
  <si>
    <t>2023-04-14</t>
  </si>
  <si>
    <t>INV0091</t>
  </si>
  <si>
    <t>2021-10-17</t>
  </si>
  <si>
    <t>INV0092</t>
  </si>
  <si>
    <t>2021-07-29</t>
  </si>
  <si>
    <t>INV0093</t>
  </si>
  <si>
    <t>2018-04-09</t>
  </si>
  <si>
    <t>INV0094</t>
  </si>
  <si>
    <t>2018-08-01</t>
  </si>
  <si>
    <t>INV0095</t>
  </si>
  <si>
    <t>2024-03-07</t>
  </si>
  <si>
    <t>INV0096</t>
  </si>
  <si>
    <t>2021-01-18</t>
  </si>
  <si>
    <t>INV0097</t>
  </si>
  <si>
    <t>2021-10-07</t>
  </si>
  <si>
    <t>INV0098</t>
  </si>
  <si>
    <t>2021-03-22</t>
  </si>
  <si>
    <t>INV0099</t>
  </si>
  <si>
    <t>2019-07-27</t>
  </si>
  <si>
    <t>INV0100</t>
  </si>
  <si>
    <t>2024-09-08</t>
  </si>
  <si>
    <t>INV0101</t>
  </si>
  <si>
    <t>2022-07-25</t>
  </si>
  <si>
    <t>INV0102</t>
  </si>
  <si>
    <t>2020-04-25</t>
  </si>
  <si>
    <t>INV0103</t>
  </si>
  <si>
    <t>2019-08-02</t>
  </si>
  <si>
    <t>INV0104</t>
  </si>
  <si>
    <t>2019-03-03</t>
  </si>
  <si>
    <t>INV0105</t>
  </si>
  <si>
    <t>2019-09-08</t>
  </si>
  <si>
    <t>INV0106</t>
  </si>
  <si>
    <t>2020-01-08</t>
  </si>
  <si>
    <t>INV0107</t>
  </si>
  <si>
    <t>2023-12-01</t>
  </si>
  <si>
    <t>INV0108</t>
  </si>
  <si>
    <t>2021-07-04</t>
  </si>
  <si>
    <t>INV0109</t>
  </si>
  <si>
    <t>2020-08-12</t>
  </si>
  <si>
    <t>INV0110</t>
  </si>
  <si>
    <t>INV0111</t>
  </si>
  <si>
    <t>2022-12-08</t>
  </si>
  <si>
    <t>INV0112</t>
  </si>
  <si>
    <t>2021-09-27</t>
  </si>
  <si>
    <t>INV0113</t>
  </si>
  <si>
    <t>2023-10-24</t>
  </si>
  <si>
    <t>INV0114</t>
  </si>
  <si>
    <t>2023-03-19</t>
  </si>
  <si>
    <t>INV0115</t>
  </si>
  <si>
    <t>2021-07-11</t>
  </si>
  <si>
    <t>INV0116</t>
  </si>
  <si>
    <t>2018-04-07</t>
  </si>
  <si>
    <t>INV0117</t>
  </si>
  <si>
    <t>2023-02-10</t>
  </si>
  <si>
    <t>INV0118</t>
  </si>
  <si>
    <t>2018-04-28</t>
  </si>
  <si>
    <t>INV0119</t>
  </si>
  <si>
    <t>2023-06-21</t>
  </si>
  <si>
    <t>INV0120</t>
  </si>
  <si>
    <t>2021-12-02</t>
  </si>
  <si>
    <t>INV0121</t>
  </si>
  <si>
    <t>2024-06-18</t>
  </si>
  <si>
    <t>INV0122</t>
  </si>
  <si>
    <t>2022-07-17</t>
  </si>
  <si>
    <t>INV0123</t>
  </si>
  <si>
    <t>2023-07-19</t>
  </si>
  <si>
    <t>INV0124</t>
  </si>
  <si>
    <t>2023-07-01</t>
  </si>
  <si>
    <t>INV0125</t>
  </si>
  <si>
    <t>INV0126</t>
  </si>
  <si>
    <t>INV0127</t>
  </si>
  <si>
    <t>2023-07-29</t>
  </si>
  <si>
    <t>INV0128</t>
  </si>
  <si>
    <t>2023-05-03</t>
  </si>
  <si>
    <t>INV0129</t>
  </si>
  <si>
    <t>2021-06-30</t>
  </si>
  <si>
    <t>INV0130</t>
  </si>
  <si>
    <t>2021-01-15</t>
  </si>
  <si>
    <t>INV0131</t>
  </si>
  <si>
    <t>2020-08-11</t>
  </si>
  <si>
    <t>INV0132</t>
  </si>
  <si>
    <t>2024-05-14</t>
  </si>
  <si>
    <t>INV0133</t>
  </si>
  <si>
    <t>2020-02-03</t>
  </si>
  <si>
    <t>INV0134</t>
  </si>
  <si>
    <t>2022-09-18</t>
  </si>
  <si>
    <t>INV0135</t>
  </si>
  <si>
    <t>2021-07-01</t>
  </si>
  <si>
    <t>INV0136</t>
  </si>
  <si>
    <t>2018-12-25</t>
  </si>
  <si>
    <t>INV0137</t>
  </si>
  <si>
    <t>2019-12-07</t>
  </si>
  <si>
    <t>INV0138</t>
  </si>
  <si>
    <t>2020-03-19</t>
  </si>
  <si>
    <t>INV0139</t>
  </si>
  <si>
    <t>2024-02-18</t>
  </si>
  <si>
    <t>INV0140</t>
  </si>
  <si>
    <t>2022-12-17</t>
  </si>
  <si>
    <t>INV0141</t>
  </si>
  <si>
    <t>2022-12-04</t>
  </si>
  <si>
    <t>INV0142</t>
  </si>
  <si>
    <t>INV0143</t>
  </si>
  <si>
    <t>2020-03-31</t>
  </si>
  <si>
    <t>INV0144</t>
  </si>
  <si>
    <t>2024-04-14</t>
  </si>
  <si>
    <t>INV0145</t>
  </si>
  <si>
    <t>2022-12-23</t>
  </si>
  <si>
    <t>INV0146</t>
  </si>
  <si>
    <t>2023-06-24</t>
  </si>
  <si>
    <t>INV0147</t>
  </si>
  <si>
    <t>2020-02-17</t>
  </si>
  <si>
    <t>INV0148</t>
  </si>
  <si>
    <t>2018-01-26</t>
  </si>
  <si>
    <t>INV0149</t>
  </si>
  <si>
    <t>2024-08-30</t>
  </si>
  <si>
    <t>INV0150</t>
  </si>
  <si>
    <t>2020-08-13</t>
  </si>
  <si>
    <t>INV0151</t>
  </si>
  <si>
    <t>2022-04-19</t>
  </si>
  <si>
    <t>INV0152</t>
  </si>
  <si>
    <t>2023-03-18</t>
  </si>
  <si>
    <t>INV0153</t>
  </si>
  <si>
    <t>2018-05-12</t>
  </si>
  <si>
    <t>INV0154</t>
  </si>
  <si>
    <t>2024-10-16</t>
  </si>
  <si>
    <t>INV0155</t>
  </si>
  <si>
    <t>2020-10-05</t>
  </si>
  <si>
    <t>INV0156</t>
  </si>
  <si>
    <t>2021-07-24</t>
  </si>
  <si>
    <t>INV0157</t>
  </si>
  <si>
    <t>2018-05-20</t>
  </si>
  <si>
    <t>INV0158</t>
  </si>
  <si>
    <t>2019-08-15</t>
  </si>
  <si>
    <t>INV0159</t>
  </si>
  <si>
    <t>2023-08-21</t>
  </si>
  <si>
    <t>INV0160</t>
  </si>
  <si>
    <t>2024-10-06</t>
  </si>
  <si>
    <t>INV0161</t>
  </si>
  <si>
    <t>2019-08-20</t>
  </si>
  <si>
    <t>INV0162</t>
  </si>
  <si>
    <t>2018-11-27</t>
  </si>
  <si>
    <t>INV0163</t>
  </si>
  <si>
    <t>2024-02-27</t>
  </si>
  <si>
    <t>INV0164</t>
  </si>
  <si>
    <t>2018-02-09</t>
  </si>
  <si>
    <t>INV0165</t>
  </si>
  <si>
    <t>2018-11-03</t>
  </si>
  <si>
    <t>INV0166</t>
  </si>
  <si>
    <t>2022-12-27</t>
  </si>
  <si>
    <t>INV0167</t>
  </si>
  <si>
    <t>2020-01-11</t>
  </si>
  <si>
    <t>INV0168</t>
  </si>
  <si>
    <t>2023-03-22</t>
  </si>
  <si>
    <t>INV0169</t>
  </si>
  <si>
    <t>2019-04-18</t>
  </si>
  <si>
    <t>INV0170</t>
  </si>
  <si>
    <t>2020-08-18</t>
  </si>
  <si>
    <t>INV0171</t>
  </si>
  <si>
    <t>2019-04-23</t>
  </si>
  <si>
    <t>INV0172</t>
  </si>
  <si>
    <t>2018-04-16</t>
  </si>
  <si>
    <t>INV0173</t>
  </si>
  <si>
    <t>2018-05-10</t>
  </si>
  <si>
    <t>INV0174</t>
  </si>
  <si>
    <t>2020-12-03</t>
  </si>
  <si>
    <t>INV0175</t>
  </si>
  <si>
    <t>2024-07-31</t>
  </si>
  <si>
    <t>INV0176</t>
  </si>
  <si>
    <t>2018-05-07</t>
  </si>
  <si>
    <t>INV0177</t>
  </si>
  <si>
    <t>2023-01-20</t>
  </si>
  <si>
    <t>INV0178</t>
  </si>
  <si>
    <t>2018-09-14</t>
  </si>
  <si>
    <t>INV0179</t>
  </si>
  <si>
    <t>2020-08-30</t>
  </si>
  <si>
    <t>INV0180</t>
  </si>
  <si>
    <t>INV0181</t>
  </si>
  <si>
    <t>2024-09-21</t>
  </si>
  <si>
    <t>INV0182</t>
  </si>
  <si>
    <t>INV0183</t>
  </si>
  <si>
    <t>2021-10-25</t>
  </si>
  <si>
    <t>INV0184</t>
  </si>
  <si>
    <t>2022-12-07</t>
  </si>
  <si>
    <t>INV0185</t>
  </si>
  <si>
    <t>2020-06-16</t>
  </si>
  <si>
    <t>INV0186</t>
  </si>
  <si>
    <t>2024-06-22</t>
  </si>
  <si>
    <t>INV0187</t>
  </si>
  <si>
    <t>2018-06-26</t>
  </si>
  <si>
    <t>INV0188</t>
  </si>
  <si>
    <t>INV0189</t>
  </si>
  <si>
    <t>2021-02-10</t>
  </si>
  <si>
    <t>INV0190</t>
  </si>
  <si>
    <t>2023-03-28</t>
  </si>
  <si>
    <t>INV0191</t>
  </si>
  <si>
    <t>2021-01-03</t>
  </si>
  <si>
    <t>INV0192</t>
  </si>
  <si>
    <t>2018-06-28</t>
  </si>
  <si>
    <t>INV0193</t>
  </si>
  <si>
    <t>2023-07-06</t>
  </si>
  <si>
    <t>INV0194</t>
  </si>
  <si>
    <t>2022-05-31</t>
  </si>
  <si>
    <t>INV0195</t>
  </si>
  <si>
    <t>2023-10-17</t>
  </si>
  <si>
    <t>INV0196</t>
  </si>
  <si>
    <t>2023-04-06</t>
  </si>
  <si>
    <t>INV0197</t>
  </si>
  <si>
    <t>2020-03-01</t>
  </si>
  <si>
    <t>INV0198</t>
  </si>
  <si>
    <t>2022-10-24</t>
  </si>
  <si>
    <t>INV0199</t>
  </si>
  <si>
    <t>2018-09-07</t>
  </si>
  <si>
    <t>INV0200</t>
  </si>
  <si>
    <t>2020-07-01</t>
  </si>
  <si>
    <t>INV0201</t>
  </si>
  <si>
    <t>2020-08-23</t>
  </si>
  <si>
    <t>INV0202</t>
  </si>
  <si>
    <t>2018-07-17</t>
  </si>
  <si>
    <t>INV0203</t>
  </si>
  <si>
    <t>2023-11-19</t>
  </si>
  <si>
    <t>INV0204</t>
  </si>
  <si>
    <t>2019-03-31</t>
  </si>
  <si>
    <t>INV0205</t>
  </si>
  <si>
    <t>2021-11-03</t>
  </si>
  <si>
    <t>INV0206</t>
  </si>
  <si>
    <t>2019-11-15</t>
  </si>
  <si>
    <t>INV0207</t>
  </si>
  <si>
    <t>2019-03-27</t>
  </si>
  <si>
    <t>INV0208</t>
  </si>
  <si>
    <t>2018-03-22</t>
  </si>
  <si>
    <t>INV0209</t>
  </si>
  <si>
    <t>2023-05-31</t>
  </si>
  <si>
    <t>INV0210</t>
  </si>
  <si>
    <t>2020-07-11</t>
  </si>
  <si>
    <t>INV0211</t>
  </si>
  <si>
    <t>2018-12-16</t>
  </si>
  <si>
    <t>INV0212</t>
  </si>
  <si>
    <t>2021-09-03</t>
  </si>
  <si>
    <t>INV0213</t>
  </si>
  <si>
    <t>INV0214</t>
  </si>
  <si>
    <t>2019-09-14</t>
  </si>
  <si>
    <t>INV0215</t>
  </si>
  <si>
    <t>2021-01-24</t>
  </si>
  <si>
    <t>INV0216</t>
  </si>
  <si>
    <t>INV0217</t>
  </si>
  <si>
    <t>2020-09-08</t>
  </si>
  <si>
    <t>INV0218</t>
  </si>
  <si>
    <t>2018-06-13</t>
  </si>
  <si>
    <t>INV0219</t>
  </si>
  <si>
    <t>2024-05-30</t>
  </si>
  <si>
    <t>INV0220</t>
  </si>
  <si>
    <t>2024-08-15</t>
  </si>
  <si>
    <t>INV0221</t>
  </si>
  <si>
    <t>2021-02-16</t>
  </si>
  <si>
    <t>INV0222</t>
  </si>
  <si>
    <t>2023-09-23</t>
  </si>
  <si>
    <t>INV0223</t>
  </si>
  <si>
    <t>2019-06-27</t>
  </si>
  <si>
    <t>INV0224</t>
  </si>
  <si>
    <t>2023-01-10</t>
  </si>
  <si>
    <t>INV0225</t>
  </si>
  <si>
    <t>INV0226</t>
  </si>
  <si>
    <t>2020-01-13</t>
  </si>
  <si>
    <t>INV0227</t>
  </si>
  <si>
    <t>2019-11-08</t>
  </si>
  <si>
    <t>INV0228</t>
  </si>
  <si>
    <t>2021-06-29</t>
  </si>
  <si>
    <t>INV0229</t>
  </si>
  <si>
    <t>2022-05-01</t>
  </si>
  <si>
    <t>INV0230</t>
  </si>
  <si>
    <t>2021-11-15</t>
  </si>
  <si>
    <t>INV0231</t>
  </si>
  <si>
    <t>2023-10-25</t>
  </si>
  <si>
    <t>INV0232</t>
  </si>
  <si>
    <t>2020-09-10</t>
  </si>
  <si>
    <t>INV0233</t>
  </si>
  <si>
    <t>INV0234</t>
  </si>
  <si>
    <t>2021-11-06</t>
  </si>
  <si>
    <t>INV0235</t>
  </si>
  <si>
    <t>2020-07-13</t>
  </si>
  <si>
    <t>INV0236</t>
  </si>
  <si>
    <t>2018-01-27</t>
  </si>
  <si>
    <t>INV0237</t>
  </si>
  <si>
    <t>2022-02-23</t>
  </si>
  <si>
    <t>INV0238</t>
  </si>
  <si>
    <t>2021-06-01</t>
  </si>
  <si>
    <t>INV0239</t>
  </si>
  <si>
    <t>2020-01-24</t>
  </si>
  <si>
    <t>INV0240</t>
  </si>
  <si>
    <t>2020-08-20</t>
  </si>
  <si>
    <t>INV0241</t>
  </si>
  <si>
    <t>2022-02-20</t>
  </si>
  <si>
    <t>INV0242</t>
  </si>
  <si>
    <t>2018-08-07</t>
  </si>
  <si>
    <t>INV0243</t>
  </si>
  <si>
    <t>2018-05-31</t>
  </si>
  <si>
    <t>INV0244</t>
  </si>
  <si>
    <t>2022-02-28</t>
  </si>
  <si>
    <t>INV0245</t>
  </si>
  <si>
    <t>2024-01-04</t>
  </si>
  <si>
    <t>INV0246</t>
  </si>
  <si>
    <t>2020-12-02</t>
  </si>
  <si>
    <t>INV0247</t>
  </si>
  <si>
    <t>2019-05-24</t>
  </si>
  <si>
    <t>INV0248</t>
  </si>
  <si>
    <t>2020-12-25</t>
  </si>
  <si>
    <t>INV0249</t>
  </si>
  <si>
    <t>2019-11-29</t>
  </si>
  <si>
    <t>INV0250</t>
  </si>
  <si>
    <t>2018-03-23</t>
  </si>
  <si>
    <t>INV0251</t>
  </si>
  <si>
    <t>2019-03-08</t>
  </si>
  <si>
    <t>INV0252</t>
  </si>
  <si>
    <t>2022-12-19</t>
  </si>
  <si>
    <t>INV0253</t>
  </si>
  <si>
    <t>2019-09-18</t>
  </si>
  <si>
    <t>INV0254</t>
  </si>
  <si>
    <t>2024-11-04</t>
  </si>
  <si>
    <t>INV0255</t>
  </si>
  <si>
    <t>2019-04-12</t>
  </si>
  <si>
    <t>INV0256</t>
  </si>
  <si>
    <t>2021-03-19</t>
  </si>
  <si>
    <t>INV0257</t>
  </si>
  <si>
    <t>2020-03-02</t>
  </si>
  <si>
    <t>INV0258</t>
  </si>
  <si>
    <t>2019-09-09</t>
  </si>
  <si>
    <t>INV0259</t>
  </si>
  <si>
    <t>2023-10-14</t>
  </si>
  <si>
    <t>INV0260</t>
  </si>
  <si>
    <t>2021-11-24</t>
  </si>
  <si>
    <t>INV0261</t>
  </si>
  <si>
    <t>2022-02-12</t>
  </si>
  <si>
    <t>INV0262</t>
  </si>
  <si>
    <t>2018-11-14</t>
  </si>
  <si>
    <t>INV0263</t>
  </si>
  <si>
    <t>2024-05-09</t>
  </si>
  <si>
    <t>INV0264</t>
  </si>
  <si>
    <t>2020-01-06</t>
  </si>
  <si>
    <t>INV0265</t>
  </si>
  <si>
    <t>2021-12-15</t>
  </si>
  <si>
    <t>INV0266</t>
  </si>
  <si>
    <t>INV0267</t>
  </si>
  <si>
    <t>INV0268</t>
  </si>
  <si>
    <t>2021-07-12</t>
  </si>
  <si>
    <t>INV0269</t>
  </si>
  <si>
    <t>2023-03-02</t>
  </si>
  <si>
    <t>INV0270</t>
  </si>
  <si>
    <t>2020-02-25</t>
  </si>
  <si>
    <t>INV0271</t>
  </si>
  <si>
    <t>2023-08-24</t>
  </si>
  <si>
    <t>INV0272</t>
  </si>
  <si>
    <t>INV0273</t>
  </si>
  <si>
    <t>2020-12-12</t>
  </si>
  <si>
    <t>INV0274</t>
  </si>
  <si>
    <t>2022-05-18</t>
  </si>
  <si>
    <t>INV0275</t>
  </si>
  <si>
    <t>2020-10-03</t>
  </si>
  <si>
    <t>INV0276</t>
  </si>
  <si>
    <t>2021-03-23</t>
  </si>
  <si>
    <t>INV0277</t>
  </si>
  <si>
    <t>2020-03-18</t>
  </si>
  <si>
    <t>INV0278</t>
  </si>
  <si>
    <t>INV0279</t>
  </si>
  <si>
    <t>INV0280</t>
  </si>
  <si>
    <t>2018-07-10</t>
  </si>
  <si>
    <t>INV0281</t>
  </si>
  <si>
    <t>2023-10-23</t>
  </si>
  <si>
    <t>INV0282</t>
  </si>
  <si>
    <t>2020-11-26</t>
  </si>
  <si>
    <t>INV0283</t>
  </si>
  <si>
    <t>INV0284</t>
  </si>
  <si>
    <t>2023-02-25</t>
  </si>
  <si>
    <t>INV0285</t>
  </si>
  <si>
    <t>2023-10-22</t>
  </si>
  <si>
    <t>INV0286</t>
  </si>
  <si>
    <t>2022-02-01</t>
  </si>
  <si>
    <t>INV0287</t>
  </si>
  <si>
    <t>2024-06-01</t>
  </si>
  <si>
    <t>INV0288</t>
  </si>
  <si>
    <t>2020-01-03</t>
  </si>
  <si>
    <t>INV0289</t>
  </si>
  <si>
    <t>2021-04-22</t>
  </si>
  <si>
    <t>INV0290</t>
  </si>
  <si>
    <t>2018-01-02</t>
  </si>
  <si>
    <t>INV0291</t>
  </si>
  <si>
    <t>2019-07-07</t>
  </si>
  <si>
    <t>INV0292</t>
  </si>
  <si>
    <t>2021-12-06</t>
  </si>
  <si>
    <t>INV0293</t>
  </si>
  <si>
    <t>2023-10-15</t>
  </si>
  <si>
    <t>INV0294</t>
  </si>
  <si>
    <t>2024-05-26</t>
  </si>
  <si>
    <t>INV0295</t>
  </si>
  <si>
    <t>2023-06-10</t>
  </si>
  <si>
    <t>INV0296</t>
  </si>
  <si>
    <t>2023-03-24</t>
  </si>
  <si>
    <t>INV0297</t>
  </si>
  <si>
    <t>2022-07-09</t>
  </si>
  <si>
    <t>INV0298</t>
  </si>
  <si>
    <t>2023-11-11</t>
  </si>
  <si>
    <t>INV0299</t>
  </si>
  <si>
    <t>2020-10-16</t>
  </si>
  <si>
    <t>INV0300</t>
  </si>
  <si>
    <t>2018-12-13</t>
  </si>
  <si>
    <t>INV0301</t>
  </si>
  <si>
    <t>2021-05-21</t>
  </si>
  <si>
    <t>INV0302</t>
  </si>
  <si>
    <t>2020-08-17</t>
  </si>
  <si>
    <t>INV0303</t>
  </si>
  <si>
    <t>2022-01-11</t>
  </si>
  <si>
    <t>INV0304</t>
  </si>
  <si>
    <t>INV0305</t>
  </si>
  <si>
    <t>2019-08-06</t>
  </si>
  <si>
    <t>INV0306</t>
  </si>
  <si>
    <t>2021-01-07</t>
  </si>
  <si>
    <t>INV0307</t>
  </si>
  <si>
    <t>2019-11-01</t>
  </si>
  <si>
    <t>INV0308</t>
  </si>
  <si>
    <t>2020-01-07</t>
  </si>
  <si>
    <t>INV0309</t>
  </si>
  <si>
    <t>2023-11-24</t>
  </si>
  <si>
    <t>INV0310</t>
  </si>
  <si>
    <t>2021-08-17</t>
  </si>
  <si>
    <t>INV0311</t>
  </si>
  <si>
    <t>2020-01-25</t>
  </si>
  <si>
    <t>INV0312</t>
  </si>
  <si>
    <t>2020-07-16</t>
  </si>
  <si>
    <t>INV0313</t>
  </si>
  <si>
    <t>2018-12-19</t>
  </si>
  <si>
    <t>INV0314</t>
  </si>
  <si>
    <t>2022-10-21</t>
  </si>
  <si>
    <t>INV0315</t>
  </si>
  <si>
    <t>2022-09-29</t>
  </si>
  <si>
    <t>INV0316</t>
  </si>
  <si>
    <t>2024-04-04</t>
  </si>
  <si>
    <t>INV0317</t>
  </si>
  <si>
    <t>2021-11-10</t>
  </si>
  <si>
    <t>INV0318</t>
  </si>
  <si>
    <t>2024-01-17</t>
  </si>
  <si>
    <t>INV0319</t>
  </si>
  <si>
    <t>INV0320</t>
  </si>
  <si>
    <t>2022-06-05</t>
  </si>
  <si>
    <t>INV0321</t>
  </si>
  <si>
    <t>INV0322</t>
  </si>
  <si>
    <t>2018-03-20</t>
  </si>
  <si>
    <t>INV0323</t>
  </si>
  <si>
    <t>2024-05-12</t>
  </si>
  <si>
    <t>INV0324</t>
  </si>
  <si>
    <t>2019-08-19</t>
  </si>
  <si>
    <t>INV0325</t>
  </si>
  <si>
    <t>2022-07-13</t>
  </si>
  <si>
    <t>INV0326</t>
  </si>
  <si>
    <t>2019-03-25</t>
  </si>
  <si>
    <t>INV0327</t>
  </si>
  <si>
    <t>2021-07-21</t>
  </si>
  <si>
    <t>INV0328</t>
  </si>
  <si>
    <t>2020-08-14</t>
  </si>
  <si>
    <t>INV0329</t>
  </si>
  <si>
    <t>2020-03-04</t>
  </si>
  <si>
    <t>INV0330</t>
  </si>
  <si>
    <t>2020-06-17</t>
  </si>
  <si>
    <t>INV0331</t>
  </si>
  <si>
    <t>2022-06-16</t>
  </si>
  <si>
    <t>INV0332</t>
  </si>
  <si>
    <t>2024-06-15</t>
  </si>
  <si>
    <t>INV0333</t>
  </si>
  <si>
    <t>2018-04-15</t>
  </si>
  <si>
    <t>INV0334</t>
  </si>
  <si>
    <t>2021-12-29</t>
  </si>
  <si>
    <t>INV0335</t>
  </si>
  <si>
    <t>2018-04-06</t>
  </si>
  <si>
    <t>INV0336</t>
  </si>
  <si>
    <t>2023-06-13</t>
  </si>
  <si>
    <t>INV0337</t>
  </si>
  <si>
    <t>2024-10-04</t>
  </si>
  <si>
    <t>INV0338</t>
  </si>
  <si>
    <t>2018-03-24</t>
  </si>
  <si>
    <t>INV0339</t>
  </si>
  <si>
    <t>2022-01-08</t>
  </si>
  <si>
    <t>INV0340</t>
  </si>
  <si>
    <t>2022-07-02</t>
  </si>
  <si>
    <t>INV0341</t>
  </si>
  <si>
    <t>2022-03-30</t>
  </si>
  <si>
    <t>INV0342</t>
  </si>
  <si>
    <t>2021-04-01</t>
  </si>
  <si>
    <t>INV0343</t>
  </si>
  <si>
    <t>2022-01-31</t>
  </si>
  <si>
    <t>INV0344</t>
  </si>
  <si>
    <t>2020-06-06</t>
  </si>
  <si>
    <t>INV0345</t>
  </si>
  <si>
    <t>2021-06-22</t>
  </si>
  <si>
    <t>INV0346</t>
  </si>
  <si>
    <t>2018-11-18</t>
  </si>
  <si>
    <t>INV0347</t>
  </si>
  <si>
    <t>2022-07-08</t>
  </si>
  <si>
    <t>INV0348</t>
  </si>
  <si>
    <t>2020-07-08</t>
  </si>
  <si>
    <t>INV0349</t>
  </si>
  <si>
    <t>2020-02-05</t>
  </si>
  <si>
    <t>INV0350</t>
  </si>
  <si>
    <t>2023-08-10</t>
  </si>
  <si>
    <t>INV0351</t>
  </si>
  <si>
    <t>2023-10-13</t>
  </si>
  <si>
    <t>INV0352</t>
  </si>
  <si>
    <t>2021-02-07</t>
  </si>
  <si>
    <t>INV0353</t>
  </si>
  <si>
    <t>2020-05-05</t>
  </si>
  <si>
    <t>INV0354</t>
  </si>
  <si>
    <t>2020-12-31</t>
  </si>
  <si>
    <t>INV0355</t>
  </si>
  <si>
    <t>INV0356</t>
  </si>
  <si>
    <t>2021-03-27</t>
  </si>
  <si>
    <t>INV0357</t>
  </si>
  <si>
    <t>2023-11-30</t>
  </si>
  <si>
    <t>INV0358</t>
  </si>
  <si>
    <t>2023-06-06</t>
  </si>
  <si>
    <t>INV0359</t>
  </si>
  <si>
    <t>2024-02-10</t>
  </si>
  <si>
    <t>INV0360</t>
  </si>
  <si>
    <t>2020-11-09</t>
  </si>
  <si>
    <t>INV0361</t>
  </si>
  <si>
    <t>2019-06-18</t>
  </si>
  <si>
    <t>INV0362</t>
  </si>
  <si>
    <t>2023-02-19</t>
  </si>
  <si>
    <t>INV0363</t>
  </si>
  <si>
    <t>INV0364</t>
  </si>
  <si>
    <t>INV0365</t>
  </si>
  <si>
    <t>2020-02-13</t>
  </si>
  <si>
    <t>INV0366</t>
  </si>
  <si>
    <t>2024-11-03</t>
  </si>
  <si>
    <t>INV0367</t>
  </si>
  <si>
    <t>INV0368</t>
  </si>
  <si>
    <t>2019-04-02</t>
  </si>
  <si>
    <t>INV0369</t>
  </si>
  <si>
    <t>2020-11-30</t>
  </si>
  <si>
    <t>INV0370</t>
  </si>
  <si>
    <t>2024-01-02</t>
  </si>
  <si>
    <t>INV0371</t>
  </si>
  <si>
    <t>2024-07-29</t>
  </si>
  <si>
    <t>INV0372</t>
  </si>
  <si>
    <t>2022-10-23</t>
  </si>
  <si>
    <t>INV0373</t>
  </si>
  <si>
    <t>2024-10-15</t>
  </si>
  <si>
    <t>INV0374</t>
  </si>
  <si>
    <t>2020-10-26</t>
  </si>
  <si>
    <t>INV0375</t>
  </si>
  <si>
    <t>INV0376</t>
  </si>
  <si>
    <t>2022-04-24</t>
  </si>
  <si>
    <t>INV0377</t>
  </si>
  <si>
    <t>2023-01-28</t>
  </si>
  <si>
    <t>INV0378</t>
  </si>
  <si>
    <t>INV0379</t>
  </si>
  <si>
    <t>2021-11-16</t>
  </si>
  <si>
    <t>INV0380</t>
  </si>
  <si>
    <t>2019-08-09</t>
  </si>
  <si>
    <t>INV0381</t>
  </si>
  <si>
    <t>2023-09-18</t>
  </si>
  <si>
    <t>INV0382</t>
  </si>
  <si>
    <t>2019-10-24</t>
  </si>
  <si>
    <t>INV0383</t>
  </si>
  <si>
    <t>2019-07-17</t>
  </si>
  <si>
    <t>INV0384</t>
  </si>
  <si>
    <t>2023-05-20</t>
  </si>
  <si>
    <t>INV0385</t>
  </si>
  <si>
    <t>INV0386</t>
  </si>
  <si>
    <t>2020-12-07</t>
  </si>
  <si>
    <t>INV0387</t>
  </si>
  <si>
    <t>2024-04-23</t>
  </si>
  <si>
    <t>INV0388</t>
  </si>
  <si>
    <t>2022-05-24</t>
  </si>
  <si>
    <t>INV0389</t>
  </si>
  <si>
    <t>2022-04-21</t>
  </si>
  <si>
    <t>INV0390</t>
  </si>
  <si>
    <t>INV0391</t>
  </si>
  <si>
    <t>2023-04-11</t>
  </si>
  <si>
    <t>INV0392</t>
  </si>
  <si>
    <t>2018-08-22</t>
  </si>
  <si>
    <t>INV0393</t>
  </si>
  <si>
    <t>2019-08-24</t>
  </si>
  <si>
    <t>INV0394</t>
  </si>
  <si>
    <t>2019-08-08</t>
  </si>
  <si>
    <t>INV0395</t>
  </si>
  <si>
    <t>2023-04-03</t>
  </si>
  <si>
    <t>INV0396</t>
  </si>
  <si>
    <t>2018-07-12</t>
  </si>
  <si>
    <t>INV0397</t>
  </si>
  <si>
    <t>2024-01-15</t>
  </si>
  <si>
    <t>INV0398</t>
  </si>
  <si>
    <t>2023-01-24</t>
  </si>
  <si>
    <t>INV0399</t>
  </si>
  <si>
    <t>INV0400</t>
  </si>
  <si>
    <t>2019-03-17</t>
  </si>
  <si>
    <t>INV0401</t>
  </si>
  <si>
    <t>INV0402</t>
  </si>
  <si>
    <t>2024-02-11</t>
  </si>
  <si>
    <t>INV0403</t>
  </si>
  <si>
    <t>2023-02-20</t>
  </si>
  <si>
    <t>INV0404</t>
  </si>
  <si>
    <t>2023-06-08</t>
  </si>
  <si>
    <t>INV0405</t>
  </si>
  <si>
    <t>2020-12-22</t>
  </si>
  <si>
    <t>INV0406</t>
  </si>
  <si>
    <t>2019-09-28</t>
  </si>
  <si>
    <t>INV0407</t>
  </si>
  <si>
    <t>2023-09-14</t>
  </si>
  <si>
    <t>INV0408</t>
  </si>
  <si>
    <t>2022-10-16</t>
  </si>
  <si>
    <t>INV0409</t>
  </si>
  <si>
    <t>2019-06-11</t>
  </si>
  <si>
    <t>INV0410</t>
  </si>
  <si>
    <t>2021-02-14</t>
  </si>
  <si>
    <t>INV0411</t>
  </si>
  <si>
    <t>INV0412</t>
  </si>
  <si>
    <t>2020-06-04</t>
  </si>
  <si>
    <t>INV0413</t>
  </si>
  <si>
    <t>2023-04-23</t>
  </si>
  <si>
    <t>INV0414</t>
  </si>
  <si>
    <t>2021-03-11</t>
  </si>
  <si>
    <t>INV0415</t>
  </si>
  <si>
    <t>2024-09-11</t>
  </si>
  <si>
    <t>INV0416</t>
  </si>
  <si>
    <t>2023-04-17</t>
  </si>
  <si>
    <t>INV0417</t>
  </si>
  <si>
    <t>2022-04-22</t>
  </si>
  <si>
    <t>INV0418</t>
  </si>
  <si>
    <t>2024-08-25</t>
  </si>
  <si>
    <t>INV0419</t>
  </si>
  <si>
    <t>2023-12-03</t>
  </si>
  <si>
    <t>INV0420</t>
  </si>
  <si>
    <t>2023-11-18</t>
  </si>
  <si>
    <t>INV0421</t>
  </si>
  <si>
    <t>2024-05-01</t>
  </si>
  <si>
    <t>INV0422</t>
  </si>
  <si>
    <t>INV0423</t>
  </si>
  <si>
    <t>INV0424</t>
  </si>
  <si>
    <t>2024-09-27</t>
  </si>
  <si>
    <t>INV0425</t>
  </si>
  <si>
    <t>INV0426</t>
  </si>
  <si>
    <t>2018-05-02</t>
  </si>
  <si>
    <t>INV0427</t>
  </si>
  <si>
    <t>2021-05-31</t>
  </si>
  <si>
    <t>INV0428</t>
  </si>
  <si>
    <t>2020-11-10</t>
  </si>
  <si>
    <t>INV0429</t>
  </si>
  <si>
    <t>2021-04-06</t>
  </si>
  <si>
    <t>INV0430</t>
  </si>
  <si>
    <t>2023-12-20</t>
  </si>
  <si>
    <t>INV0431</t>
  </si>
  <si>
    <t>2022-11-04</t>
  </si>
  <si>
    <t>INV0432</t>
  </si>
  <si>
    <t>2020-07-19</t>
  </si>
  <si>
    <t>INV0433</t>
  </si>
  <si>
    <t>INV0434</t>
  </si>
  <si>
    <t>2023-07-23</t>
  </si>
  <si>
    <t>INV0435</t>
  </si>
  <si>
    <t>INV0436</t>
  </si>
  <si>
    <t>2022-10-04</t>
  </si>
  <si>
    <t>INV0437</t>
  </si>
  <si>
    <t>2021-12-11</t>
  </si>
  <si>
    <t>INV0438</t>
  </si>
  <si>
    <t>2019-02-20</t>
  </si>
  <si>
    <t>INV0439</t>
  </si>
  <si>
    <t>2024-01-21</t>
  </si>
  <si>
    <t>INV0440</t>
  </si>
  <si>
    <t>2018-06-07</t>
  </si>
  <si>
    <t>INV0441</t>
  </si>
  <si>
    <t>2024-04-17</t>
  </si>
  <si>
    <t>INV0442</t>
  </si>
  <si>
    <t>2020-03-27</t>
  </si>
  <si>
    <t>INV0443</t>
  </si>
  <si>
    <t>2023-03-11</t>
  </si>
  <si>
    <t>INV0444</t>
  </si>
  <si>
    <t>INV0445</t>
  </si>
  <si>
    <t>2020-04-10</t>
  </si>
  <si>
    <t>INV0446</t>
  </si>
  <si>
    <t>2018-11-16</t>
  </si>
  <si>
    <t>INV0447</t>
  </si>
  <si>
    <t>2024-03-09</t>
  </si>
  <si>
    <t>INV0448</t>
  </si>
  <si>
    <t>2021-11-22</t>
  </si>
  <si>
    <t>INV0449</t>
  </si>
  <si>
    <t>2022-04-07</t>
  </si>
  <si>
    <t>INV0450</t>
  </si>
  <si>
    <t>2021-07-07</t>
  </si>
  <si>
    <t>INV0451</t>
  </si>
  <si>
    <t>2018-09-15</t>
  </si>
  <si>
    <t>INV0452</t>
  </si>
  <si>
    <t>2021-01-22</t>
  </si>
  <si>
    <t>INV0453</t>
  </si>
  <si>
    <t>2020-03-28</t>
  </si>
  <si>
    <t>INV0454</t>
  </si>
  <si>
    <t>2020-08-06</t>
  </si>
  <si>
    <t>INV0455</t>
  </si>
  <si>
    <t>2024-09-05</t>
  </si>
  <si>
    <t>INV0456</t>
  </si>
  <si>
    <t>INV0457</t>
  </si>
  <si>
    <t>2021-09-25</t>
  </si>
  <si>
    <t>INV0458</t>
  </si>
  <si>
    <t>2018-01-17</t>
  </si>
  <si>
    <t>INV0459</t>
  </si>
  <si>
    <t>2022-03-01</t>
  </si>
  <si>
    <t>INV0460</t>
  </si>
  <si>
    <t>2024-04-06</t>
  </si>
  <si>
    <t>INV0461</t>
  </si>
  <si>
    <t>2021-11-26</t>
  </si>
  <si>
    <t>INV0462</t>
  </si>
  <si>
    <t>2019-04-05</t>
  </si>
  <si>
    <t>INV0463</t>
  </si>
  <si>
    <t>2021-11-04</t>
  </si>
  <si>
    <t>INV0464</t>
  </si>
  <si>
    <t>2024-09-14</t>
  </si>
  <si>
    <t>INV0465</t>
  </si>
  <si>
    <t>2024-10-07</t>
  </si>
  <si>
    <t>INV0466</t>
  </si>
  <si>
    <t>2023-01-07</t>
  </si>
  <si>
    <t>INV0467</t>
  </si>
  <si>
    <t>2020-07-22</t>
  </si>
  <si>
    <t>INV0468</t>
  </si>
  <si>
    <t>2020-06-27</t>
  </si>
  <si>
    <t>INV0469</t>
  </si>
  <si>
    <t>2020-08-31</t>
  </si>
  <si>
    <t>INV0470</t>
  </si>
  <si>
    <t>INV0471</t>
  </si>
  <si>
    <t>2019-05-14</t>
  </si>
  <si>
    <t>INV0472</t>
  </si>
  <si>
    <t>2019-12-23</t>
  </si>
  <si>
    <t>INV0473</t>
  </si>
  <si>
    <t>2021-07-30</t>
  </si>
  <si>
    <t>INV0474</t>
  </si>
  <si>
    <t>2018-03-28</t>
  </si>
  <si>
    <t>INV0475</t>
  </si>
  <si>
    <t>2022-10-25</t>
  </si>
  <si>
    <t>INV0476</t>
  </si>
  <si>
    <t>INV0477</t>
  </si>
  <si>
    <t>2018-10-21</t>
  </si>
  <si>
    <t>INV0478</t>
  </si>
  <si>
    <t>2018-03-13</t>
  </si>
  <si>
    <t>INV0479</t>
  </si>
  <si>
    <t>2020-04-26</t>
  </si>
  <si>
    <t>INV0480</t>
  </si>
  <si>
    <t>2022-02-04</t>
  </si>
  <si>
    <t>INV0481</t>
  </si>
  <si>
    <t>2019-12-14</t>
  </si>
  <si>
    <t>INV0482</t>
  </si>
  <si>
    <t>2022-08-21</t>
  </si>
  <si>
    <t>INV0483</t>
  </si>
  <si>
    <t>2024-01-13</t>
  </si>
  <si>
    <t>INV0484</t>
  </si>
  <si>
    <t>2020-06-10</t>
  </si>
  <si>
    <t>INV0485</t>
  </si>
  <si>
    <t>2019-02-07</t>
  </si>
  <si>
    <t>INV0486</t>
  </si>
  <si>
    <t>2024-04-19</t>
  </si>
  <si>
    <t>INV0487</t>
  </si>
  <si>
    <t>2022-10-28</t>
  </si>
  <si>
    <t>INV0488</t>
  </si>
  <si>
    <t>2022-02-19</t>
  </si>
  <si>
    <t>INV0489</t>
  </si>
  <si>
    <t>2024-08-04</t>
  </si>
  <si>
    <t>INV0490</t>
  </si>
  <si>
    <t>INV0491</t>
  </si>
  <si>
    <t>2021-04-02</t>
  </si>
  <si>
    <t>INV0492</t>
  </si>
  <si>
    <t>2024-05-16</t>
  </si>
  <si>
    <t>INV0493</t>
  </si>
  <si>
    <t>2021-03-17</t>
  </si>
  <si>
    <t>INV0494</t>
  </si>
  <si>
    <t>2022-11-02</t>
  </si>
  <si>
    <t>INV0495</t>
  </si>
  <si>
    <t>2020-06-08</t>
  </si>
  <si>
    <t>INV0496</t>
  </si>
  <si>
    <t>2018-01-19</t>
  </si>
  <si>
    <t>INV0497</t>
  </si>
  <si>
    <t>INV0498</t>
  </si>
  <si>
    <t>2021-11-29</t>
  </si>
  <si>
    <t>INV0499</t>
  </si>
  <si>
    <t>2022-01-19</t>
  </si>
  <si>
    <t>INV0500</t>
  </si>
  <si>
    <t>2018-05-14</t>
  </si>
  <si>
    <t>INV0501</t>
  </si>
  <si>
    <t>2022-11-14</t>
  </si>
  <si>
    <t>INV0502</t>
  </si>
  <si>
    <t>2021-02-05</t>
  </si>
  <si>
    <t>INV0503</t>
  </si>
  <si>
    <t>2020-02-18</t>
  </si>
  <si>
    <t>INV0504</t>
  </si>
  <si>
    <t>2021-08-09</t>
  </si>
  <si>
    <t>INV0505</t>
  </si>
  <si>
    <t>INV0506</t>
  </si>
  <si>
    <t>2020-11-29</t>
  </si>
  <si>
    <t>INV0507</t>
  </si>
  <si>
    <t>2024-08-13</t>
  </si>
  <si>
    <t>INV0508</t>
  </si>
  <si>
    <t>INV0509</t>
  </si>
  <si>
    <t>2021-06-04</t>
  </si>
  <si>
    <t>INV0510</t>
  </si>
  <si>
    <t>INV0511</t>
  </si>
  <si>
    <t>2023-09-26</t>
  </si>
  <si>
    <t>INV0512</t>
  </si>
  <si>
    <t>2018-01-20</t>
  </si>
  <si>
    <t>INV0513</t>
  </si>
  <si>
    <t>2021-04-12</t>
  </si>
  <si>
    <t>INV0514</t>
  </si>
  <si>
    <t>2024-01-09</t>
  </si>
  <si>
    <t>INV0515</t>
  </si>
  <si>
    <t>2019-08-21</t>
  </si>
  <si>
    <t>INV0516</t>
  </si>
  <si>
    <t>2024-03-17</t>
  </si>
  <si>
    <t>INV0517</t>
  </si>
  <si>
    <t>2024-05-17</t>
  </si>
  <si>
    <t>INV0518</t>
  </si>
  <si>
    <t>2018-01-13</t>
  </si>
  <si>
    <t>INV0519</t>
  </si>
  <si>
    <t>2023-02-04</t>
  </si>
  <si>
    <t>INV0520</t>
  </si>
  <si>
    <t>2019-07-24</t>
  </si>
  <si>
    <t>INV0521</t>
  </si>
  <si>
    <t>2022-03-12</t>
  </si>
  <si>
    <t>INV0522</t>
  </si>
  <si>
    <t>2019-07-18</t>
  </si>
  <si>
    <t>INV0523</t>
  </si>
  <si>
    <t>2019-06-22</t>
  </si>
  <si>
    <t>INV0524</t>
  </si>
  <si>
    <t>INV0525</t>
  </si>
  <si>
    <t>2019-08-29</t>
  </si>
  <si>
    <t>INV0526</t>
  </si>
  <si>
    <t>2022-04-11</t>
  </si>
  <si>
    <t>INV0527</t>
  </si>
  <si>
    <t>2022-06-17</t>
  </si>
  <si>
    <t>INV0528</t>
  </si>
  <si>
    <t>2020-09-11</t>
  </si>
  <si>
    <t>INV0529</t>
  </si>
  <si>
    <t>2022-07-29</t>
  </si>
  <si>
    <t>INV0530</t>
  </si>
  <si>
    <t>2022-10-15</t>
  </si>
  <si>
    <t>INV0531</t>
  </si>
  <si>
    <t>2020-03-11</t>
  </si>
  <si>
    <t>INV0532</t>
  </si>
  <si>
    <t>INV0533</t>
  </si>
  <si>
    <t>2020-09-16</t>
  </si>
  <si>
    <t>INV0534</t>
  </si>
  <si>
    <t>INV0535</t>
  </si>
  <si>
    <t>INV0536</t>
  </si>
  <si>
    <t>INV0537</t>
  </si>
  <si>
    <t>2018-02-12</t>
  </si>
  <si>
    <t>INV0538</t>
  </si>
  <si>
    <t>2018-09-18</t>
  </si>
  <si>
    <t>INV0539</t>
  </si>
  <si>
    <t>2018-11-08</t>
  </si>
  <si>
    <t>INV0540</t>
  </si>
  <si>
    <t>2024-03-16</t>
  </si>
  <si>
    <t>INV0541</t>
  </si>
  <si>
    <t>2020-11-01</t>
  </si>
  <si>
    <t>INV0542</t>
  </si>
  <si>
    <t>2023-09-25</t>
  </si>
  <si>
    <t>INV0543</t>
  </si>
  <si>
    <t>INV0544</t>
  </si>
  <si>
    <t>2021-02-12</t>
  </si>
  <si>
    <t>INV0545</t>
  </si>
  <si>
    <t>INV0546</t>
  </si>
  <si>
    <t>INV0547</t>
  </si>
  <si>
    <t>INV0548</t>
  </si>
  <si>
    <t>2020-06-18</t>
  </si>
  <si>
    <t>INV0549</t>
  </si>
  <si>
    <t>2023-05-01</t>
  </si>
  <si>
    <t>INV0550</t>
  </si>
  <si>
    <t>2024-10-10</t>
  </si>
  <si>
    <t>INV0551</t>
  </si>
  <si>
    <t>2018-06-17</t>
  </si>
  <si>
    <t>INV0552</t>
  </si>
  <si>
    <t>2020-04-01</t>
  </si>
  <si>
    <t>INV0553</t>
  </si>
  <si>
    <t>2022-11-21</t>
  </si>
  <si>
    <t>INV0554</t>
  </si>
  <si>
    <t>2019-07-19</t>
  </si>
  <si>
    <t>INV0555</t>
  </si>
  <si>
    <t>2023-03-16</t>
  </si>
  <si>
    <t>INV0556</t>
  </si>
  <si>
    <t>2018-08-02</t>
  </si>
  <si>
    <t>INV0557</t>
  </si>
  <si>
    <t>2022-09-03</t>
  </si>
  <si>
    <t>INV0558</t>
  </si>
  <si>
    <t>2024-03-02</t>
  </si>
  <si>
    <t>INV0559</t>
  </si>
  <si>
    <t>2022-05-25</t>
  </si>
  <si>
    <t>INV0560</t>
  </si>
  <si>
    <t>INV0561</t>
  </si>
  <si>
    <t>2022-12-15</t>
  </si>
  <si>
    <t>INV0562</t>
  </si>
  <si>
    <t>2024-02-06</t>
  </si>
  <si>
    <t>INV0563</t>
  </si>
  <si>
    <t>INV0564</t>
  </si>
  <si>
    <t>INV0565</t>
  </si>
  <si>
    <t>2023-05-10</t>
  </si>
  <si>
    <t>INV0566</t>
  </si>
  <si>
    <t>2020-12-18</t>
  </si>
  <si>
    <t>INV0567</t>
  </si>
  <si>
    <t>2020-12-29</t>
  </si>
  <si>
    <t>INV0568</t>
  </si>
  <si>
    <t>2024-06-04</t>
  </si>
  <si>
    <t>INV0569</t>
  </si>
  <si>
    <t>2020-01-12</t>
  </si>
  <si>
    <t>INV0570</t>
  </si>
  <si>
    <t>INV0571</t>
  </si>
  <si>
    <t>2019-06-28</t>
  </si>
  <si>
    <t>INV0572</t>
  </si>
  <si>
    <t>INV0573</t>
  </si>
  <si>
    <t>2023-07-26</t>
  </si>
  <si>
    <t>INV0574</t>
  </si>
  <si>
    <t>2022-12-02</t>
  </si>
  <si>
    <t>INV0575</t>
  </si>
  <si>
    <t>INV0576</t>
  </si>
  <si>
    <t>2019-12-18</t>
  </si>
  <si>
    <t>INV0577</t>
  </si>
  <si>
    <t>INV0578</t>
  </si>
  <si>
    <t>2023-10-26</t>
  </si>
  <si>
    <t>INV0579</t>
  </si>
  <si>
    <t>2023-09-09</t>
  </si>
  <si>
    <t>INV0580</t>
  </si>
  <si>
    <t>2024-08-31</t>
  </si>
  <si>
    <t>INV0581</t>
  </si>
  <si>
    <t>INV0582</t>
  </si>
  <si>
    <t>2022-12-21</t>
  </si>
  <si>
    <t>INV0583</t>
  </si>
  <si>
    <t>2020-12-19</t>
  </si>
  <si>
    <t>INV0584</t>
  </si>
  <si>
    <t>INV0585</t>
  </si>
  <si>
    <t>2021-03-25</t>
  </si>
  <si>
    <t>INV0586</t>
  </si>
  <si>
    <t>2018-06-04</t>
  </si>
  <si>
    <t>INV0587</t>
  </si>
  <si>
    <t>INV0588</t>
  </si>
  <si>
    <t>2022-09-07</t>
  </si>
  <si>
    <t>INV0589</t>
  </si>
  <si>
    <t>2022-12-18</t>
  </si>
  <si>
    <t>INV0590</t>
  </si>
  <si>
    <t>INV0591</t>
  </si>
  <si>
    <t>2018-07-15</t>
  </si>
  <si>
    <t>INV0592</t>
  </si>
  <si>
    <t>INV0593</t>
  </si>
  <si>
    <t>2024-04-12</t>
  </si>
  <si>
    <t>INV0594</t>
  </si>
  <si>
    <t>2019-06-21</t>
  </si>
  <si>
    <t>INV0595</t>
  </si>
  <si>
    <t>INV0596</t>
  </si>
  <si>
    <t>2021-06-21</t>
  </si>
  <si>
    <t>INV0597</t>
  </si>
  <si>
    <t>2019-03-05</t>
  </si>
  <si>
    <t>INV0598</t>
  </si>
  <si>
    <t>INV0599</t>
  </si>
  <si>
    <t>2022-01-22</t>
  </si>
  <si>
    <t>INV0600</t>
  </si>
  <si>
    <t>INV0601</t>
  </si>
  <si>
    <t>2024-10-18</t>
  </si>
  <si>
    <t>INV0602</t>
  </si>
  <si>
    <t>2018-05-29</t>
  </si>
  <si>
    <t>INV0603</t>
  </si>
  <si>
    <t>2020-07-02</t>
  </si>
  <si>
    <t>INV0604</t>
  </si>
  <si>
    <t>2020-02-06</t>
  </si>
  <si>
    <t>INV0605</t>
  </si>
  <si>
    <t>INV0606</t>
  </si>
  <si>
    <t>2022-01-05</t>
  </si>
  <si>
    <t>INV0607</t>
  </si>
  <si>
    <t>2019-12-05</t>
  </si>
  <si>
    <t>INV0608</t>
  </si>
  <si>
    <t>INV0609</t>
  </si>
  <si>
    <t>2018-11-09</t>
  </si>
  <si>
    <t>INV0610</t>
  </si>
  <si>
    <t>2022-02-18</t>
  </si>
  <si>
    <t>INV0611</t>
  </si>
  <si>
    <t>2019-05-21</t>
  </si>
  <si>
    <t>INV0612</t>
  </si>
  <si>
    <t>INV0613</t>
  </si>
  <si>
    <t>2019-06-26</t>
  </si>
  <si>
    <t>INV0614</t>
  </si>
  <si>
    <t>2020-11-14</t>
  </si>
  <si>
    <t>INV0615</t>
  </si>
  <si>
    <t>2018-06-15</t>
  </si>
  <si>
    <t>INV0616</t>
  </si>
  <si>
    <t>2022-09-05</t>
  </si>
  <si>
    <t>INV0617</t>
  </si>
  <si>
    <t>2018-07-25</t>
  </si>
  <si>
    <t>INV0618</t>
  </si>
  <si>
    <t>INV0619</t>
  </si>
  <si>
    <t>INV0620</t>
  </si>
  <si>
    <t>2024-07-19</t>
  </si>
  <si>
    <t>INV0621</t>
  </si>
  <si>
    <t>2024-02-09</t>
  </si>
  <si>
    <t>INV0622</t>
  </si>
  <si>
    <t>2024-10-31</t>
  </si>
  <si>
    <t>INV0623</t>
  </si>
  <si>
    <t>2019-11-19</t>
  </si>
  <si>
    <t>INV0624</t>
  </si>
  <si>
    <t>2023-09-12</t>
  </si>
  <si>
    <t>INV0625</t>
  </si>
  <si>
    <t>2023-11-08</t>
  </si>
  <si>
    <t>INV0626</t>
  </si>
  <si>
    <t>2021-08-24</t>
  </si>
  <si>
    <t>INV0627</t>
  </si>
  <si>
    <t>INV0628</t>
  </si>
  <si>
    <t>2019-09-29</t>
  </si>
  <si>
    <t>INV0629</t>
  </si>
  <si>
    <t>2018-08-31</t>
  </si>
  <si>
    <t>INV0630</t>
  </si>
  <si>
    <t>2020-12-15</t>
  </si>
  <si>
    <t>INV0631</t>
  </si>
  <si>
    <t>INV0632</t>
  </si>
  <si>
    <t>2018-04-18</t>
  </si>
  <si>
    <t>INV0633</t>
  </si>
  <si>
    <t>2019-07-01</t>
  </si>
  <si>
    <t>INV0634</t>
  </si>
  <si>
    <t>2019-11-17</t>
  </si>
  <si>
    <t>INV0635</t>
  </si>
  <si>
    <t>2022-09-09</t>
  </si>
  <si>
    <t>INV0636</t>
  </si>
  <si>
    <t>2020-11-18</t>
  </si>
  <si>
    <t>INV0637</t>
  </si>
  <si>
    <t>2024-06-20</t>
  </si>
  <si>
    <t>INV0638</t>
  </si>
  <si>
    <t>INV0639</t>
  </si>
  <si>
    <t>INV0640</t>
  </si>
  <si>
    <t>INV0641</t>
  </si>
  <si>
    <t>2021-06-26</t>
  </si>
  <si>
    <t>INV0642</t>
  </si>
  <si>
    <t>2018-05-01</t>
  </si>
  <si>
    <t>INV0643</t>
  </si>
  <si>
    <t>2023-08-12</t>
  </si>
  <si>
    <t>INV0644</t>
  </si>
  <si>
    <t>2024-10-01</t>
  </si>
  <si>
    <t>INV0645</t>
  </si>
  <si>
    <t>2023-03-23</t>
  </si>
  <si>
    <t>INV0646</t>
  </si>
  <si>
    <t>2019-10-01</t>
  </si>
  <si>
    <t>INV0647</t>
  </si>
  <si>
    <t>2022-05-06</t>
  </si>
  <si>
    <t>INV0648</t>
  </si>
  <si>
    <t>2024-10-22</t>
  </si>
  <si>
    <t>INV0649</t>
  </si>
  <si>
    <t>INV0650</t>
  </si>
  <si>
    <t>2023-02-12</t>
  </si>
  <si>
    <t>INV0651</t>
  </si>
  <si>
    <t>2024-08-24</t>
  </si>
  <si>
    <t>INV0652</t>
  </si>
  <si>
    <t>2024-05-06</t>
  </si>
  <si>
    <t>INV0653</t>
  </si>
  <si>
    <t>2021-04-18</t>
  </si>
  <si>
    <t>INV0654</t>
  </si>
  <si>
    <t>2018-11-26</t>
  </si>
  <si>
    <t>INV0655</t>
  </si>
  <si>
    <t>2020-08-08</t>
  </si>
  <si>
    <t>INV0656</t>
  </si>
  <si>
    <t>2024-06-13</t>
  </si>
  <si>
    <t>INV0657</t>
  </si>
  <si>
    <t>INV0658</t>
  </si>
  <si>
    <t>INV0659</t>
  </si>
  <si>
    <t>INV0660</t>
  </si>
  <si>
    <t>2024-01-24</t>
  </si>
  <si>
    <t>INV0661</t>
  </si>
  <si>
    <t>2021-09-18</t>
  </si>
  <si>
    <t>INV0662</t>
  </si>
  <si>
    <t>INV0663</t>
  </si>
  <si>
    <t>INV0664</t>
  </si>
  <si>
    <t>2018-10-20</t>
  </si>
  <si>
    <t>INV0665</t>
  </si>
  <si>
    <t>2019-04-06</t>
  </si>
  <si>
    <t>INV0666</t>
  </si>
  <si>
    <t>2020-11-19</t>
  </si>
  <si>
    <t>INV0667</t>
  </si>
  <si>
    <t>2020-03-29</t>
  </si>
  <si>
    <t>INV0668</t>
  </si>
  <si>
    <t>INV0669</t>
  </si>
  <si>
    <t>2018-10-15</t>
  </si>
  <si>
    <t>INV0670</t>
  </si>
  <si>
    <t>2018-11-04</t>
  </si>
  <si>
    <t>INV0671</t>
  </si>
  <si>
    <t>2022-06-15</t>
  </si>
  <si>
    <t>INV0672</t>
  </si>
  <si>
    <t>2019-04-26</t>
  </si>
  <si>
    <t>INV0673</t>
  </si>
  <si>
    <t>2024-07-22</t>
  </si>
  <si>
    <t>INV0674</t>
  </si>
  <si>
    <t>INV0675</t>
  </si>
  <si>
    <t>2022-11-15</t>
  </si>
  <si>
    <t>INV0676</t>
  </si>
  <si>
    <t>INV0677</t>
  </si>
  <si>
    <t>2020-07-20</t>
  </si>
  <si>
    <t>INV0678</t>
  </si>
  <si>
    <t>2019-08-17</t>
  </si>
  <si>
    <t>INV0679</t>
  </si>
  <si>
    <t>2023-12-19</t>
  </si>
  <si>
    <t>INV0680</t>
  </si>
  <si>
    <t>INV0681</t>
  </si>
  <si>
    <t>INV0682</t>
  </si>
  <si>
    <t>2020-11-02</t>
  </si>
  <si>
    <t>INV0683</t>
  </si>
  <si>
    <t>2021-05-16</t>
  </si>
  <si>
    <t>INV0684</t>
  </si>
  <si>
    <t>INV0685</t>
  </si>
  <si>
    <t>2018-11-19</t>
  </si>
  <si>
    <t>INV0686</t>
  </si>
  <si>
    <t>2021-02-25</t>
  </si>
  <si>
    <t>INV0687</t>
  </si>
  <si>
    <t>2019-12-31</t>
  </si>
  <si>
    <t>INV0688</t>
  </si>
  <si>
    <t>2018-01-05</t>
  </si>
  <si>
    <t>INV0689</t>
  </si>
  <si>
    <t>2023-02-16</t>
  </si>
  <si>
    <t>INV0690</t>
  </si>
  <si>
    <t>2023-03-17</t>
  </si>
  <si>
    <t>INV0691</t>
  </si>
  <si>
    <t>2023-09-08</t>
  </si>
  <si>
    <t>INV0692</t>
  </si>
  <si>
    <t>2018-12-08</t>
  </si>
  <si>
    <t>INV0693</t>
  </si>
  <si>
    <t>INV0694</t>
  </si>
  <si>
    <t>2019-12-09</t>
  </si>
  <si>
    <t>INV0695</t>
  </si>
  <si>
    <t>INV0696</t>
  </si>
  <si>
    <t>2023-01-06</t>
  </si>
  <si>
    <t>INV0697</t>
  </si>
  <si>
    <t>2018-03-08</t>
  </si>
  <si>
    <t>INV0698</t>
  </si>
  <si>
    <t>2024-01-01</t>
  </si>
  <si>
    <t>INV0699</t>
  </si>
  <si>
    <t>2022-08-16</t>
  </si>
  <si>
    <t>INV0700</t>
  </si>
  <si>
    <t>2018-07-23</t>
  </si>
  <si>
    <t>INV0701</t>
  </si>
  <si>
    <t>INV0702</t>
  </si>
  <si>
    <t>2019-10-28</t>
  </si>
  <si>
    <t>INV0703</t>
  </si>
  <si>
    <t>INV0704</t>
  </si>
  <si>
    <t>2020-06-28</t>
  </si>
  <si>
    <t>INV0705</t>
  </si>
  <si>
    <t>2020-07-30</t>
  </si>
  <si>
    <t>INV0706</t>
  </si>
  <si>
    <t>2023-10-01</t>
  </si>
  <si>
    <t>INV0707</t>
  </si>
  <si>
    <t>2019-12-06</t>
  </si>
  <si>
    <t>INV0708</t>
  </si>
  <si>
    <t>2018-02-23</t>
  </si>
  <si>
    <t>INV0709</t>
  </si>
  <si>
    <t>2022-01-10</t>
  </si>
  <si>
    <t>INV0710</t>
  </si>
  <si>
    <t>2019-11-14</t>
  </si>
  <si>
    <t>INV0711</t>
  </si>
  <si>
    <t>2024-06-24</t>
  </si>
  <si>
    <t>INV0712</t>
  </si>
  <si>
    <t>2022-02-13</t>
  </si>
  <si>
    <t>INV0713</t>
  </si>
  <si>
    <t>2018-08-09</t>
  </si>
  <si>
    <t>INV0714</t>
  </si>
  <si>
    <t>2023-06-19</t>
  </si>
  <si>
    <t>INV0715</t>
  </si>
  <si>
    <t>2018-08-29</t>
  </si>
  <si>
    <t>INV0716</t>
  </si>
  <si>
    <t>INV0717</t>
  </si>
  <si>
    <t>2018-05-18</t>
  </si>
  <si>
    <t>INV0718</t>
  </si>
  <si>
    <t>2018-02-05</t>
  </si>
  <si>
    <t>INV0719</t>
  </si>
  <si>
    <t>INV0720</t>
  </si>
  <si>
    <t>2022-12-30</t>
  </si>
  <si>
    <t>INV0721</t>
  </si>
  <si>
    <t>2024-06-30</t>
  </si>
  <si>
    <t>INV0722</t>
  </si>
  <si>
    <t>2022-09-27</t>
  </si>
  <si>
    <t>INV0723</t>
  </si>
  <si>
    <t>2021-09-23</t>
  </si>
  <si>
    <t>INV0724</t>
  </si>
  <si>
    <t>2023-07-27</t>
  </si>
  <si>
    <t>INV0725</t>
  </si>
  <si>
    <t>INV0726</t>
  </si>
  <si>
    <t>INV0727</t>
  </si>
  <si>
    <t>2021-10-30</t>
  </si>
  <si>
    <t>INV0728</t>
  </si>
  <si>
    <t>2019-03-16</t>
  </si>
  <si>
    <t>INV0729</t>
  </si>
  <si>
    <t>2022-02-11</t>
  </si>
  <si>
    <t>INV0730</t>
  </si>
  <si>
    <t>2021-06-05</t>
  </si>
  <si>
    <t>INV0731</t>
  </si>
  <si>
    <t>INV0732</t>
  </si>
  <si>
    <t>INV0733</t>
  </si>
  <si>
    <t>2023-02-05</t>
  </si>
  <si>
    <t>INV0734</t>
  </si>
  <si>
    <t>2021-09-08</t>
  </si>
  <si>
    <t>INV0735</t>
  </si>
  <si>
    <t>2019-12-08</t>
  </si>
  <si>
    <t>INV0736</t>
  </si>
  <si>
    <t>2018-03-14</t>
  </si>
  <si>
    <t>INV0737</t>
  </si>
  <si>
    <t>INV0738</t>
  </si>
  <si>
    <t>INV0739</t>
  </si>
  <si>
    <t>2019-05-02</t>
  </si>
  <si>
    <t>INV0740</t>
  </si>
  <si>
    <t>INV0741</t>
  </si>
  <si>
    <t>2021-06-13</t>
  </si>
  <si>
    <t>INV0742</t>
  </si>
  <si>
    <t>2023-09-10</t>
  </si>
  <si>
    <t>INV0743</t>
  </si>
  <si>
    <t>2023-12-12</t>
  </si>
  <si>
    <t>INV0744</t>
  </si>
  <si>
    <t>2022-11-25</t>
  </si>
  <si>
    <t>INV0745</t>
  </si>
  <si>
    <t>2024-10-25</t>
  </si>
  <si>
    <t>INV0746</t>
  </si>
  <si>
    <t>INV0747</t>
  </si>
  <si>
    <t>2020-11-12</t>
  </si>
  <si>
    <t>INV0748</t>
  </si>
  <si>
    <t>2020-12-26</t>
  </si>
  <si>
    <t>INV0749</t>
  </si>
  <si>
    <t>INV0750</t>
  </si>
  <si>
    <t>2020-09-23</t>
  </si>
  <si>
    <t>INV0751</t>
  </si>
  <si>
    <t>2019-07-28</t>
  </si>
  <si>
    <t>INV0752</t>
  </si>
  <si>
    <t>INV0753</t>
  </si>
  <si>
    <t>2021-08-19</t>
  </si>
  <si>
    <t>INV0754</t>
  </si>
  <si>
    <t>2018-02-13</t>
  </si>
  <si>
    <t>INV0755</t>
  </si>
  <si>
    <t>2021-01-08</t>
  </si>
  <si>
    <t>INV0756</t>
  </si>
  <si>
    <t>2020-03-10</t>
  </si>
  <si>
    <t>INV0757</t>
  </si>
  <si>
    <t>2021-08-20</t>
  </si>
  <si>
    <t>INV0758</t>
  </si>
  <si>
    <t>2021-07-09</t>
  </si>
  <si>
    <t>INV0759</t>
  </si>
  <si>
    <t>INV0760</t>
  </si>
  <si>
    <t>2024-02-05</t>
  </si>
  <si>
    <t>INV0761</t>
  </si>
  <si>
    <t>2024-02-14</t>
  </si>
  <si>
    <t>INV0762</t>
  </si>
  <si>
    <t>2024-02-21</t>
  </si>
  <si>
    <t>INV0763</t>
  </si>
  <si>
    <t>INV0764</t>
  </si>
  <si>
    <t>2019-06-29</t>
  </si>
  <si>
    <t>INV0765</t>
  </si>
  <si>
    <t>2021-05-06</t>
  </si>
  <si>
    <t>INV0766</t>
  </si>
  <si>
    <t>2020-10-09</t>
  </si>
  <si>
    <t>INV0767</t>
  </si>
  <si>
    <t>2024-02-12</t>
  </si>
  <si>
    <t>INV0768</t>
  </si>
  <si>
    <t>2018-08-30</t>
  </si>
  <si>
    <t>INV0769</t>
  </si>
  <si>
    <t>2018-06-16</t>
  </si>
  <si>
    <t>INV0770</t>
  </si>
  <si>
    <t>2024-10-27</t>
  </si>
  <si>
    <t>INV0771</t>
  </si>
  <si>
    <t>2020-04-20</t>
  </si>
  <si>
    <t>INV0772</t>
  </si>
  <si>
    <t>2018-09-12</t>
  </si>
  <si>
    <t>INV0773</t>
  </si>
  <si>
    <t>2023-10-02</t>
  </si>
  <si>
    <t>INV0774</t>
  </si>
  <si>
    <t>INV0775</t>
  </si>
  <si>
    <t>2019-05-12</t>
  </si>
  <si>
    <t>INV0776</t>
  </si>
  <si>
    <t>2023-07-07</t>
  </si>
  <si>
    <t>INV0777</t>
  </si>
  <si>
    <t>INV0778</t>
  </si>
  <si>
    <t>2020-05-17</t>
  </si>
  <si>
    <t>INV0779</t>
  </si>
  <si>
    <t>2019-03-12</t>
  </si>
  <si>
    <t>INV0780</t>
  </si>
  <si>
    <t>2018-11-20</t>
  </si>
  <si>
    <t>INV0781</t>
  </si>
  <si>
    <t>2023-07-25</t>
  </si>
  <si>
    <t>INV0782</t>
  </si>
  <si>
    <t>2024-03-10</t>
  </si>
  <si>
    <t>INV0783</t>
  </si>
  <si>
    <t>2020-07-17</t>
  </si>
  <si>
    <t>INV0784</t>
  </si>
  <si>
    <t>2024-02-01</t>
  </si>
  <si>
    <t>INV0785</t>
  </si>
  <si>
    <t>2023-04-29</t>
  </si>
  <si>
    <t>INV0786</t>
  </si>
  <si>
    <t>2019-10-20</t>
  </si>
  <si>
    <t>INV0787</t>
  </si>
  <si>
    <t>2022-06-01</t>
  </si>
  <si>
    <t>INV0788</t>
  </si>
  <si>
    <t>INV0789</t>
  </si>
  <si>
    <t>2024-03-03</t>
  </si>
  <si>
    <t>INV0790</t>
  </si>
  <si>
    <t>INV0791</t>
  </si>
  <si>
    <t>2018-12-10</t>
  </si>
  <si>
    <t>INV0792</t>
  </si>
  <si>
    <t>2021-06-25</t>
  </si>
  <si>
    <t>INV0793</t>
  </si>
  <si>
    <t>2020-11-22</t>
  </si>
  <si>
    <t>INV0794</t>
  </si>
  <si>
    <t>2023-09-13</t>
  </si>
  <si>
    <t>INV0795</t>
  </si>
  <si>
    <t>INV0796</t>
  </si>
  <si>
    <t>2022-05-03</t>
  </si>
  <si>
    <t>INV0797</t>
  </si>
  <si>
    <t>INV0798</t>
  </si>
  <si>
    <t>INV0799</t>
  </si>
  <si>
    <t>2022-10-20</t>
  </si>
  <si>
    <t>INV0800</t>
  </si>
  <si>
    <t>2021-01-09</t>
  </si>
  <si>
    <t>INV0801</t>
  </si>
  <si>
    <t>2018-05-25</t>
  </si>
  <si>
    <t>INV0802</t>
  </si>
  <si>
    <t>INV0803</t>
  </si>
  <si>
    <t>INV0804</t>
  </si>
  <si>
    <t>2023-12-06</t>
  </si>
  <si>
    <t>INV0805</t>
  </si>
  <si>
    <t>2024-01-06</t>
  </si>
  <si>
    <t>INV0806</t>
  </si>
  <si>
    <t>2021-09-06</t>
  </si>
  <si>
    <t>INV0807</t>
  </si>
  <si>
    <t>2023-10-20</t>
  </si>
  <si>
    <t>INV0808</t>
  </si>
  <si>
    <t>2018-07-03</t>
  </si>
  <si>
    <t>INV0809</t>
  </si>
  <si>
    <t>2022-01-16</t>
  </si>
  <si>
    <t>INV0810</t>
  </si>
  <si>
    <t>INV0811</t>
  </si>
  <si>
    <t>2023-06-25</t>
  </si>
  <si>
    <t>INV0812</t>
  </si>
  <si>
    <t>INV0813</t>
  </si>
  <si>
    <t>2019-11-09</t>
  </si>
  <si>
    <t>INV0814</t>
  </si>
  <si>
    <t>2023-02-06</t>
  </si>
  <si>
    <t>INV0815</t>
  </si>
  <si>
    <t>INV0816</t>
  </si>
  <si>
    <t>INV0817</t>
  </si>
  <si>
    <t>INV0818</t>
  </si>
  <si>
    <t>2024-01-07</t>
  </si>
  <si>
    <t>INV0819</t>
  </si>
  <si>
    <t>2020-05-26</t>
  </si>
  <si>
    <t>INV0820</t>
  </si>
  <si>
    <t>2018-09-30</t>
  </si>
  <si>
    <t>INV0821</t>
  </si>
  <si>
    <t>2019-06-17</t>
  </si>
  <si>
    <t>INV0822</t>
  </si>
  <si>
    <t>INV0823</t>
  </si>
  <si>
    <t>INV0824</t>
  </si>
  <si>
    <t>2022-11-30</t>
  </si>
  <si>
    <t>INV0825</t>
  </si>
  <si>
    <t>INV0826</t>
  </si>
  <si>
    <t>INV0827</t>
  </si>
  <si>
    <t>INV0828</t>
  </si>
  <si>
    <t>2020-05-15</t>
  </si>
  <si>
    <t>INV0829</t>
  </si>
  <si>
    <t>INV0830</t>
  </si>
  <si>
    <t>2024-08-10</t>
  </si>
  <si>
    <t>INV0831</t>
  </si>
  <si>
    <t>INV0832</t>
  </si>
  <si>
    <t>INV0833</t>
  </si>
  <si>
    <t>INV0834</t>
  </si>
  <si>
    <t>INV0835</t>
  </si>
  <si>
    <t>INV0836</t>
  </si>
  <si>
    <t>2020-08-09</t>
  </si>
  <si>
    <t>INV0837</t>
  </si>
  <si>
    <t>INV0838</t>
  </si>
  <si>
    <t>2019-11-21</t>
  </si>
  <si>
    <t>INV0839</t>
  </si>
  <si>
    <t>2024-04-30</t>
  </si>
  <si>
    <t>INV0840</t>
  </si>
  <si>
    <t>INV0841</t>
  </si>
  <si>
    <t>INV0842</t>
  </si>
  <si>
    <t>INV0843</t>
  </si>
  <si>
    <t>2021-04-11</t>
  </si>
  <si>
    <t>INV0844</t>
  </si>
  <si>
    <t>2023-05-29</t>
  </si>
  <si>
    <t>INV0845</t>
  </si>
  <si>
    <t>INV0846</t>
  </si>
  <si>
    <t>2024-10-13</t>
  </si>
  <si>
    <t>INV0847</t>
  </si>
  <si>
    <t>INV0848</t>
  </si>
  <si>
    <t>2018-11-07</t>
  </si>
  <si>
    <t>INV0849</t>
  </si>
  <si>
    <t>2023-11-23</t>
  </si>
  <si>
    <t>INV0850</t>
  </si>
  <si>
    <t>2019-06-05</t>
  </si>
  <si>
    <t>INV0851</t>
  </si>
  <si>
    <t>INV0852</t>
  </si>
  <si>
    <t>2018-05-22</t>
  </si>
  <si>
    <t>INV0853</t>
  </si>
  <si>
    <t>INV0854</t>
  </si>
  <si>
    <t>INV0855</t>
  </si>
  <si>
    <t>2024-09-30</t>
  </si>
  <si>
    <t>INV0856</t>
  </si>
  <si>
    <t>2024-07-24</t>
  </si>
  <si>
    <t>INV0857</t>
  </si>
  <si>
    <t>2019-09-07</t>
  </si>
  <si>
    <t>INV0858</t>
  </si>
  <si>
    <t>2021-03-05</t>
  </si>
  <si>
    <t>INV0859</t>
  </si>
  <si>
    <t>2019-05-27</t>
  </si>
  <si>
    <t>INV0860</t>
  </si>
  <si>
    <t>2023-06-16</t>
  </si>
  <si>
    <t>INV0861</t>
  </si>
  <si>
    <t>2020-05-20</t>
  </si>
  <si>
    <t>INV0862</t>
  </si>
  <si>
    <t>2022-10-30</t>
  </si>
  <si>
    <t>INV0863</t>
  </si>
  <si>
    <t>2024-03-18</t>
  </si>
  <si>
    <t>INV0864</t>
  </si>
  <si>
    <t>INV0865</t>
  </si>
  <si>
    <t>INV0866</t>
  </si>
  <si>
    <t>2023-11-17</t>
  </si>
  <si>
    <t>INV0867</t>
  </si>
  <si>
    <t>2019-11-22</t>
  </si>
  <si>
    <t>INV0868</t>
  </si>
  <si>
    <t>INV0869</t>
  </si>
  <si>
    <t>INV0870</t>
  </si>
  <si>
    <t>2020-05-30</t>
  </si>
  <si>
    <t>INV0871</t>
  </si>
  <si>
    <t>2022-06-28</t>
  </si>
  <si>
    <t>INV0872</t>
  </si>
  <si>
    <t>2018-08-26</t>
  </si>
  <si>
    <t>INV0873</t>
  </si>
  <si>
    <t>2024-10-21</t>
  </si>
  <si>
    <t>INV0874</t>
  </si>
  <si>
    <t>INV0875</t>
  </si>
  <si>
    <t>2018-01-11</t>
  </si>
  <si>
    <t>INV0876</t>
  </si>
  <si>
    <t>INV0877</t>
  </si>
  <si>
    <t>2021-09-24</t>
  </si>
  <si>
    <t>INV0878</t>
  </si>
  <si>
    <t>INV0879</t>
  </si>
  <si>
    <t>2020-05-07</t>
  </si>
  <si>
    <t>INV0880</t>
  </si>
  <si>
    <t>INV0881</t>
  </si>
  <si>
    <t>INV0882</t>
  </si>
  <si>
    <t>2019-03-04</t>
  </si>
  <si>
    <t>INV0883</t>
  </si>
  <si>
    <t>INV0884</t>
  </si>
  <si>
    <t>2021-02-17</t>
  </si>
  <si>
    <t>INV0885</t>
  </si>
  <si>
    <t>2020-09-07</t>
  </si>
  <si>
    <t>INV0886</t>
  </si>
  <si>
    <t>2023-02-21</t>
  </si>
  <si>
    <t>INV0887</t>
  </si>
  <si>
    <t>INV0888</t>
  </si>
  <si>
    <t>2020-07-25</t>
  </si>
  <si>
    <t>INV0889</t>
  </si>
  <si>
    <t>2020-11-23</t>
  </si>
  <si>
    <t>INV0890</t>
  </si>
  <si>
    <t>2020-06-13</t>
  </si>
  <si>
    <t>INV0891</t>
  </si>
  <si>
    <t>INV0892</t>
  </si>
  <si>
    <t>INV0893</t>
  </si>
  <si>
    <t>2022-04-06</t>
  </si>
  <si>
    <t>INV0894</t>
  </si>
  <si>
    <t>2024-01-27</t>
  </si>
  <si>
    <t>INV0895</t>
  </si>
  <si>
    <t>2021-07-03</t>
  </si>
  <si>
    <t>INV0896</t>
  </si>
  <si>
    <t>INV0897</t>
  </si>
  <si>
    <t>INV0898</t>
  </si>
  <si>
    <t>INV0899</t>
  </si>
  <si>
    <t>INV0900</t>
  </si>
  <si>
    <t>2018-10-02</t>
  </si>
  <si>
    <t>INV0901</t>
  </si>
  <si>
    <t>2024-02-29</t>
  </si>
  <si>
    <t>INV0902</t>
  </si>
  <si>
    <t>2019-10-12</t>
  </si>
  <si>
    <t>INV0903</t>
  </si>
  <si>
    <t>2021-05-29</t>
  </si>
  <si>
    <t>INV0904</t>
  </si>
  <si>
    <t>2022-03-22</t>
  </si>
  <si>
    <t>INV0905</t>
  </si>
  <si>
    <t>INV0906</t>
  </si>
  <si>
    <t>2024-09-18</t>
  </si>
  <si>
    <t>INV0907</t>
  </si>
  <si>
    <t>2021-01-05</t>
  </si>
  <si>
    <t>INV0908</t>
  </si>
  <si>
    <t>2022-12-13</t>
  </si>
  <si>
    <t>INV0909</t>
  </si>
  <si>
    <t>INV0910</t>
  </si>
  <si>
    <t>2022-03-27</t>
  </si>
  <si>
    <t>INV0911</t>
  </si>
  <si>
    <t>INV0912</t>
  </si>
  <si>
    <t>2020-03-14</t>
  </si>
  <si>
    <t>INV0913</t>
  </si>
  <si>
    <t>INV0914</t>
  </si>
  <si>
    <t>2022-08-25</t>
  </si>
  <si>
    <t>INV0915</t>
  </si>
  <si>
    <t>2023-10-21</t>
  </si>
  <si>
    <t>INV0916</t>
  </si>
  <si>
    <t>2022-06-18</t>
  </si>
  <si>
    <t>INV0917</t>
  </si>
  <si>
    <t>INV0918</t>
  </si>
  <si>
    <t>2023-12-28</t>
  </si>
  <si>
    <t>INV0919</t>
  </si>
  <si>
    <t>INV0920</t>
  </si>
  <si>
    <t>2022-11-29</t>
  </si>
  <si>
    <t>INV0921</t>
  </si>
  <si>
    <t>2023-06-03</t>
  </si>
  <si>
    <t>INV0922</t>
  </si>
  <si>
    <t>INV0923</t>
  </si>
  <si>
    <t>2019-09-23</t>
  </si>
  <si>
    <t>INV0924</t>
  </si>
  <si>
    <t>2020-08-22</t>
  </si>
  <si>
    <t>INV0925</t>
  </si>
  <si>
    <t>2018-07-01</t>
  </si>
  <si>
    <t>INV0926</t>
  </si>
  <si>
    <t>INV0927</t>
  </si>
  <si>
    <t>2023-02-13</t>
  </si>
  <si>
    <t>INV0928</t>
  </si>
  <si>
    <t>2023-04-08</t>
  </si>
  <si>
    <t>INV0929</t>
  </si>
  <si>
    <t>INV0930</t>
  </si>
  <si>
    <t>INV0931</t>
  </si>
  <si>
    <t>INV0932</t>
  </si>
  <si>
    <t>2020-10-27</t>
  </si>
  <si>
    <t>INV0933</t>
  </si>
  <si>
    <t>2019-11-28</t>
  </si>
  <si>
    <t>INV0934</t>
  </si>
  <si>
    <t>2019-04-24</t>
  </si>
  <si>
    <t>INV0935</t>
  </si>
  <si>
    <t>2023-09-19</t>
  </si>
  <si>
    <t>INV0936</t>
  </si>
  <si>
    <t>2018-09-28</t>
  </si>
  <si>
    <t>INV0937</t>
  </si>
  <si>
    <t>2023-12-15</t>
  </si>
  <si>
    <t>INV0938</t>
  </si>
  <si>
    <t>2020-09-09</t>
  </si>
  <si>
    <t>INV0939</t>
  </si>
  <si>
    <t>2018-03-01</t>
  </si>
  <si>
    <t>INV0940</t>
  </si>
  <si>
    <t>2021-04-29</t>
  </si>
  <si>
    <t>INV0941</t>
  </si>
  <si>
    <t>2019-05-06</t>
  </si>
  <si>
    <t>INV0942</t>
  </si>
  <si>
    <t>2020-09-15</t>
  </si>
  <si>
    <t>INV0943</t>
  </si>
  <si>
    <t>2018-07-19</t>
  </si>
  <si>
    <t>INV0944</t>
  </si>
  <si>
    <t>2024-09-22</t>
  </si>
  <si>
    <t>INV0945</t>
  </si>
  <si>
    <t>INV0946</t>
  </si>
  <si>
    <t>INV0947</t>
  </si>
  <si>
    <t>INV0948</t>
  </si>
  <si>
    <t>INV0949</t>
  </si>
  <si>
    <t>2023-01-23</t>
  </si>
  <si>
    <t>INV0950</t>
  </si>
  <si>
    <t>2024-01-19</t>
  </si>
  <si>
    <t>INV0951</t>
  </si>
  <si>
    <t>2022-09-28</t>
  </si>
  <si>
    <t>INV0952</t>
  </si>
  <si>
    <t>2024-10-11</t>
  </si>
  <si>
    <t>INV0953</t>
  </si>
  <si>
    <t>2023-02-26</t>
  </si>
  <si>
    <t>INV0954</t>
  </si>
  <si>
    <t>INV0955</t>
  </si>
  <si>
    <t>2023-05-09</t>
  </si>
  <si>
    <t>INV0956</t>
  </si>
  <si>
    <t>2022-01-13</t>
  </si>
  <si>
    <t>INV0957</t>
  </si>
  <si>
    <t>2021-08-06</t>
  </si>
  <si>
    <t>INV0958</t>
  </si>
  <si>
    <t>2023-02-09</t>
  </si>
  <si>
    <t>INV0959</t>
  </si>
  <si>
    <t>INV0960</t>
  </si>
  <si>
    <t>INV0961</t>
  </si>
  <si>
    <t>2019-09-24</t>
  </si>
  <si>
    <t>INV0962</t>
  </si>
  <si>
    <t>2019-09-21</t>
  </si>
  <si>
    <t>INV0963</t>
  </si>
  <si>
    <t>INV0964</t>
  </si>
  <si>
    <t>2020-08-03</t>
  </si>
  <si>
    <t>INV0965</t>
  </si>
  <si>
    <t>2024-06-19</t>
  </si>
  <si>
    <t>INV0966</t>
  </si>
  <si>
    <t>2021-11-07</t>
  </si>
  <si>
    <t>INV0967</t>
  </si>
  <si>
    <t>INV0968</t>
  </si>
  <si>
    <t>2021-11-17</t>
  </si>
  <si>
    <t>INV0969</t>
  </si>
  <si>
    <t>INV0970</t>
  </si>
  <si>
    <t>2021-01-21</t>
  </si>
  <si>
    <t>INV0971</t>
  </si>
  <si>
    <t>INV0972</t>
  </si>
  <si>
    <t>INV0973</t>
  </si>
  <si>
    <t>2022-03-29</t>
  </si>
  <si>
    <t>INV0974</t>
  </si>
  <si>
    <t>INV0975</t>
  </si>
  <si>
    <t>INV0976</t>
  </si>
  <si>
    <t>2019-08-22</t>
  </si>
  <si>
    <t>INV0977</t>
  </si>
  <si>
    <t>2022-06-08</t>
  </si>
  <si>
    <t>INV0978</t>
  </si>
  <si>
    <t>2018-08-04</t>
  </si>
  <si>
    <t>INV0979</t>
  </si>
  <si>
    <t>INV0980</t>
  </si>
  <si>
    <t>2019-02-28</t>
  </si>
  <si>
    <t>INV0981</t>
  </si>
  <si>
    <t>INV0982</t>
  </si>
  <si>
    <t>INV0983</t>
  </si>
  <si>
    <t>2022-07-21</t>
  </si>
  <si>
    <t>INV0984</t>
  </si>
  <si>
    <t>2022-11-26</t>
  </si>
  <si>
    <t>INV0985</t>
  </si>
  <si>
    <t>2024-01-16</t>
  </si>
  <si>
    <t>INV0986</t>
  </si>
  <si>
    <t>INV0987</t>
  </si>
  <si>
    <t>INV0988</t>
  </si>
  <si>
    <t>INV0989</t>
  </si>
  <si>
    <t>INV0990</t>
  </si>
  <si>
    <t>INV0991</t>
  </si>
  <si>
    <t>INV0992</t>
  </si>
  <si>
    <t>2018-04-30</t>
  </si>
  <si>
    <t>INV0993</t>
  </si>
  <si>
    <t>2018-06-19</t>
  </si>
  <si>
    <t>INV0994</t>
  </si>
  <si>
    <t>2024-08-01</t>
  </si>
  <si>
    <t>INV0995</t>
  </si>
  <si>
    <t>2022-05-09</t>
  </si>
  <si>
    <t>INV0996</t>
  </si>
  <si>
    <t>INV0997</t>
  </si>
  <si>
    <t>2021-09-19</t>
  </si>
  <si>
    <t>INV0998</t>
  </si>
  <si>
    <t>2021-12-09</t>
  </si>
  <si>
    <t>INV0999</t>
  </si>
  <si>
    <t>INV1000</t>
  </si>
  <si>
    <t>2020-05-23</t>
  </si>
  <si>
    <t>Total</t>
  </si>
  <si>
    <t>WHT</t>
  </si>
  <si>
    <t>accrued interest</t>
  </si>
  <si>
    <t>Duration</t>
  </si>
  <si>
    <t>DURATION</t>
  </si>
  <si>
    <t>DAILY INTEREST</t>
  </si>
  <si>
    <t>DAILYINTEREST AMOUNT</t>
  </si>
  <si>
    <t>ACCRUEDINTEREST</t>
  </si>
  <si>
    <t>1000</t>
  </si>
  <si>
    <t>DURATION IN YEARS</t>
  </si>
  <si>
    <t>YEARLY  INTEREST</t>
  </si>
  <si>
    <t>TOTALINTEREST</t>
  </si>
  <si>
    <t>Sum of Investment_Amount</t>
  </si>
  <si>
    <t>Sum of TOTALINTEREST</t>
  </si>
  <si>
    <t>Average of Investment_Amount2</t>
  </si>
  <si>
    <t>Average of TOTALINTEREST2</t>
  </si>
  <si>
    <t>Row Labels</t>
  </si>
  <si>
    <t>Grand Total</t>
  </si>
  <si>
    <t>Count of Investor_ID</t>
  </si>
  <si>
    <t>2018</t>
  </si>
  <si>
    <t>2019</t>
  </si>
  <si>
    <t>2020</t>
  </si>
  <si>
    <t>2021</t>
  </si>
  <si>
    <t>2022</t>
  </si>
  <si>
    <t>2023</t>
  </si>
  <si>
    <t>2024</t>
  </si>
  <si>
    <t>TOTAL AMOUNT</t>
  </si>
  <si>
    <t>ACCRUED INTEREST</t>
  </si>
  <si>
    <t>ROW LABELS</t>
  </si>
  <si>
    <t xml:space="preserve"> </t>
  </si>
  <si>
    <t>-</t>
  </si>
  <si>
    <t>INVESTMENT ANALYSIS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</si>
</sst>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 x14ac:knownFonts="1">
    <font>
      <sz val="11"/>
      <color theme="1"/>
      <name val="Calibri"/>
      <family val="2"/>
      <scheme val="minor"/>
    </font>
    <font>
      <sz val="11"/>
      <color theme="1"/>
      <name val="Calibri"/>
      <family val="2"/>
      <scheme val="minor"/>
    </font>
    <font>
      <b/>
      <sz val="18"/>
      <color theme="1"/>
      <name val="Calibri"/>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14" fontId="0" fillId="0" borderId="0" xfId="0" applyNumberFormat="1"/>
    <xf numFmtId="43" fontId="0" fillId="0" borderId="0" xfId="1" applyFont="1"/>
    <xf numFmtId="43" fontId="0" fillId="0" borderId="0" xfId="0" pivotButton="1" applyNumberFormat="1"/>
    <xf numFmtId="43" fontId="0" fillId="0" borderId="0" xfId="0" applyNumberFormat="1"/>
    <xf numFmtId="43" fontId="0" fillId="0" borderId="0" xfId="0" applyNumberFormat="1"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Alignment="1">
      <alignment vertical="center"/>
    </xf>
    <xf numFmtId="164" fontId="0" fillId="0" borderId="0" xfId="0" applyNumberFormat="1"/>
    <xf numFmtId="0" fontId="2" fillId="0" borderId="0" xfId="0" applyFont="1" applyAlignment="1">
      <alignment horizontal="center"/>
    </xf>
    <xf numFmtId="0" fontId="0" fillId="0" borderId="0" xfId="0" applyAlignment="1">
      <alignment horizontal="center"/>
    </xf>
  </cellXfs>
  <cellStyles count="2">
    <cellStyle name="Comma" xfId="1" builtinId="3"/>
    <cellStyle name="Normal" xfId="0" builtinId="0"/>
  </cellStyles>
  <dxfs count="32">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investment_dataset_1000(1).xlsx]SUMMARIES!TREND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INVESTMENT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SUMMARIES!$B$7</c:f>
              <c:strCache>
                <c:ptCount val="1"/>
                <c:pt idx="0">
                  <c:v>TOTAL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SUMMARIES!$A$8:$A$15</c:f>
              <c:strCache>
                <c:ptCount val="7"/>
                <c:pt idx="0">
                  <c:v>2018</c:v>
                </c:pt>
                <c:pt idx="1">
                  <c:v>2019</c:v>
                </c:pt>
                <c:pt idx="2">
                  <c:v>2020</c:v>
                </c:pt>
                <c:pt idx="3">
                  <c:v>2021</c:v>
                </c:pt>
                <c:pt idx="4">
                  <c:v>2022</c:v>
                </c:pt>
                <c:pt idx="5">
                  <c:v>2023</c:v>
                </c:pt>
                <c:pt idx="6">
                  <c:v>2024</c:v>
                </c:pt>
              </c:strCache>
            </c:strRef>
          </c:cat>
          <c:val>
            <c:numRef>
              <c:f>SUMMARIES!$B$8:$B$15</c:f>
              <c:numCache>
                <c:formatCode>_(* #,##0.00_);_(* \(#,##0.00\);_(* "-"??_);_(@_)</c:formatCode>
                <c:ptCount val="7"/>
                <c:pt idx="0">
                  <c:v>376194952</c:v>
                </c:pt>
                <c:pt idx="1">
                  <c:v>356174951</c:v>
                </c:pt>
                <c:pt idx="2">
                  <c:v>422646918</c:v>
                </c:pt>
                <c:pt idx="3">
                  <c:v>363401153</c:v>
                </c:pt>
                <c:pt idx="4">
                  <c:v>389109150</c:v>
                </c:pt>
                <c:pt idx="5">
                  <c:v>335869028</c:v>
                </c:pt>
                <c:pt idx="6">
                  <c:v>298620381</c:v>
                </c:pt>
              </c:numCache>
            </c:numRef>
          </c:val>
          <c:smooth val="0"/>
          <c:extLst>
            <c:ext xmlns:c16="http://schemas.microsoft.com/office/drawing/2014/chart" uri="{C3380CC4-5D6E-409C-BE32-E72D297353CC}">
              <c16:uniqueId val="{00000000-24A3-4EE3-AAFE-3D9151ED4C71}"/>
            </c:ext>
          </c:extLst>
        </c:ser>
        <c:ser>
          <c:idx val="1"/>
          <c:order val="1"/>
          <c:tx>
            <c:strRef>
              <c:f>SUMMARIES!$C$7</c:f>
              <c:strCache>
                <c:ptCount val="1"/>
                <c:pt idx="0">
                  <c:v>ACCRUED INTEREST</c:v>
                </c:pt>
              </c:strCache>
            </c:strRef>
          </c:tx>
          <c:spPr>
            <a:ln w="28575" cap="rnd">
              <a:solidFill>
                <a:srgbClr val="FFC000"/>
              </a:solidFill>
              <a:round/>
            </a:ln>
            <a:effectLst/>
          </c:spPr>
          <c:marker>
            <c:symbol val="circle"/>
            <c:size val="5"/>
            <c:spPr>
              <a:solidFill>
                <a:schemeClr val="accent2"/>
              </a:solidFill>
              <a:ln w="9525">
                <a:solidFill>
                  <a:schemeClr val="accent2"/>
                </a:solidFill>
              </a:ln>
              <a:effectLst/>
            </c:spPr>
          </c:marker>
          <c:cat>
            <c:strRef>
              <c:f>SUMMARIES!$A$8:$A$15</c:f>
              <c:strCache>
                <c:ptCount val="7"/>
                <c:pt idx="0">
                  <c:v>2018</c:v>
                </c:pt>
                <c:pt idx="1">
                  <c:v>2019</c:v>
                </c:pt>
                <c:pt idx="2">
                  <c:v>2020</c:v>
                </c:pt>
                <c:pt idx="3">
                  <c:v>2021</c:v>
                </c:pt>
                <c:pt idx="4">
                  <c:v>2022</c:v>
                </c:pt>
                <c:pt idx="5">
                  <c:v>2023</c:v>
                </c:pt>
                <c:pt idx="6">
                  <c:v>2024</c:v>
                </c:pt>
              </c:strCache>
            </c:strRef>
          </c:cat>
          <c:val>
            <c:numRef>
              <c:f>SUMMARIES!$C$8:$C$15</c:f>
              <c:numCache>
                <c:formatCode>_(* #,##0.00_);_(* \(#,##0.00\);_(* "-"??_);_(@_)</c:formatCode>
                <c:ptCount val="7"/>
                <c:pt idx="0">
                  <c:v>284560230.50000006</c:v>
                </c:pt>
                <c:pt idx="1">
                  <c:v>229077726.10000005</c:v>
                </c:pt>
                <c:pt idx="2">
                  <c:v>232245987.60000005</c:v>
                </c:pt>
                <c:pt idx="3">
                  <c:v>166378333.59999999</c:v>
                </c:pt>
                <c:pt idx="4">
                  <c:v>133897127.30000003</c:v>
                </c:pt>
                <c:pt idx="5">
                  <c:v>83770641.400000036</c:v>
                </c:pt>
                <c:pt idx="6">
                  <c:v>47470011.599999979</c:v>
                </c:pt>
              </c:numCache>
            </c:numRef>
          </c:val>
          <c:smooth val="0"/>
          <c:extLst>
            <c:ext xmlns:c16="http://schemas.microsoft.com/office/drawing/2014/chart" uri="{C3380CC4-5D6E-409C-BE32-E72D297353CC}">
              <c16:uniqueId val="{00000001-24A3-4EE3-AAFE-3D9151ED4C71}"/>
            </c:ext>
          </c:extLst>
        </c:ser>
        <c:dLbls>
          <c:showLegendKey val="0"/>
          <c:showVal val="0"/>
          <c:showCatName val="0"/>
          <c:showSerName val="0"/>
          <c:showPercent val="0"/>
          <c:showBubbleSize val="0"/>
        </c:dLbls>
        <c:marker val="1"/>
        <c:smooth val="0"/>
        <c:axId val="1525739008"/>
        <c:axId val="1525737568"/>
      </c:lineChart>
      <c:catAx>
        <c:axId val="1525739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737568"/>
        <c:crosses val="autoZero"/>
        <c:auto val="1"/>
        <c:lblAlgn val="ctr"/>
        <c:lblOffset val="100"/>
        <c:noMultiLvlLbl val="0"/>
      </c:catAx>
      <c:valAx>
        <c:axId val="1525737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739008"/>
        <c:crosses val="autoZero"/>
        <c:crossBetween val="between"/>
      </c:valAx>
      <c:spPr>
        <a:noFill/>
        <a:ln>
          <a:noFill/>
        </a:ln>
        <a:effectLst/>
      </c:spPr>
    </c:plotArea>
    <c:legend>
      <c:legendPos val="t"/>
      <c:layout>
        <c:manualLayout>
          <c:xMode val="edge"/>
          <c:yMode val="edge"/>
          <c:x val="0.15335112152196265"/>
          <c:y val="0.17878446923089591"/>
          <c:w val="0.69329775695607465"/>
          <c:h val="5.379887919859405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investment_dataset_1000(1).xlsx]SUMMARIES!INVESTMENT TYPE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AMOUNT BY INVESTMENT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s>
    <c:plotArea>
      <c:layout/>
      <c:doughnutChart>
        <c:varyColors val="1"/>
        <c:ser>
          <c:idx val="0"/>
          <c:order val="0"/>
          <c:tx>
            <c:strRef>
              <c:f>SUMMARIES!$G$13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6C4-4FFF-A240-43B5BE129F20}"/>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6C4-4FFF-A240-43B5BE129F2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6C4-4FFF-A240-43B5BE129F20}"/>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36C4-4FFF-A240-43B5BE129F20}"/>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36C4-4FFF-A240-43B5BE129F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SUMMARIES!$F$14:$F$19</c:f>
              <c:strCache>
                <c:ptCount val="5"/>
                <c:pt idx="0">
                  <c:v>Bonds</c:v>
                </c:pt>
                <c:pt idx="1">
                  <c:v>Crypto</c:v>
                </c:pt>
                <c:pt idx="2">
                  <c:v>Mutual Funds</c:v>
                </c:pt>
                <c:pt idx="3">
                  <c:v>Real Estate</c:v>
                </c:pt>
                <c:pt idx="4">
                  <c:v>Stocks</c:v>
                </c:pt>
              </c:strCache>
            </c:strRef>
          </c:cat>
          <c:val>
            <c:numRef>
              <c:f>SUMMARIES!$G$14:$G$19</c:f>
              <c:numCache>
                <c:formatCode>_(* #,##0.00_);_(* \(#,##0.00\);_(* "-"??_);_(@_)</c:formatCode>
                <c:ptCount val="5"/>
                <c:pt idx="0">
                  <c:v>492505048</c:v>
                </c:pt>
                <c:pt idx="1">
                  <c:v>502842970</c:v>
                </c:pt>
                <c:pt idx="2">
                  <c:v>596528020</c:v>
                </c:pt>
                <c:pt idx="3">
                  <c:v>481912855</c:v>
                </c:pt>
                <c:pt idx="4">
                  <c:v>468227640</c:v>
                </c:pt>
              </c:numCache>
            </c:numRef>
          </c:val>
          <c:extLst>
            <c:ext xmlns:c16="http://schemas.microsoft.com/office/drawing/2014/chart" uri="{C3380CC4-5D6E-409C-BE32-E72D297353CC}">
              <c16:uniqueId val="{0000000A-36C4-4FFF-A240-43B5BE129F2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investment_dataset_1000(1).xlsx]SUMMARIES!REGION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 INVESTMENT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SUMMARIES!$G$3</c:f>
              <c:strCache>
                <c:ptCount val="1"/>
                <c:pt idx="0">
                  <c:v>Total</c:v>
                </c:pt>
              </c:strCache>
            </c:strRef>
          </c:tx>
          <c:spPr>
            <a:solidFill>
              <a:schemeClr val="accent6"/>
            </a:solidFill>
            <a:ln>
              <a:noFill/>
            </a:ln>
            <a:effectLst/>
          </c:spPr>
          <c:invertIfNegative val="0"/>
          <c:cat>
            <c:strRef>
              <c:f>SUMMARIES!$F$4:$F$10</c:f>
              <c:strCache>
                <c:ptCount val="6"/>
                <c:pt idx="0">
                  <c:v>Abuja</c:v>
                </c:pt>
                <c:pt idx="1">
                  <c:v>Enugu</c:v>
                </c:pt>
                <c:pt idx="2">
                  <c:v>Ibadan</c:v>
                </c:pt>
                <c:pt idx="3">
                  <c:v>Lagos</c:v>
                </c:pt>
                <c:pt idx="4">
                  <c:v>Onitsha</c:v>
                </c:pt>
                <c:pt idx="5">
                  <c:v>Port Harcourt</c:v>
                </c:pt>
              </c:strCache>
            </c:strRef>
          </c:cat>
          <c:val>
            <c:numRef>
              <c:f>SUMMARIES!$G$4:$G$10</c:f>
              <c:numCache>
                <c:formatCode>_(* #,##0.00_);_(* \(#,##0.00\);_(* "-"??_);_(@_)</c:formatCode>
                <c:ptCount val="6"/>
                <c:pt idx="0">
                  <c:v>391067069</c:v>
                </c:pt>
                <c:pt idx="1">
                  <c:v>427259466</c:v>
                </c:pt>
                <c:pt idx="2">
                  <c:v>442918123</c:v>
                </c:pt>
                <c:pt idx="3">
                  <c:v>460303238</c:v>
                </c:pt>
                <c:pt idx="4">
                  <c:v>430605276</c:v>
                </c:pt>
                <c:pt idx="5">
                  <c:v>389863361</c:v>
                </c:pt>
              </c:numCache>
            </c:numRef>
          </c:val>
          <c:extLst>
            <c:ext xmlns:c16="http://schemas.microsoft.com/office/drawing/2014/chart" uri="{C3380CC4-5D6E-409C-BE32-E72D297353CC}">
              <c16:uniqueId val="{00000000-7F54-4108-A44F-07E65FF9BBF7}"/>
            </c:ext>
          </c:extLst>
        </c:ser>
        <c:dLbls>
          <c:showLegendKey val="0"/>
          <c:showVal val="0"/>
          <c:showCatName val="0"/>
          <c:showSerName val="0"/>
          <c:showPercent val="0"/>
          <c:showBubbleSize val="0"/>
        </c:dLbls>
        <c:gapWidth val="219"/>
        <c:overlap val="-27"/>
        <c:axId val="1835846848"/>
        <c:axId val="1835861248"/>
      </c:barChart>
      <c:catAx>
        <c:axId val="183584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861248"/>
        <c:crosses val="autoZero"/>
        <c:auto val="1"/>
        <c:lblAlgn val="ctr"/>
        <c:lblOffset val="100"/>
        <c:noMultiLvlLbl val="0"/>
      </c:catAx>
      <c:valAx>
        <c:axId val="183586124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84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209549</xdr:colOff>
      <xdr:row>4</xdr:row>
      <xdr:rowOff>66675</xdr:rowOff>
    </xdr:from>
    <xdr:to>
      <xdr:col>7</xdr:col>
      <xdr:colOff>485775</xdr:colOff>
      <xdr:row>9</xdr:row>
      <xdr:rowOff>47625</xdr:rowOff>
    </xdr:to>
    <xdr:sp macro="" textlink="SUMMARIES!B4">
      <xdr:nvSpPr>
        <xdr:cNvPr id="2" name="Rectangle 1">
          <a:extLst>
            <a:ext uri="{FF2B5EF4-FFF2-40B4-BE49-F238E27FC236}">
              <a16:creationId xmlns:a16="http://schemas.microsoft.com/office/drawing/2014/main" id="{15816824-3F94-496D-90D3-41774C3AEAE1}"/>
            </a:ext>
          </a:extLst>
        </xdr:cNvPr>
        <xdr:cNvSpPr/>
      </xdr:nvSpPr>
      <xdr:spPr>
        <a:xfrm>
          <a:off x="2647949" y="828675"/>
          <a:ext cx="2105026" cy="93345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5E13BA14-085F-4ABC-955A-81898F7107BE}" type="TxLink">
            <a:rPr lang="en-US" sz="2400" b="1" i="0" u="none" strike="noStrike">
              <a:solidFill>
                <a:srgbClr val="000000"/>
              </a:solidFill>
              <a:latin typeface="Calibri"/>
              <a:ea typeface="+mn-ea"/>
              <a:cs typeface="Calibri"/>
            </a:rPr>
            <a:pPr marL="0" indent="0" algn="l"/>
            <a:t> 2,542,016.53 </a:t>
          </a:fld>
          <a:endParaRPr lang="en-US" sz="2400" b="1" i="0" u="none" strike="noStrike">
            <a:solidFill>
              <a:srgbClr val="000000"/>
            </a:solidFill>
            <a:latin typeface="Calibri"/>
            <a:ea typeface="+mn-ea"/>
            <a:cs typeface="Calibri"/>
          </a:endParaRPr>
        </a:p>
      </xdr:txBody>
    </xdr:sp>
    <xdr:clientData/>
  </xdr:twoCellAnchor>
  <xdr:twoCellAnchor>
    <xdr:from>
      <xdr:col>8</xdr:col>
      <xdr:colOff>1</xdr:colOff>
      <xdr:row>4</xdr:row>
      <xdr:rowOff>66676</xdr:rowOff>
    </xdr:from>
    <xdr:to>
      <xdr:col>11</xdr:col>
      <xdr:colOff>85725</xdr:colOff>
      <xdr:row>9</xdr:row>
      <xdr:rowOff>47626</xdr:rowOff>
    </xdr:to>
    <xdr:sp macro="" textlink="SUMMARIES!C4">
      <xdr:nvSpPr>
        <xdr:cNvPr id="3" name="Rectangle 2">
          <a:extLst>
            <a:ext uri="{FF2B5EF4-FFF2-40B4-BE49-F238E27FC236}">
              <a16:creationId xmlns:a16="http://schemas.microsoft.com/office/drawing/2014/main" id="{BC0AD3A0-04DE-4E7D-A96B-6E8B62B07546}"/>
            </a:ext>
          </a:extLst>
        </xdr:cNvPr>
        <xdr:cNvSpPr/>
      </xdr:nvSpPr>
      <xdr:spPr>
        <a:xfrm>
          <a:off x="4876801" y="828676"/>
          <a:ext cx="1914524" cy="93345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DFC9D985-8720-4182-9EE8-878A0603C23B}" type="TxLink">
            <a:rPr lang="en-US" sz="2400" b="1" i="0" u="none" strike="noStrike">
              <a:solidFill>
                <a:srgbClr val="000000"/>
              </a:solidFill>
              <a:latin typeface="Calibri"/>
              <a:ea typeface="+mn-ea"/>
              <a:cs typeface="Calibri"/>
            </a:rPr>
            <a:pPr marL="0" indent="0" algn="l"/>
            <a:t> 1,177,400,058.10 </a:t>
          </a:fld>
          <a:endParaRPr lang="en-US" sz="2400" b="1" i="0" u="none" strike="noStrike">
            <a:solidFill>
              <a:srgbClr val="000000"/>
            </a:solidFill>
            <a:latin typeface="Calibri"/>
            <a:ea typeface="+mn-ea"/>
            <a:cs typeface="Calibri"/>
          </a:endParaRPr>
        </a:p>
      </xdr:txBody>
    </xdr:sp>
    <xdr:clientData/>
  </xdr:twoCellAnchor>
  <xdr:twoCellAnchor>
    <xdr:from>
      <xdr:col>11</xdr:col>
      <xdr:colOff>190499</xdr:colOff>
      <xdr:row>4</xdr:row>
      <xdr:rowOff>57150</xdr:rowOff>
    </xdr:from>
    <xdr:to>
      <xdr:col>14</xdr:col>
      <xdr:colOff>314324</xdr:colOff>
      <xdr:row>9</xdr:row>
      <xdr:rowOff>28575</xdr:rowOff>
    </xdr:to>
    <xdr:sp macro="" textlink="SUMMARIES!D4">
      <xdr:nvSpPr>
        <xdr:cNvPr id="4" name="Rectangle 3">
          <a:extLst>
            <a:ext uri="{FF2B5EF4-FFF2-40B4-BE49-F238E27FC236}">
              <a16:creationId xmlns:a16="http://schemas.microsoft.com/office/drawing/2014/main" id="{52D00D19-B5DC-4E61-9615-71E84CE495F9}"/>
            </a:ext>
          </a:extLst>
        </xdr:cNvPr>
        <xdr:cNvSpPr/>
      </xdr:nvSpPr>
      <xdr:spPr>
        <a:xfrm>
          <a:off x="6896099" y="819150"/>
          <a:ext cx="1952625" cy="923925"/>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F5F933F5-1B4A-41BA-9047-925689CD71A7}" type="TxLink">
            <a:rPr lang="en-US" sz="2400" b="1" i="0" u="none" strike="noStrike">
              <a:solidFill>
                <a:srgbClr val="000000"/>
              </a:solidFill>
              <a:latin typeface="Calibri"/>
              <a:ea typeface="+mn-ea"/>
              <a:cs typeface="Calibri"/>
            </a:rPr>
            <a:pPr marL="0" indent="0" algn="l"/>
            <a:t> 1,177,400.06 </a:t>
          </a:fld>
          <a:endParaRPr lang="en-US" sz="2400" b="1" i="0" u="none" strike="noStrike">
            <a:solidFill>
              <a:srgbClr val="000000"/>
            </a:solidFill>
            <a:latin typeface="Calibri"/>
            <a:ea typeface="+mn-ea"/>
            <a:cs typeface="Calibri"/>
          </a:endParaRPr>
        </a:p>
      </xdr:txBody>
    </xdr:sp>
    <xdr:clientData/>
  </xdr:twoCellAnchor>
  <xdr:twoCellAnchor>
    <xdr:from>
      <xdr:col>0</xdr:col>
      <xdr:colOff>95249</xdr:colOff>
      <xdr:row>4</xdr:row>
      <xdr:rowOff>47625</xdr:rowOff>
    </xdr:from>
    <xdr:to>
      <xdr:col>4</xdr:col>
      <xdr:colOff>57150</xdr:colOff>
      <xdr:row>9</xdr:row>
      <xdr:rowOff>38100</xdr:rowOff>
    </xdr:to>
    <xdr:sp macro="" textlink="SUMMARIES!A4">
      <xdr:nvSpPr>
        <xdr:cNvPr id="5" name="Rectangle 4">
          <a:extLst>
            <a:ext uri="{FF2B5EF4-FFF2-40B4-BE49-F238E27FC236}">
              <a16:creationId xmlns:a16="http://schemas.microsoft.com/office/drawing/2014/main" id="{342914CE-68BC-49E4-9B80-51D5269D1228}"/>
            </a:ext>
          </a:extLst>
        </xdr:cNvPr>
        <xdr:cNvSpPr/>
      </xdr:nvSpPr>
      <xdr:spPr>
        <a:xfrm>
          <a:off x="95249" y="809625"/>
          <a:ext cx="2400301" cy="942975"/>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D6A965D-10E2-46BC-B755-1ECBD5EF230B}" type="TxLink">
            <a:rPr lang="en-US" sz="2400" b="1" i="0" u="none" strike="noStrike">
              <a:solidFill>
                <a:srgbClr val="000000"/>
              </a:solidFill>
              <a:latin typeface="Calibri"/>
              <a:cs typeface="Calibri"/>
            </a:rPr>
            <a:pPr algn="l"/>
            <a:t> 2,542,016,533.00 </a:t>
          </a:fld>
          <a:endParaRPr lang="en-US" sz="2400" b="1"/>
        </a:p>
      </xdr:txBody>
    </xdr:sp>
    <xdr:clientData/>
  </xdr:twoCellAnchor>
  <xdr:twoCellAnchor>
    <xdr:from>
      <xdr:col>0</xdr:col>
      <xdr:colOff>47626</xdr:colOff>
      <xdr:row>9</xdr:row>
      <xdr:rowOff>133351</xdr:rowOff>
    </xdr:from>
    <xdr:to>
      <xdr:col>6</xdr:col>
      <xdr:colOff>361950</xdr:colOff>
      <xdr:row>27</xdr:row>
      <xdr:rowOff>104775</xdr:rowOff>
    </xdr:to>
    <xdr:graphicFrame macro="">
      <xdr:nvGraphicFramePr>
        <xdr:cNvPr id="6" name="Chart 5">
          <a:extLst>
            <a:ext uri="{FF2B5EF4-FFF2-40B4-BE49-F238E27FC236}">
              <a16:creationId xmlns:a16="http://schemas.microsoft.com/office/drawing/2014/main" id="{3F3AD5D2-EA19-4CF9-A5D2-59EB202DE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428624</xdr:colOff>
      <xdr:row>9</xdr:row>
      <xdr:rowOff>161925</xdr:rowOff>
    </xdr:from>
    <xdr:to>
      <xdr:col>12</xdr:col>
      <xdr:colOff>457199</xdr:colOff>
      <xdr:row>24</xdr:row>
      <xdr:rowOff>47625</xdr:rowOff>
    </xdr:to>
    <xdr:graphicFrame macro="">
      <xdr:nvGraphicFramePr>
        <xdr:cNvPr id="11" name="Chart 10">
          <a:extLst>
            <a:ext uri="{FF2B5EF4-FFF2-40B4-BE49-F238E27FC236}">
              <a16:creationId xmlns:a16="http://schemas.microsoft.com/office/drawing/2014/main" id="{65A1442D-2D06-477E-B603-8B4BE875A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533400</xdr:colOff>
      <xdr:row>9</xdr:row>
      <xdr:rowOff>180975</xdr:rowOff>
    </xdr:from>
    <xdr:to>
      <xdr:col>19</xdr:col>
      <xdr:colOff>238125</xdr:colOff>
      <xdr:row>24</xdr:row>
      <xdr:rowOff>28575</xdr:rowOff>
    </xdr:to>
    <xdr:graphicFrame macro="">
      <xdr:nvGraphicFramePr>
        <xdr:cNvPr id="12" name="Chart 11">
          <a:extLst>
            <a:ext uri="{FF2B5EF4-FFF2-40B4-BE49-F238E27FC236}">
              <a16:creationId xmlns:a16="http://schemas.microsoft.com/office/drawing/2014/main" id="{0603C1F2-2285-4DAD-A44C-E88DD2823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13</xdr:col>
      <xdr:colOff>266700</xdr:colOff>
      <xdr:row>0</xdr:row>
      <xdr:rowOff>142875</xdr:rowOff>
    </xdr:from>
    <xdr:ext cx="184731" cy="264560"/>
    <xdr:sp macro="" textlink="">
      <xdr:nvSpPr>
        <xdr:cNvPr id="14" name="TextBox 13">
          <a:extLst>
            <a:ext uri="{FF2B5EF4-FFF2-40B4-BE49-F238E27FC236}">
              <a16:creationId xmlns:a16="http://schemas.microsoft.com/office/drawing/2014/main" id="{0E411AC8-2E17-C603-A009-F06D1DA7D6CC}"/>
            </a:ext>
          </a:extLst>
        </xdr:cNvPr>
        <xdr:cNvSpPr txBox="1"/>
      </xdr:nvSpPr>
      <xdr:spPr>
        <a:xfrm>
          <a:off x="8191500" y="142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xdr:col>
      <xdr:colOff>219075</xdr:colOff>
      <xdr:row>0</xdr:row>
      <xdr:rowOff>114300</xdr:rowOff>
    </xdr:from>
    <xdr:to>
      <xdr:col>9</xdr:col>
      <xdr:colOff>590550</xdr:colOff>
      <xdr:row>3</xdr:row>
      <xdr:rowOff>0</xdr:rowOff>
    </xdr:to>
    <xdr:sp macro="" textlink="">
      <xdr:nvSpPr>
        <xdr:cNvPr id="15" name="TextBox 14">
          <a:extLst>
            <a:ext uri="{FF2B5EF4-FFF2-40B4-BE49-F238E27FC236}">
              <a16:creationId xmlns:a16="http://schemas.microsoft.com/office/drawing/2014/main" id="{16C6D1EE-E876-7171-002F-92BD3D524ED4}"/>
            </a:ext>
          </a:extLst>
        </xdr:cNvPr>
        <xdr:cNvSpPr txBox="1"/>
      </xdr:nvSpPr>
      <xdr:spPr>
        <a:xfrm>
          <a:off x="1438275" y="114300"/>
          <a:ext cx="4638675"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latin typeface="+mn-lt"/>
            </a:rPr>
            <a:t>INVESTMENT OVERVIEW</a:t>
          </a:r>
        </a:p>
      </xdr:txBody>
    </xdr:sp>
    <xdr:clientData/>
  </xdr:twoCellAnchor>
  <xdr:twoCellAnchor>
    <xdr:from>
      <xdr:col>1</xdr:col>
      <xdr:colOff>85725</xdr:colOff>
      <xdr:row>4</xdr:row>
      <xdr:rowOff>66675</xdr:rowOff>
    </xdr:from>
    <xdr:to>
      <xdr:col>3</xdr:col>
      <xdr:colOff>247650</xdr:colOff>
      <xdr:row>5</xdr:row>
      <xdr:rowOff>85725</xdr:rowOff>
    </xdr:to>
    <xdr:sp macro="" textlink="">
      <xdr:nvSpPr>
        <xdr:cNvPr id="16" name="TextBox 15">
          <a:extLst>
            <a:ext uri="{FF2B5EF4-FFF2-40B4-BE49-F238E27FC236}">
              <a16:creationId xmlns:a16="http://schemas.microsoft.com/office/drawing/2014/main" id="{DB352BAB-DE38-A582-AC15-77AF448D302F}"/>
            </a:ext>
          </a:extLst>
        </xdr:cNvPr>
        <xdr:cNvSpPr txBox="1"/>
      </xdr:nvSpPr>
      <xdr:spPr>
        <a:xfrm>
          <a:off x="695325" y="828675"/>
          <a:ext cx="13811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TOTAL AMOUNT</a:t>
          </a:r>
        </a:p>
      </xdr:txBody>
    </xdr:sp>
    <xdr:clientData/>
  </xdr:twoCellAnchor>
  <xdr:twoCellAnchor>
    <xdr:from>
      <xdr:col>4</xdr:col>
      <xdr:colOff>609599</xdr:colOff>
      <xdr:row>4</xdr:row>
      <xdr:rowOff>76200</xdr:rowOff>
    </xdr:from>
    <xdr:to>
      <xdr:col>7</xdr:col>
      <xdr:colOff>161924</xdr:colOff>
      <xdr:row>5</xdr:row>
      <xdr:rowOff>95250</xdr:rowOff>
    </xdr:to>
    <xdr:sp macro="" textlink="">
      <xdr:nvSpPr>
        <xdr:cNvPr id="23" name="TextBox 22">
          <a:extLst>
            <a:ext uri="{FF2B5EF4-FFF2-40B4-BE49-F238E27FC236}">
              <a16:creationId xmlns:a16="http://schemas.microsoft.com/office/drawing/2014/main" id="{6A3B01E3-AB1C-4C30-A744-2BA7ACF71107}"/>
            </a:ext>
          </a:extLst>
        </xdr:cNvPr>
        <xdr:cNvSpPr txBox="1"/>
      </xdr:nvSpPr>
      <xdr:spPr>
        <a:xfrm>
          <a:off x="3047999" y="838200"/>
          <a:ext cx="13811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AVERAGE AMOUNT</a:t>
          </a:r>
        </a:p>
      </xdr:txBody>
    </xdr:sp>
    <xdr:clientData/>
  </xdr:twoCellAnchor>
  <xdr:twoCellAnchor>
    <xdr:from>
      <xdr:col>8</xdr:col>
      <xdr:colOff>323850</xdr:colOff>
      <xdr:row>4</xdr:row>
      <xdr:rowOff>66675</xdr:rowOff>
    </xdr:from>
    <xdr:to>
      <xdr:col>10</xdr:col>
      <xdr:colOff>485775</xdr:colOff>
      <xdr:row>5</xdr:row>
      <xdr:rowOff>85725</xdr:rowOff>
    </xdr:to>
    <xdr:sp macro="" textlink="">
      <xdr:nvSpPr>
        <xdr:cNvPr id="25" name="TextBox 24">
          <a:extLst>
            <a:ext uri="{FF2B5EF4-FFF2-40B4-BE49-F238E27FC236}">
              <a16:creationId xmlns:a16="http://schemas.microsoft.com/office/drawing/2014/main" id="{EE483D28-AA3E-4A6C-AA42-DCF42A45DD90}"/>
            </a:ext>
          </a:extLst>
        </xdr:cNvPr>
        <xdr:cNvSpPr txBox="1"/>
      </xdr:nvSpPr>
      <xdr:spPr>
        <a:xfrm>
          <a:off x="5200650" y="828675"/>
          <a:ext cx="13811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ACCRUED</a:t>
          </a:r>
          <a:r>
            <a:rPr lang="en-US" sz="1100" baseline="0"/>
            <a:t> INTEREST</a:t>
          </a:r>
          <a:endParaRPr lang="en-US" sz="1100"/>
        </a:p>
      </xdr:txBody>
    </xdr:sp>
    <xdr:clientData/>
  </xdr:twoCellAnchor>
  <xdr:twoCellAnchor>
    <xdr:from>
      <xdr:col>11</xdr:col>
      <xdr:colOff>514349</xdr:colOff>
      <xdr:row>4</xdr:row>
      <xdr:rowOff>57150</xdr:rowOff>
    </xdr:from>
    <xdr:to>
      <xdr:col>14</xdr:col>
      <xdr:colOff>66674</xdr:colOff>
      <xdr:row>5</xdr:row>
      <xdr:rowOff>76200</xdr:rowOff>
    </xdr:to>
    <xdr:sp macro="" textlink="">
      <xdr:nvSpPr>
        <xdr:cNvPr id="28" name="TextBox 27">
          <a:extLst>
            <a:ext uri="{FF2B5EF4-FFF2-40B4-BE49-F238E27FC236}">
              <a16:creationId xmlns:a16="http://schemas.microsoft.com/office/drawing/2014/main" id="{E93C2332-5352-4170-B678-C66CAEA12E31}"/>
            </a:ext>
          </a:extLst>
        </xdr:cNvPr>
        <xdr:cNvSpPr txBox="1"/>
      </xdr:nvSpPr>
      <xdr:spPr>
        <a:xfrm>
          <a:off x="7219949" y="819150"/>
          <a:ext cx="13811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AVERAGE</a:t>
          </a:r>
          <a:r>
            <a:rPr lang="en-US" sz="1100" baseline="0"/>
            <a:t> INTEREST</a:t>
          </a:r>
          <a:endParaRPr lang="en-US" sz="1100"/>
        </a:p>
      </xdr:txBody>
    </xdr:sp>
    <xdr:clientData/>
  </xdr:twoCellAnchor>
  <xdr:twoCellAnchor editAs="oneCell">
    <xdr:from>
      <xdr:col>17</xdr:col>
      <xdr:colOff>609599</xdr:colOff>
      <xdr:row>1</xdr:row>
      <xdr:rowOff>85726</xdr:rowOff>
    </xdr:from>
    <xdr:to>
      <xdr:col>20</xdr:col>
      <xdr:colOff>314324</xdr:colOff>
      <xdr:row>4</xdr:row>
      <xdr:rowOff>114300</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21F75B7A-F2DD-4E62-A864-795D9B3732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72799" y="276226"/>
              <a:ext cx="1533525" cy="600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409575</xdr:colOff>
      <xdr:row>4</xdr:row>
      <xdr:rowOff>76200</xdr:rowOff>
    </xdr:from>
    <xdr:to>
      <xdr:col>17</xdr:col>
      <xdr:colOff>533400</xdr:colOff>
      <xdr:row>9</xdr:row>
      <xdr:rowOff>47625</xdr:rowOff>
    </xdr:to>
    <xdr:sp macro="" textlink="SUMMARIES!E4">
      <xdr:nvSpPr>
        <xdr:cNvPr id="30" name="Rectangle 29">
          <a:extLst>
            <a:ext uri="{FF2B5EF4-FFF2-40B4-BE49-F238E27FC236}">
              <a16:creationId xmlns:a16="http://schemas.microsoft.com/office/drawing/2014/main" id="{A2CD8BD6-3EB9-478C-A067-DB914AC39FEA}"/>
            </a:ext>
          </a:extLst>
        </xdr:cNvPr>
        <xdr:cNvSpPr/>
      </xdr:nvSpPr>
      <xdr:spPr>
        <a:xfrm>
          <a:off x="8943975" y="838200"/>
          <a:ext cx="1952625" cy="923925"/>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F9DE4473-B6CB-4207-BC1F-335F2265D2F4}" type="TxLink">
            <a:rPr lang="en-US" sz="2400" b="1" i="0" u="none" strike="noStrike">
              <a:solidFill>
                <a:srgbClr val="000000"/>
              </a:solidFill>
              <a:latin typeface="Calibri"/>
              <a:ea typeface="+mn-ea"/>
              <a:cs typeface="Calibri"/>
            </a:rPr>
            <a:pPr marL="0" indent="0" algn="l"/>
            <a:t> 1,000 </a:t>
          </a:fld>
          <a:endParaRPr lang="en-US" sz="2400" b="1" i="0" u="none" strike="noStrike">
            <a:solidFill>
              <a:srgbClr val="000000"/>
            </a:solidFill>
            <a:latin typeface="Calibri"/>
            <a:ea typeface="+mn-ea"/>
            <a:cs typeface="Calibri"/>
          </a:endParaRPr>
        </a:p>
      </xdr:txBody>
    </xdr:sp>
    <xdr:clientData/>
  </xdr:twoCellAnchor>
  <xdr:twoCellAnchor>
    <xdr:from>
      <xdr:col>14</xdr:col>
      <xdr:colOff>409575</xdr:colOff>
      <xdr:row>4</xdr:row>
      <xdr:rowOff>76200</xdr:rowOff>
    </xdr:from>
    <xdr:to>
      <xdr:col>17</xdr:col>
      <xdr:colOff>200025</xdr:colOff>
      <xdr:row>5</xdr:row>
      <xdr:rowOff>66675</xdr:rowOff>
    </xdr:to>
    <xdr:sp macro="" textlink="">
      <xdr:nvSpPr>
        <xdr:cNvPr id="32" name="TextBox 31">
          <a:extLst>
            <a:ext uri="{FF2B5EF4-FFF2-40B4-BE49-F238E27FC236}">
              <a16:creationId xmlns:a16="http://schemas.microsoft.com/office/drawing/2014/main" id="{97661429-BF00-423E-AC73-F667FFA1200A}"/>
            </a:ext>
          </a:extLst>
        </xdr:cNvPr>
        <xdr:cNvSpPr txBox="1"/>
      </xdr:nvSpPr>
      <xdr:spPr>
        <a:xfrm>
          <a:off x="8943975" y="838200"/>
          <a:ext cx="161925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t>COUNT</a:t>
          </a:r>
          <a:r>
            <a:rPr lang="en-US" sz="1100" baseline="0"/>
            <a:t> OF INVESTORS</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31.823210069444" createdVersion="8" refreshedVersion="8" minRefreshableVersion="3" recordCount="1000" xr:uid="{8046E4BE-2B58-4383-AF0F-90F80DC04145}">
  <cacheSource type="worksheet">
    <worksheetSource name="_INVESTEMENTDATA__"/>
  </cacheSource>
  <cacheFields count="17">
    <cacheField name="Investor_ID" numFmtId="0">
      <sharedItems/>
    </cacheField>
    <cacheField name="Gender" numFmtId="0">
      <sharedItems/>
    </cacheField>
    <cacheField name="Age" numFmtId="0">
      <sharedItems containsSemiMixedTypes="0" containsString="0" containsNumber="1" containsInteger="1" minValue="21" maxValue="65"/>
    </cacheField>
    <cacheField name="Investment_Type" numFmtId="0">
      <sharedItems count="5">
        <s v="Crypto"/>
        <s v="Stocks"/>
        <s v="Real Estate"/>
        <s v="Bonds"/>
        <s v="Mutual Funds"/>
      </sharedItems>
    </cacheField>
    <cacheField name="Sector" numFmtId="0">
      <sharedItems/>
    </cacheField>
    <cacheField name="Region" numFmtId="0">
      <sharedItems count="6">
        <s v="Ibadan"/>
        <s v="Port Harcourt"/>
        <s v="Abuja"/>
        <s v="Onitsha"/>
        <s v="Lagos"/>
        <s v="Enugu"/>
      </sharedItems>
    </cacheField>
    <cacheField name="Investment_Amount" numFmtId="0">
      <sharedItems containsSemiMixedTypes="0" containsString="0" containsNumber="1" containsInteger="1" minValue="55103" maxValue="4999667"/>
    </cacheField>
    <cacheField name="Expected_Return_%" numFmtId="0">
      <sharedItems containsSemiMixedTypes="0" containsString="0" containsNumber="1" minValue="5.03" maxValue="34.97"/>
    </cacheField>
    <cacheField name="Actual_Return_%" numFmtId="0">
      <sharedItems containsSemiMixedTypes="0" containsString="0" containsNumber="1" minValue="-9.98" maxValue="44.95"/>
    </cacheField>
    <cacheField name="Investment_Date" numFmtId="14">
      <sharedItems containsSemiMixedTypes="0" containsNonDate="0" containsDate="1" containsString="0" minDate="2018-01-02T00:00:00" maxDate="2024-11-05T00:00:00" count="802">
        <d v="2023-05-21T00:00:00"/>
        <d v="2019-10-08T00:00:00"/>
        <d v="2018-02-11T00:00:00"/>
        <d v="2022-04-20T00:00:00"/>
        <d v="2020-03-03T00:00:00"/>
        <d v="2019-07-22T00:00:00"/>
        <d v="2019-09-22T00:00:00"/>
        <d v="2023-09-17T00:00:00"/>
        <d v="2022-10-08T00:00:00"/>
        <d v="2019-11-07T00:00:00"/>
        <d v="2021-12-30T00:00:00"/>
        <d v="2018-01-18T00:00:00"/>
        <d v="2018-12-18T00:00:00"/>
        <d v="2024-02-07T00:00:00"/>
        <d v="2018-10-19T00:00:00"/>
        <d v="2023-07-08T00:00:00"/>
        <d v="2018-02-22T00:00:00"/>
        <d v="2020-10-01T00:00:00"/>
        <d v="2022-05-23T00:00:00"/>
        <d v="2021-04-27T00:00:00"/>
        <d v="2019-03-21T00:00:00"/>
        <d v="2022-12-28T00:00:00"/>
        <d v="2022-03-18T00:00:00"/>
        <d v="2021-10-23T00:00:00"/>
        <d v="2024-06-11T00:00:00"/>
        <d v="2019-03-01T00:00:00"/>
        <d v="2023-05-08T00:00:00"/>
        <d v="2024-09-29T00:00:00"/>
        <d v="2019-06-06T00:00:00"/>
        <d v="2019-05-26T00:00:00"/>
        <d v="2020-11-21T00:00:00"/>
        <d v="2021-02-03T00:00:00"/>
        <d v="2019-03-13T00:00:00"/>
        <d v="2022-03-13T00:00:00"/>
        <d v="2021-04-08T00:00:00"/>
        <d v="2020-07-26T00:00:00"/>
        <d v="2018-09-24T00:00:00"/>
        <d v="2021-02-20T00:00:00"/>
        <d v="2020-01-29T00:00:00"/>
        <d v="2022-08-13T00:00:00"/>
        <d v="2020-06-05T00:00:00"/>
        <d v="2020-06-14T00:00:00"/>
        <d v="2018-10-23T00:00:00"/>
        <d v="2021-02-13T00:00:00"/>
        <d v="2023-04-20T00:00:00"/>
        <d v="2023-12-11T00:00:00"/>
        <d v="2020-07-06T00:00:00"/>
        <d v="2023-11-04T00:00:00"/>
        <d v="2020-03-05T00:00:00"/>
        <d v="2018-09-17T00:00:00"/>
        <d v="2023-03-08T00:00:00"/>
        <d v="2019-09-26T00:00:00"/>
        <d v="2020-01-21T00:00:00"/>
        <d v="2021-11-13T00:00:00"/>
        <d v="2024-07-13T00:00:00"/>
        <d v="2021-06-17T00:00:00"/>
        <d v="2023-12-16T00:00:00"/>
        <d v="2019-02-01T00:00:00"/>
        <d v="2018-07-28T00:00:00"/>
        <d v="2021-01-01T00:00:00"/>
        <d v="2022-08-28T00:00:00"/>
        <d v="2018-09-08T00:00:00"/>
        <d v="2021-03-18T00:00:00"/>
        <d v="2019-02-04T00:00:00"/>
        <d v="2022-05-13T00:00:00"/>
        <d v="2024-05-21T00:00:00"/>
        <d v="2024-05-11T00:00:00"/>
        <d v="2022-10-18T00:00:00"/>
        <d v="2024-02-26T00:00:00"/>
        <d v="2021-05-20T00:00:00"/>
        <d v="2018-12-24T00:00:00"/>
        <d v="2020-12-10T00:00:00"/>
        <d v="2020-05-19T00:00:00"/>
        <d v="2022-09-24T00:00:00"/>
        <d v="2024-07-05T00:00:00"/>
        <d v="2021-06-07T00:00:00"/>
        <d v="2024-09-17T00:00:00"/>
        <d v="2018-02-10T00:00:00"/>
        <d v="2020-10-04T00:00:00"/>
        <d v="2018-04-10T00:00:00"/>
        <d v="2023-05-07T00:00:00"/>
        <d v="2019-05-25T00:00:00"/>
        <d v="2022-10-03T00:00:00"/>
        <d v="2024-07-21T00:00:00"/>
        <d v="2019-12-22T00:00:00"/>
        <d v="2018-02-15T00:00:00"/>
        <d v="2019-01-29T00:00:00"/>
        <d v="2023-04-14T00:00:00"/>
        <d v="2021-10-17T00:00:00"/>
        <d v="2021-07-29T00:00:00"/>
        <d v="2018-04-09T00:00:00"/>
        <d v="2018-08-01T00:00:00"/>
        <d v="2024-03-07T00:00:00"/>
        <d v="2021-01-18T00:00:00"/>
        <d v="2021-10-07T00:00:00"/>
        <d v="2021-03-22T00:00:00"/>
        <d v="2019-07-27T00:00:00"/>
        <d v="2024-09-08T00:00:00"/>
        <d v="2022-07-25T00:00:00"/>
        <d v="2020-04-25T00:00:00"/>
        <d v="2019-08-02T00:00:00"/>
        <d v="2019-03-03T00:00:00"/>
        <d v="2019-09-08T00:00:00"/>
        <d v="2020-01-08T00:00:00"/>
        <d v="2023-12-01T00:00:00"/>
        <d v="2021-07-04T00:00:00"/>
        <d v="2020-08-12T00:00:00"/>
        <d v="2022-12-08T00:00:00"/>
        <d v="2021-09-27T00:00:00"/>
        <d v="2023-10-24T00:00:00"/>
        <d v="2023-03-19T00:00:00"/>
        <d v="2021-07-11T00:00:00"/>
        <d v="2018-04-07T00:00:00"/>
        <d v="2023-02-10T00:00:00"/>
        <d v="2018-04-28T00:00:00"/>
        <d v="2023-06-21T00:00:00"/>
        <d v="2021-12-02T00:00:00"/>
        <d v="2024-06-18T00:00:00"/>
        <d v="2022-07-17T00:00:00"/>
        <d v="2023-07-19T00:00:00"/>
        <d v="2023-07-01T00:00:00"/>
        <d v="2023-07-29T00:00:00"/>
        <d v="2023-05-03T00:00:00"/>
        <d v="2021-06-30T00:00:00"/>
        <d v="2021-01-15T00:00:00"/>
        <d v="2020-08-11T00:00:00"/>
        <d v="2024-05-14T00:00:00"/>
        <d v="2020-02-03T00:00:00"/>
        <d v="2022-09-18T00:00:00"/>
        <d v="2021-07-01T00:00:00"/>
        <d v="2018-12-25T00:00:00"/>
        <d v="2019-12-07T00:00:00"/>
        <d v="2020-03-19T00:00:00"/>
        <d v="2024-02-18T00:00:00"/>
        <d v="2022-12-17T00:00:00"/>
        <d v="2022-12-04T00:00:00"/>
        <d v="2020-03-31T00:00:00"/>
        <d v="2024-04-14T00:00:00"/>
        <d v="2022-12-23T00:00:00"/>
        <d v="2023-06-24T00:00:00"/>
        <d v="2020-02-17T00:00:00"/>
        <d v="2018-01-26T00:00:00"/>
        <d v="2024-08-30T00:00:00"/>
        <d v="2020-08-13T00:00:00"/>
        <d v="2022-04-19T00:00:00"/>
        <d v="2023-03-18T00:00:00"/>
        <d v="2018-05-12T00:00:00"/>
        <d v="2024-10-16T00:00:00"/>
        <d v="2020-10-05T00:00:00"/>
        <d v="2021-07-24T00:00:00"/>
        <d v="2018-05-20T00:00:00"/>
        <d v="2019-08-15T00:00:00"/>
        <d v="2023-08-21T00:00:00"/>
        <d v="2024-10-06T00:00:00"/>
        <d v="2019-08-20T00:00:00"/>
        <d v="2018-11-27T00:00:00"/>
        <d v="2024-02-27T00:00:00"/>
        <d v="2018-02-09T00:00:00"/>
        <d v="2018-11-03T00:00:00"/>
        <d v="2022-12-27T00:00:00"/>
        <d v="2020-01-11T00:00:00"/>
        <d v="2023-03-22T00:00:00"/>
        <d v="2019-04-18T00:00:00"/>
        <d v="2020-08-18T00:00:00"/>
        <d v="2019-04-23T00:00:00"/>
        <d v="2018-04-16T00:00:00"/>
        <d v="2018-05-10T00:00:00"/>
        <d v="2020-12-03T00:00:00"/>
        <d v="2024-07-31T00:00:00"/>
        <d v="2018-05-07T00:00:00"/>
        <d v="2023-01-20T00:00:00"/>
        <d v="2018-09-14T00:00:00"/>
        <d v="2020-08-30T00:00:00"/>
        <d v="2024-09-21T00:00:00"/>
        <d v="2021-10-25T00:00:00"/>
        <d v="2022-12-07T00:00:00"/>
        <d v="2020-06-16T00:00:00"/>
        <d v="2024-06-22T00:00:00"/>
        <d v="2018-06-26T00:00:00"/>
        <d v="2021-02-10T00:00:00"/>
        <d v="2023-03-28T00:00:00"/>
        <d v="2021-01-03T00:00:00"/>
        <d v="2018-06-28T00:00:00"/>
        <d v="2023-07-06T00:00:00"/>
        <d v="2022-05-31T00:00:00"/>
        <d v="2023-10-17T00:00:00"/>
        <d v="2023-04-06T00:00:00"/>
        <d v="2020-03-01T00:00:00"/>
        <d v="2022-10-24T00:00:00"/>
        <d v="2018-09-07T00:00:00"/>
        <d v="2020-07-01T00:00:00"/>
        <d v="2020-08-23T00:00:00"/>
        <d v="2018-07-17T00:00:00"/>
        <d v="2023-11-19T00:00:00"/>
        <d v="2019-03-31T00:00:00"/>
        <d v="2021-11-03T00:00:00"/>
        <d v="2019-11-15T00:00:00"/>
        <d v="2019-03-27T00:00:00"/>
        <d v="2018-03-22T00:00:00"/>
        <d v="2023-05-31T00:00:00"/>
        <d v="2020-07-11T00:00:00"/>
        <d v="2018-12-16T00:00:00"/>
        <d v="2021-09-03T00:00:00"/>
        <d v="2019-09-14T00:00:00"/>
        <d v="2021-01-24T00:00:00"/>
        <d v="2020-09-08T00:00:00"/>
        <d v="2018-06-13T00:00:00"/>
        <d v="2024-05-30T00:00:00"/>
        <d v="2024-08-15T00:00:00"/>
        <d v="2021-02-16T00:00:00"/>
        <d v="2023-09-23T00:00:00"/>
        <d v="2019-06-27T00:00:00"/>
        <d v="2023-01-10T00:00:00"/>
        <d v="2020-01-13T00:00:00"/>
        <d v="2019-11-08T00:00:00"/>
        <d v="2021-06-29T00:00:00"/>
        <d v="2022-05-01T00:00:00"/>
        <d v="2021-11-15T00:00:00"/>
        <d v="2023-10-25T00:00:00"/>
        <d v="2020-09-10T00:00:00"/>
        <d v="2021-11-06T00:00:00"/>
        <d v="2020-07-13T00:00:00"/>
        <d v="2018-01-27T00:00:00"/>
        <d v="2022-02-23T00:00:00"/>
        <d v="2021-06-01T00:00:00"/>
        <d v="2020-01-24T00:00:00"/>
        <d v="2020-08-20T00:00:00"/>
        <d v="2022-02-20T00:00:00"/>
        <d v="2018-08-07T00:00:00"/>
        <d v="2018-05-31T00:00:00"/>
        <d v="2022-02-28T00:00:00"/>
        <d v="2024-01-04T00:00:00"/>
        <d v="2020-12-02T00:00:00"/>
        <d v="2019-05-24T00:00:00"/>
        <d v="2020-12-25T00:00:00"/>
        <d v="2019-11-29T00:00:00"/>
        <d v="2018-03-23T00:00:00"/>
        <d v="2019-03-08T00:00:00"/>
        <d v="2022-12-19T00:00:00"/>
        <d v="2019-09-18T00:00:00"/>
        <d v="2024-11-04T00:00:00"/>
        <d v="2019-04-12T00:00:00"/>
        <d v="2021-03-19T00:00:00"/>
        <d v="2020-03-02T00:00:00"/>
        <d v="2019-09-09T00:00:00"/>
        <d v="2023-10-14T00:00:00"/>
        <d v="2021-11-24T00:00:00"/>
        <d v="2022-02-12T00:00:00"/>
        <d v="2018-11-14T00:00:00"/>
        <d v="2024-05-09T00:00:00"/>
        <d v="2020-01-06T00:00:00"/>
        <d v="2021-12-15T00:00:00"/>
        <d v="2021-07-12T00:00:00"/>
        <d v="2023-03-02T00:00:00"/>
        <d v="2020-02-25T00:00:00"/>
        <d v="2023-08-24T00:00:00"/>
        <d v="2020-12-12T00:00:00"/>
        <d v="2022-05-18T00:00:00"/>
        <d v="2020-10-03T00:00:00"/>
        <d v="2021-03-23T00:00:00"/>
        <d v="2020-03-18T00:00:00"/>
        <d v="2018-07-10T00:00:00"/>
        <d v="2023-10-23T00:00:00"/>
        <d v="2020-11-26T00:00:00"/>
        <d v="2023-02-25T00:00:00"/>
        <d v="2023-10-22T00:00:00"/>
        <d v="2022-02-01T00:00:00"/>
        <d v="2024-06-01T00:00:00"/>
        <d v="2020-01-03T00:00:00"/>
        <d v="2021-04-22T00:00:00"/>
        <d v="2018-01-02T00:00:00"/>
        <d v="2019-07-07T00:00:00"/>
        <d v="2021-12-06T00:00:00"/>
        <d v="2023-10-15T00:00:00"/>
        <d v="2024-05-26T00:00:00"/>
        <d v="2023-06-10T00:00:00"/>
        <d v="2023-03-24T00:00:00"/>
        <d v="2022-07-09T00:00:00"/>
        <d v="2023-11-11T00:00:00"/>
        <d v="2020-10-16T00:00:00"/>
        <d v="2018-12-13T00:00:00"/>
        <d v="2021-05-21T00:00:00"/>
        <d v="2020-08-17T00:00:00"/>
        <d v="2022-01-11T00:00:00"/>
        <d v="2019-08-06T00:00:00"/>
        <d v="2021-01-07T00:00:00"/>
        <d v="2019-11-01T00:00:00"/>
        <d v="2020-01-07T00:00:00"/>
        <d v="2023-11-24T00:00:00"/>
        <d v="2021-08-17T00:00:00"/>
        <d v="2020-01-25T00:00:00"/>
        <d v="2020-07-16T00:00:00"/>
        <d v="2018-12-19T00:00:00"/>
        <d v="2022-10-21T00:00:00"/>
        <d v="2022-09-29T00:00:00"/>
        <d v="2024-04-04T00:00:00"/>
        <d v="2021-11-10T00:00:00"/>
        <d v="2024-01-17T00:00:00"/>
        <d v="2022-06-05T00:00:00"/>
        <d v="2018-03-20T00:00:00"/>
        <d v="2024-05-12T00:00:00"/>
        <d v="2019-08-19T00:00:00"/>
        <d v="2022-07-13T00:00:00"/>
        <d v="2019-03-25T00:00:00"/>
        <d v="2021-07-21T00:00:00"/>
        <d v="2020-08-14T00:00:00"/>
        <d v="2020-03-04T00:00:00"/>
        <d v="2020-06-17T00:00:00"/>
        <d v="2022-06-16T00:00:00"/>
        <d v="2024-06-15T00:00:00"/>
        <d v="2018-04-15T00:00:00"/>
        <d v="2021-12-29T00:00:00"/>
        <d v="2018-04-06T00:00:00"/>
        <d v="2023-06-13T00:00:00"/>
        <d v="2024-10-04T00:00:00"/>
        <d v="2018-03-24T00:00:00"/>
        <d v="2022-01-08T00:00:00"/>
        <d v="2022-07-02T00:00:00"/>
        <d v="2022-03-30T00:00:00"/>
        <d v="2021-04-01T00:00:00"/>
        <d v="2022-01-31T00:00:00"/>
        <d v="2020-06-06T00:00:00"/>
        <d v="2021-06-22T00:00:00"/>
        <d v="2018-11-18T00:00:00"/>
        <d v="2022-07-08T00:00:00"/>
        <d v="2020-07-08T00:00:00"/>
        <d v="2020-02-05T00:00:00"/>
        <d v="2023-08-10T00:00:00"/>
        <d v="2023-10-13T00:00:00"/>
        <d v="2021-02-07T00:00:00"/>
        <d v="2020-05-05T00:00:00"/>
        <d v="2020-12-31T00:00:00"/>
        <d v="2021-03-27T00:00:00"/>
        <d v="2023-11-30T00:00:00"/>
        <d v="2023-06-06T00:00:00"/>
        <d v="2024-02-10T00:00:00"/>
        <d v="2020-11-09T00:00:00"/>
        <d v="2019-06-18T00:00:00"/>
        <d v="2023-02-19T00:00:00"/>
        <d v="2020-02-13T00:00:00"/>
        <d v="2024-11-03T00:00:00"/>
        <d v="2019-04-02T00:00:00"/>
        <d v="2020-11-30T00:00:00"/>
        <d v="2024-01-02T00:00:00"/>
        <d v="2024-07-29T00:00:00"/>
        <d v="2022-10-23T00:00:00"/>
        <d v="2024-10-15T00:00:00"/>
        <d v="2020-10-26T00:00:00"/>
        <d v="2022-04-24T00:00:00"/>
        <d v="2023-01-28T00:00:00"/>
        <d v="2021-11-16T00:00:00"/>
        <d v="2019-08-09T00:00:00"/>
        <d v="2023-09-18T00:00:00"/>
        <d v="2019-10-24T00:00:00"/>
        <d v="2019-07-17T00:00:00"/>
        <d v="2023-05-20T00:00:00"/>
        <d v="2020-12-07T00:00:00"/>
        <d v="2024-04-23T00:00:00"/>
        <d v="2022-05-24T00:00:00"/>
        <d v="2022-04-21T00:00:00"/>
        <d v="2023-04-11T00:00:00"/>
        <d v="2018-08-22T00:00:00"/>
        <d v="2019-08-24T00:00:00"/>
        <d v="2019-08-08T00:00:00"/>
        <d v="2023-04-03T00:00:00"/>
        <d v="2018-07-12T00:00:00"/>
        <d v="2024-01-15T00:00:00"/>
        <d v="2023-01-24T00:00:00"/>
        <d v="2019-03-17T00:00:00"/>
        <d v="2024-02-11T00:00:00"/>
        <d v="2023-02-20T00:00:00"/>
        <d v="2023-06-08T00:00:00"/>
        <d v="2020-12-22T00:00:00"/>
        <d v="2019-09-28T00:00:00"/>
        <d v="2023-09-14T00:00:00"/>
        <d v="2022-10-16T00:00:00"/>
        <d v="2019-06-11T00:00:00"/>
        <d v="2021-02-14T00:00:00"/>
        <d v="2020-06-04T00:00:00"/>
        <d v="2023-04-23T00:00:00"/>
        <d v="2021-03-11T00:00:00"/>
        <d v="2024-09-11T00:00:00"/>
        <d v="2023-04-17T00:00:00"/>
        <d v="2022-04-22T00:00:00"/>
        <d v="2024-08-25T00:00:00"/>
        <d v="2023-12-03T00:00:00"/>
        <d v="2023-11-18T00:00:00"/>
        <d v="2024-05-01T00:00:00"/>
        <d v="2024-09-27T00:00:00"/>
        <d v="2018-05-02T00:00:00"/>
        <d v="2021-05-31T00:00:00"/>
        <d v="2020-11-10T00:00:00"/>
        <d v="2021-04-06T00:00:00"/>
        <d v="2023-12-20T00:00:00"/>
        <d v="2022-11-04T00:00:00"/>
        <d v="2020-07-19T00:00:00"/>
        <d v="2023-07-23T00:00:00"/>
        <d v="2022-10-04T00:00:00"/>
        <d v="2021-12-11T00:00:00"/>
        <d v="2019-02-20T00:00:00"/>
        <d v="2024-01-21T00:00:00"/>
        <d v="2018-06-07T00:00:00"/>
        <d v="2024-04-17T00:00:00"/>
        <d v="2020-03-27T00:00:00"/>
        <d v="2023-03-11T00:00:00"/>
        <d v="2020-04-10T00:00:00"/>
        <d v="2018-11-16T00:00:00"/>
        <d v="2024-03-09T00:00:00"/>
        <d v="2021-11-22T00:00:00"/>
        <d v="2022-04-07T00:00:00"/>
        <d v="2021-07-07T00:00:00"/>
        <d v="2018-09-15T00:00:00"/>
        <d v="2021-01-22T00:00:00"/>
        <d v="2020-03-28T00:00:00"/>
        <d v="2020-08-06T00:00:00"/>
        <d v="2024-09-05T00:00:00"/>
        <d v="2021-09-25T00:00:00"/>
        <d v="2018-01-17T00:00:00"/>
        <d v="2022-03-01T00:00:00"/>
        <d v="2024-04-06T00:00:00"/>
        <d v="2021-11-26T00:00:00"/>
        <d v="2019-04-05T00:00:00"/>
        <d v="2021-11-04T00:00:00"/>
        <d v="2024-09-14T00:00:00"/>
        <d v="2024-10-07T00:00:00"/>
        <d v="2023-01-07T00:00:00"/>
        <d v="2020-07-22T00:00:00"/>
        <d v="2020-06-27T00:00:00"/>
        <d v="2020-08-31T00:00:00"/>
        <d v="2019-05-14T00:00:00"/>
        <d v="2019-12-23T00:00:00"/>
        <d v="2021-07-30T00:00:00"/>
        <d v="2018-03-28T00:00:00"/>
        <d v="2022-10-25T00:00:00"/>
        <d v="2018-10-21T00:00:00"/>
        <d v="2018-03-13T00:00:00"/>
        <d v="2020-04-26T00:00:00"/>
        <d v="2022-02-04T00:00:00"/>
        <d v="2019-12-14T00:00:00"/>
        <d v="2022-08-21T00:00:00"/>
        <d v="2024-01-13T00:00:00"/>
        <d v="2020-06-10T00:00:00"/>
        <d v="2019-02-07T00:00:00"/>
        <d v="2024-04-19T00:00:00"/>
        <d v="2022-10-28T00:00:00"/>
        <d v="2022-02-19T00:00:00"/>
        <d v="2024-08-04T00:00:00"/>
        <d v="2021-04-02T00:00:00"/>
        <d v="2024-05-16T00:00:00"/>
        <d v="2021-03-17T00:00:00"/>
        <d v="2022-11-02T00:00:00"/>
        <d v="2020-06-08T00:00:00"/>
        <d v="2018-01-19T00:00:00"/>
        <d v="2021-11-29T00:00:00"/>
        <d v="2022-01-19T00:00:00"/>
        <d v="2018-05-14T00:00:00"/>
        <d v="2022-11-14T00:00:00"/>
        <d v="2021-02-05T00:00:00"/>
        <d v="2020-02-18T00:00:00"/>
        <d v="2021-08-09T00:00:00"/>
        <d v="2020-11-29T00:00:00"/>
        <d v="2024-08-13T00:00:00"/>
        <d v="2021-06-04T00:00:00"/>
        <d v="2023-09-26T00:00:00"/>
        <d v="2018-01-20T00:00:00"/>
        <d v="2021-04-12T00:00:00"/>
        <d v="2024-01-09T00:00:00"/>
        <d v="2019-08-21T00:00:00"/>
        <d v="2024-03-17T00:00:00"/>
        <d v="2024-05-17T00:00:00"/>
        <d v="2018-01-13T00:00:00"/>
        <d v="2023-02-04T00:00:00"/>
        <d v="2019-07-24T00:00:00"/>
        <d v="2022-03-12T00:00:00"/>
        <d v="2019-07-18T00:00:00"/>
        <d v="2019-06-22T00:00:00"/>
        <d v="2019-08-29T00:00:00"/>
        <d v="2022-04-11T00:00:00"/>
        <d v="2022-06-17T00:00:00"/>
        <d v="2020-09-11T00:00:00"/>
        <d v="2022-07-29T00:00:00"/>
        <d v="2022-10-15T00:00:00"/>
        <d v="2020-03-11T00:00:00"/>
        <d v="2020-09-16T00:00:00"/>
        <d v="2018-02-12T00:00:00"/>
        <d v="2018-09-18T00:00:00"/>
        <d v="2018-11-08T00:00:00"/>
        <d v="2024-03-16T00:00:00"/>
        <d v="2020-11-01T00:00:00"/>
        <d v="2023-09-25T00:00:00"/>
        <d v="2021-02-12T00:00:00"/>
        <d v="2020-06-18T00:00:00"/>
        <d v="2023-05-01T00:00:00"/>
        <d v="2024-10-10T00:00:00"/>
        <d v="2018-06-17T00:00:00"/>
        <d v="2020-04-01T00:00:00"/>
        <d v="2022-11-21T00:00:00"/>
        <d v="2019-07-19T00:00:00"/>
        <d v="2023-03-16T00:00:00"/>
        <d v="2018-08-02T00:00:00"/>
        <d v="2022-09-03T00:00:00"/>
        <d v="2024-03-02T00:00:00"/>
        <d v="2022-05-25T00:00:00"/>
        <d v="2022-12-15T00:00:00"/>
        <d v="2024-02-06T00:00:00"/>
        <d v="2023-05-10T00:00:00"/>
        <d v="2020-12-18T00:00:00"/>
        <d v="2020-12-29T00:00:00"/>
        <d v="2024-06-04T00:00:00"/>
        <d v="2020-01-12T00:00:00"/>
        <d v="2019-06-28T00:00:00"/>
        <d v="2023-07-26T00:00:00"/>
        <d v="2022-12-02T00:00:00"/>
        <d v="2019-12-18T00:00:00"/>
        <d v="2023-10-26T00:00:00"/>
        <d v="2023-09-09T00:00:00"/>
        <d v="2024-08-31T00:00:00"/>
        <d v="2022-12-21T00:00:00"/>
        <d v="2020-12-19T00:00:00"/>
        <d v="2021-03-25T00:00:00"/>
        <d v="2018-06-04T00:00:00"/>
        <d v="2022-09-07T00:00:00"/>
        <d v="2022-12-18T00:00:00"/>
        <d v="2018-07-15T00:00:00"/>
        <d v="2024-04-12T00:00:00"/>
        <d v="2019-06-21T00:00:00"/>
        <d v="2021-06-21T00:00:00"/>
        <d v="2019-03-05T00:00:00"/>
        <d v="2022-01-22T00:00:00"/>
        <d v="2024-10-18T00:00:00"/>
        <d v="2018-05-29T00:00:00"/>
        <d v="2020-07-02T00:00:00"/>
        <d v="2020-02-06T00:00:00"/>
        <d v="2022-01-05T00:00:00"/>
        <d v="2019-12-05T00:00:00"/>
        <d v="2018-11-09T00:00:00"/>
        <d v="2022-02-18T00:00:00"/>
        <d v="2019-05-21T00:00:00"/>
        <d v="2019-06-26T00:00:00"/>
        <d v="2020-11-14T00:00:00"/>
        <d v="2018-06-15T00:00:00"/>
        <d v="2022-09-05T00:00:00"/>
        <d v="2018-07-25T00:00:00"/>
        <d v="2024-07-19T00:00:00"/>
        <d v="2024-02-09T00:00:00"/>
        <d v="2024-10-31T00:00:00"/>
        <d v="2019-11-19T00:00:00"/>
        <d v="2023-09-12T00:00:00"/>
        <d v="2023-11-08T00:00:00"/>
        <d v="2021-08-24T00:00:00"/>
        <d v="2019-09-29T00:00:00"/>
        <d v="2018-08-31T00:00:00"/>
        <d v="2020-12-15T00:00:00"/>
        <d v="2018-04-18T00:00:00"/>
        <d v="2019-07-01T00:00:00"/>
        <d v="2019-11-17T00:00:00"/>
        <d v="2022-09-09T00:00:00"/>
        <d v="2020-11-18T00:00:00"/>
        <d v="2024-06-20T00:00:00"/>
        <d v="2021-06-26T00:00:00"/>
        <d v="2018-05-01T00:00:00"/>
        <d v="2023-08-12T00:00:00"/>
        <d v="2024-10-01T00:00:00"/>
        <d v="2023-03-23T00:00:00"/>
        <d v="2019-10-01T00:00:00"/>
        <d v="2022-05-06T00:00:00"/>
        <d v="2024-10-22T00:00:00"/>
        <d v="2023-02-12T00:00:00"/>
        <d v="2024-08-24T00:00:00"/>
        <d v="2024-05-06T00:00:00"/>
        <d v="2021-04-18T00:00:00"/>
        <d v="2018-11-26T00:00:00"/>
        <d v="2020-08-08T00:00:00"/>
        <d v="2024-06-13T00:00:00"/>
        <d v="2024-01-24T00:00:00"/>
        <d v="2021-09-18T00:00:00"/>
        <d v="2018-10-20T00:00:00"/>
        <d v="2019-04-06T00:00:00"/>
        <d v="2020-11-19T00:00:00"/>
        <d v="2020-03-29T00:00:00"/>
        <d v="2018-10-15T00:00:00"/>
        <d v="2018-11-04T00:00:00"/>
        <d v="2022-06-15T00:00:00"/>
        <d v="2019-04-26T00:00:00"/>
        <d v="2024-07-22T00:00:00"/>
        <d v="2022-11-15T00:00:00"/>
        <d v="2020-07-20T00:00:00"/>
        <d v="2019-08-17T00:00:00"/>
        <d v="2023-12-19T00:00:00"/>
        <d v="2020-11-02T00:00:00"/>
        <d v="2021-05-16T00:00:00"/>
        <d v="2018-11-19T00:00:00"/>
        <d v="2021-02-25T00:00:00"/>
        <d v="2019-12-31T00:00:00"/>
        <d v="2018-01-05T00:00:00"/>
        <d v="2023-02-16T00:00:00"/>
        <d v="2023-03-17T00:00:00"/>
        <d v="2023-09-08T00:00:00"/>
        <d v="2018-12-08T00:00:00"/>
        <d v="2019-12-09T00:00:00"/>
        <d v="2023-01-06T00:00:00"/>
        <d v="2018-03-08T00:00:00"/>
        <d v="2024-01-01T00:00:00"/>
        <d v="2022-08-16T00:00:00"/>
        <d v="2018-07-23T00:00:00"/>
        <d v="2019-10-28T00:00:00"/>
        <d v="2020-06-28T00:00:00"/>
        <d v="2020-07-30T00:00:00"/>
        <d v="2023-10-01T00:00:00"/>
        <d v="2019-12-06T00:00:00"/>
        <d v="2018-02-23T00:00:00"/>
        <d v="2022-01-10T00:00:00"/>
        <d v="2019-11-14T00:00:00"/>
        <d v="2024-06-24T00:00:00"/>
        <d v="2022-02-13T00:00:00"/>
        <d v="2018-08-09T00:00:00"/>
        <d v="2023-06-19T00:00:00"/>
        <d v="2018-08-29T00:00:00"/>
        <d v="2018-05-18T00:00:00"/>
        <d v="2018-02-05T00:00:00"/>
        <d v="2022-12-30T00:00:00"/>
        <d v="2024-06-30T00:00:00"/>
        <d v="2022-09-27T00:00:00"/>
        <d v="2021-09-23T00:00:00"/>
        <d v="2023-07-27T00:00:00"/>
        <d v="2021-10-30T00:00:00"/>
        <d v="2019-03-16T00:00:00"/>
        <d v="2022-02-11T00:00:00"/>
        <d v="2021-06-05T00:00:00"/>
        <d v="2023-02-05T00:00:00"/>
        <d v="2021-09-08T00:00:00"/>
        <d v="2019-12-08T00:00:00"/>
        <d v="2018-03-14T00:00:00"/>
        <d v="2019-05-02T00:00:00"/>
        <d v="2021-06-13T00:00:00"/>
        <d v="2023-09-10T00:00:00"/>
        <d v="2023-12-12T00:00:00"/>
        <d v="2022-11-25T00:00:00"/>
        <d v="2024-10-25T00:00:00"/>
        <d v="2020-11-12T00:00:00"/>
        <d v="2020-12-26T00:00:00"/>
        <d v="2020-09-23T00:00:00"/>
        <d v="2019-07-28T00:00:00"/>
        <d v="2021-08-19T00:00:00"/>
        <d v="2018-02-13T00:00:00"/>
        <d v="2021-01-08T00:00:00"/>
        <d v="2020-03-10T00:00:00"/>
        <d v="2021-08-20T00:00:00"/>
        <d v="2021-07-09T00:00:00"/>
        <d v="2024-02-05T00:00:00"/>
        <d v="2024-02-14T00:00:00"/>
        <d v="2024-02-21T00:00:00"/>
        <d v="2019-06-29T00:00:00"/>
        <d v="2021-05-06T00:00:00"/>
        <d v="2020-10-09T00:00:00"/>
        <d v="2024-02-12T00:00:00"/>
        <d v="2018-08-30T00:00:00"/>
        <d v="2018-06-16T00:00:00"/>
        <d v="2024-10-27T00:00:00"/>
        <d v="2020-04-20T00:00:00"/>
        <d v="2018-09-12T00:00:00"/>
        <d v="2023-10-02T00:00:00"/>
        <d v="2019-05-12T00:00:00"/>
        <d v="2023-07-07T00:00:00"/>
        <d v="2020-05-17T00:00:00"/>
        <d v="2019-03-12T00:00:00"/>
        <d v="2018-11-20T00:00:00"/>
        <d v="2023-07-25T00:00:00"/>
        <d v="2024-03-10T00:00:00"/>
        <d v="2020-07-17T00:00:00"/>
        <d v="2024-02-01T00:00:00"/>
        <d v="2023-04-29T00:00:00"/>
        <d v="2019-10-20T00:00:00"/>
        <d v="2022-06-01T00:00:00"/>
        <d v="2024-03-03T00:00:00"/>
        <d v="2018-12-10T00:00:00"/>
        <d v="2021-06-25T00:00:00"/>
        <d v="2020-11-22T00:00:00"/>
        <d v="2023-09-13T00:00:00"/>
        <d v="2022-05-03T00:00:00"/>
        <d v="2022-10-20T00:00:00"/>
        <d v="2021-01-09T00:00:00"/>
        <d v="2018-05-25T00:00:00"/>
        <d v="2023-12-06T00:00:00"/>
        <d v="2024-01-06T00:00:00"/>
        <d v="2021-09-06T00:00:00"/>
        <d v="2023-10-20T00:00:00"/>
        <d v="2018-07-03T00:00:00"/>
        <d v="2022-01-16T00:00:00"/>
        <d v="2023-06-25T00:00:00"/>
        <d v="2019-11-09T00:00:00"/>
        <d v="2023-02-06T00:00:00"/>
        <d v="2024-01-07T00:00:00"/>
        <d v="2020-05-26T00:00:00"/>
        <d v="2018-09-30T00:00:00"/>
        <d v="2019-06-17T00:00:00"/>
        <d v="2022-11-30T00:00:00"/>
        <d v="2020-05-15T00:00:00"/>
        <d v="2024-08-10T00:00:00"/>
        <d v="2020-08-09T00:00:00"/>
        <d v="2019-11-21T00:00:00"/>
        <d v="2024-04-30T00:00:00"/>
        <d v="2021-04-11T00:00:00"/>
        <d v="2023-05-29T00:00:00"/>
        <d v="2024-10-13T00:00:00"/>
        <d v="2018-11-07T00:00:00"/>
        <d v="2023-11-23T00:00:00"/>
        <d v="2019-06-05T00:00:00"/>
        <d v="2018-05-22T00:00:00"/>
        <d v="2024-09-30T00:00:00"/>
        <d v="2024-07-24T00:00:00"/>
        <d v="2019-09-07T00:00:00"/>
        <d v="2021-03-05T00:00:00"/>
        <d v="2019-05-27T00:00:00"/>
        <d v="2023-06-16T00:00:00"/>
        <d v="2020-05-20T00:00:00"/>
        <d v="2022-10-30T00:00:00"/>
        <d v="2024-03-18T00:00:00"/>
        <d v="2023-11-17T00:00:00"/>
        <d v="2019-11-22T00:00:00"/>
        <d v="2020-05-30T00:00:00"/>
        <d v="2022-06-28T00:00:00"/>
        <d v="2018-08-26T00:00:00"/>
        <d v="2024-10-21T00:00:00"/>
        <d v="2018-01-11T00:00:00"/>
        <d v="2021-09-24T00:00:00"/>
        <d v="2020-05-07T00:00:00"/>
        <d v="2019-03-04T00:00:00"/>
        <d v="2021-02-17T00:00:00"/>
        <d v="2020-09-07T00:00:00"/>
        <d v="2023-02-21T00:00:00"/>
        <d v="2020-07-25T00:00:00"/>
        <d v="2020-11-23T00:00:00"/>
        <d v="2020-06-13T00:00:00"/>
        <d v="2022-04-06T00:00:00"/>
        <d v="2024-01-27T00:00:00"/>
        <d v="2021-07-03T00:00:00"/>
        <d v="2018-10-02T00:00:00"/>
        <d v="2024-02-29T00:00:00"/>
        <d v="2019-10-12T00:00:00"/>
        <d v="2021-05-29T00:00:00"/>
        <d v="2022-03-22T00:00:00"/>
        <d v="2024-09-18T00:00:00"/>
        <d v="2021-01-05T00:00:00"/>
        <d v="2022-12-13T00:00:00"/>
        <d v="2022-03-27T00:00:00"/>
        <d v="2020-03-14T00:00:00"/>
        <d v="2022-08-25T00:00:00"/>
        <d v="2023-10-21T00:00:00"/>
        <d v="2022-06-18T00:00:00"/>
        <d v="2023-12-28T00:00:00"/>
        <d v="2022-11-29T00:00:00"/>
        <d v="2023-06-03T00:00:00"/>
        <d v="2019-09-23T00:00:00"/>
        <d v="2020-08-22T00:00:00"/>
        <d v="2018-07-01T00:00:00"/>
        <d v="2023-02-13T00:00:00"/>
        <d v="2023-04-08T00:00:00"/>
        <d v="2020-10-27T00:00:00"/>
        <d v="2019-11-28T00:00:00"/>
        <d v="2019-04-24T00:00:00"/>
        <d v="2023-09-19T00:00:00"/>
        <d v="2018-09-28T00:00:00"/>
        <d v="2023-12-15T00:00:00"/>
        <d v="2020-09-09T00:00:00"/>
        <d v="2018-03-01T00:00:00"/>
        <d v="2021-04-29T00:00:00"/>
        <d v="2019-05-06T00:00:00"/>
        <d v="2020-09-15T00:00:00"/>
        <d v="2018-07-19T00:00:00"/>
        <d v="2024-09-22T00:00:00"/>
        <d v="2023-01-23T00:00:00"/>
        <d v="2024-01-19T00:00:00"/>
        <d v="2022-09-28T00:00:00"/>
        <d v="2024-10-11T00:00:00"/>
        <d v="2023-02-26T00:00:00"/>
        <d v="2023-05-09T00:00:00"/>
        <d v="2022-01-13T00:00:00"/>
        <d v="2021-08-06T00:00:00"/>
        <d v="2023-02-09T00:00:00"/>
        <d v="2019-09-24T00:00:00"/>
        <d v="2019-09-21T00:00:00"/>
        <d v="2020-08-03T00:00:00"/>
        <d v="2024-06-19T00:00:00"/>
        <d v="2021-11-07T00:00:00"/>
        <d v="2021-11-17T00:00:00"/>
        <d v="2021-01-21T00:00:00"/>
        <d v="2022-03-29T00:00:00"/>
        <d v="2019-08-22T00:00:00"/>
        <d v="2022-06-08T00:00:00"/>
        <d v="2018-08-04T00:00:00"/>
        <d v="2019-02-28T00:00:00"/>
        <d v="2022-07-21T00:00:00"/>
        <d v="2022-11-26T00:00:00"/>
        <d v="2024-01-16T00:00:00"/>
        <d v="2018-04-30T00:00:00"/>
        <d v="2018-06-19T00:00:00"/>
        <d v="2024-08-01T00:00:00"/>
        <d v="2022-05-09T00:00:00"/>
        <d v="2021-09-19T00:00:00"/>
        <d v="2021-12-09T00:00:00"/>
        <d v="2020-05-23T00:00:00"/>
      </sharedItems>
      <fieldGroup par="16"/>
    </cacheField>
    <cacheField name="DURATION" numFmtId="0">
      <sharedItems containsSemiMixedTypes="0" containsString="0" containsNumber="1" containsInteger="1" minValue="8" maxValue="365"/>
    </cacheField>
    <cacheField name="DURATION IN YEARS" numFmtId="0">
      <sharedItems containsSemiMixedTypes="0" containsString="0" containsNumber="1" containsInteger="1" minValue="1" maxValue="8"/>
    </cacheField>
    <cacheField name="YEARLY  INTEREST" numFmtId="0">
      <sharedItems containsSemiMixedTypes="0" containsString="0" containsNumber="1" minValue="5510.3" maxValue="499966.7"/>
    </cacheField>
    <cacheField name="TOTALINTEREST" numFmtId="0">
      <sharedItems containsSemiMixedTypes="0" containsString="0" containsNumber="1" minValue="7585.5" maxValue="3965857.6"/>
    </cacheField>
    <cacheField name="Months (Investment_Date)" numFmtId="0" databaseField="0">
      <fieldGroup base="9">
        <rangePr groupBy="months" startDate="2018-01-02T00:00:00" endDate="2024-11-05T00:00:00"/>
        <groupItems count="14">
          <s v="&lt;1/2/2018"/>
          <s v="Jan"/>
          <s v="Feb"/>
          <s v="Mar"/>
          <s v="Apr"/>
          <s v="May"/>
          <s v="Jun"/>
          <s v="Jul"/>
          <s v="Aug"/>
          <s v="Sep"/>
          <s v="Oct"/>
          <s v="Nov"/>
          <s v="Dec"/>
          <s v="&gt;11/5/2024"/>
        </groupItems>
      </fieldGroup>
    </cacheField>
    <cacheField name="Quarters (Investment_Date)" numFmtId="0" databaseField="0">
      <fieldGroup base="9">
        <rangePr groupBy="quarters" startDate="2018-01-02T00:00:00" endDate="2024-11-05T00:00:00"/>
        <groupItems count="6">
          <s v="&lt;1/2/2018"/>
          <s v="Qtr1"/>
          <s v="Qtr2"/>
          <s v="Qtr3"/>
          <s v="Qtr4"/>
          <s v="&gt;11/5/2024"/>
        </groupItems>
      </fieldGroup>
    </cacheField>
    <cacheField name="Years (Investment_Date)" numFmtId="0" databaseField="0">
      <fieldGroup base="9">
        <rangePr groupBy="years" startDate="2018-01-02T00:00:00" endDate="2024-11-05T00:00:00"/>
        <groupItems count="9">
          <s v="&lt;1/2/2018"/>
          <s v="2018"/>
          <s v="2019"/>
          <s v="2020"/>
          <s v="2021"/>
          <s v="2022"/>
          <s v="2023"/>
          <s v="2024"/>
          <s v="&gt;11/5/2024"/>
        </groupItems>
      </fieldGroup>
    </cacheField>
  </cacheFields>
  <extLst>
    <ext xmlns:x14="http://schemas.microsoft.com/office/spreadsheetml/2009/9/main" uri="{725AE2AE-9491-48be-B2B4-4EB974FC3084}">
      <x14:pivotCacheDefinition pivotCacheId="12914147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INV0001"/>
    <s v="Male"/>
    <n v="34"/>
    <x v="0"/>
    <s v="Healthcare"/>
    <x v="0"/>
    <n v="347717"/>
    <n v="8.42"/>
    <n v="24.97"/>
    <x v="0"/>
    <n v="88"/>
    <n v="3"/>
    <n v="34771.700000000004"/>
    <n v="104315.1"/>
  </r>
  <r>
    <s v="INV0002"/>
    <s v="Female"/>
    <n v="30"/>
    <x v="1"/>
    <s v="Energy"/>
    <x v="1"/>
    <n v="3409611"/>
    <n v="33.56"/>
    <n v="-1.8"/>
    <x v="1"/>
    <n v="286"/>
    <n v="6"/>
    <n v="340961.10000000003"/>
    <n v="2045766.6"/>
  </r>
  <r>
    <s v="INV0003"/>
    <s v="Male"/>
    <n v="36"/>
    <x v="1"/>
    <s v="Consumer Goods"/>
    <x v="0"/>
    <n v="4665064"/>
    <n v="27.02"/>
    <n v="14.85"/>
    <x v="2"/>
    <n v="192"/>
    <n v="8"/>
    <n v="466506.4"/>
    <n v="3732051.2"/>
  </r>
  <r>
    <s v="INV0004"/>
    <s v="Female"/>
    <n v="34"/>
    <x v="1"/>
    <s v="Energy"/>
    <x v="1"/>
    <n v="4043271"/>
    <n v="17.190000000000001"/>
    <n v="31.51"/>
    <x v="3"/>
    <n v="137"/>
    <n v="4"/>
    <n v="404327.10000000003"/>
    <n v="1617308.4000000001"/>
  </r>
  <r>
    <s v="INV0005"/>
    <s v="Male"/>
    <n v="22"/>
    <x v="2"/>
    <s v="Agriculture"/>
    <x v="2"/>
    <n v="1954049"/>
    <n v="10.77"/>
    <n v="-0.26"/>
    <x v="4"/>
    <n v="31"/>
    <n v="6"/>
    <n v="195404.90000000002"/>
    <n v="1172429.4000000001"/>
  </r>
  <r>
    <s v="INV0006"/>
    <s v="Male"/>
    <n v="43"/>
    <x v="2"/>
    <s v="Consumer Goods"/>
    <x v="0"/>
    <n v="2839982"/>
    <n v="26.98"/>
    <n v="-5.53"/>
    <x v="5"/>
    <n v="148"/>
    <n v="6"/>
    <n v="283998.2"/>
    <n v="1703989.2000000002"/>
  </r>
  <r>
    <s v="INV0007"/>
    <s v="Male"/>
    <n v="33"/>
    <x v="2"/>
    <s v="Consumer Goods"/>
    <x v="3"/>
    <n v="2013638"/>
    <n v="17.829999999999998"/>
    <n v="26.44"/>
    <x v="6"/>
    <n v="189"/>
    <n v="6"/>
    <n v="201363.80000000002"/>
    <n v="1208182.8"/>
  </r>
  <r>
    <s v="INV0008"/>
    <s v="Male"/>
    <n v="62"/>
    <x v="3"/>
    <s v="Agriculture"/>
    <x v="3"/>
    <n v="326813"/>
    <n v="19.95"/>
    <n v="10.25"/>
    <x v="7"/>
    <n v="148"/>
    <n v="2"/>
    <n v="32681.300000000003"/>
    <n v="65362.600000000006"/>
  </r>
  <r>
    <s v="INV0009"/>
    <s v="Male"/>
    <n v="21"/>
    <x v="0"/>
    <s v="Agriculture"/>
    <x v="4"/>
    <n v="3203500"/>
    <n v="27.34"/>
    <n v="4.21"/>
    <x v="8"/>
    <n v="34"/>
    <n v="3"/>
    <n v="320350"/>
    <n v="961050"/>
  </r>
  <r>
    <s v="INV0010"/>
    <s v="Female"/>
    <n v="56"/>
    <x v="2"/>
    <s v="Energy"/>
    <x v="3"/>
    <n v="257550"/>
    <n v="7.28"/>
    <n v="40.03"/>
    <x v="9"/>
    <n v="350"/>
    <n v="6"/>
    <n v="25755"/>
    <n v="154530"/>
  </r>
  <r>
    <s v="INV0011"/>
    <s v="Female"/>
    <n v="21"/>
    <x v="4"/>
    <s v="Consumer Goods"/>
    <x v="5"/>
    <n v="4383630"/>
    <n v="7.43"/>
    <n v="4.57"/>
    <x v="10"/>
    <n v="275"/>
    <n v="4"/>
    <n v="438363"/>
    <n v="1753452"/>
  </r>
  <r>
    <s v="INV0012"/>
    <s v="Female"/>
    <n v="21"/>
    <x v="3"/>
    <s v="Finance"/>
    <x v="1"/>
    <n v="3568731"/>
    <n v="19.57"/>
    <n v="10.58"/>
    <x v="11"/>
    <n v="142"/>
    <n v="8"/>
    <n v="356873.10000000003"/>
    <n v="2854984.8000000003"/>
  </r>
  <r>
    <s v="INV0013"/>
    <s v="Male"/>
    <n v="53"/>
    <x v="0"/>
    <s v="Agriculture"/>
    <x v="2"/>
    <n v="4968252"/>
    <n v="26.85"/>
    <n v="-6.38"/>
    <x v="12"/>
    <n v="118"/>
    <n v="7"/>
    <n v="496825.2"/>
    <n v="3477776.4"/>
  </r>
  <r>
    <s v="INV0014"/>
    <s v="Male"/>
    <n v="25"/>
    <x v="3"/>
    <s v="Consumer Goods"/>
    <x v="1"/>
    <n v="702461"/>
    <n v="27.56"/>
    <n v="25.39"/>
    <x v="13"/>
    <n v="259"/>
    <n v="2"/>
    <n v="70246.100000000006"/>
    <n v="140492.20000000001"/>
  </r>
  <r>
    <s v="INV0015"/>
    <s v="Female"/>
    <n v="44"/>
    <x v="2"/>
    <s v="Technology"/>
    <x v="1"/>
    <n v="2171807"/>
    <n v="24.41"/>
    <n v="28.98"/>
    <x v="14"/>
    <n v="286"/>
    <n v="7"/>
    <n v="217180.7"/>
    <n v="1520264.9000000001"/>
  </r>
  <r>
    <s v="INV0016"/>
    <s v="Male"/>
    <n v="51"/>
    <x v="0"/>
    <s v="Energy"/>
    <x v="2"/>
    <n v="4642025"/>
    <n v="5.86"/>
    <n v="18.760000000000002"/>
    <x v="15"/>
    <n v="88"/>
    <n v="3"/>
    <n v="464202.5"/>
    <n v="1392607.5"/>
  </r>
  <r>
    <s v="INV0017"/>
    <s v="Female"/>
    <n v="22"/>
    <x v="4"/>
    <s v="Energy"/>
    <x v="2"/>
    <n v="1323904"/>
    <n v="28.48"/>
    <n v="1.67"/>
    <x v="16"/>
    <n v="130"/>
    <n v="8"/>
    <n v="132390.39999999999"/>
    <n v="1059123.2"/>
  </r>
  <r>
    <s v="INV0018"/>
    <s v="Female"/>
    <n v="62"/>
    <x v="2"/>
    <s v="Energy"/>
    <x v="4"/>
    <n v="4727975"/>
    <n v="7.74"/>
    <n v="35.299999999999997"/>
    <x v="17"/>
    <n v="350"/>
    <n v="5"/>
    <n v="472797.5"/>
    <n v="2363987.5"/>
  </r>
  <r>
    <s v="INV0019"/>
    <s v="Female"/>
    <n v="63"/>
    <x v="3"/>
    <s v="Finance"/>
    <x v="4"/>
    <n v="1211110"/>
    <n v="12.68"/>
    <n v="37.53"/>
    <x v="18"/>
    <n v="180"/>
    <n v="4"/>
    <n v="121111"/>
    <n v="484444"/>
  </r>
  <r>
    <s v="INV0020"/>
    <s v="Female"/>
    <n v="65"/>
    <x v="4"/>
    <s v="Technology"/>
    <x v="0"/>
    <n v="2957269"/>
    <n v="19.559999999999999"/>
    <n v="-7.21"/>
    <x v="19"/>
    <n v="352"/>
    <n v="5"/>
    <n v="295726.90000000002"/>
    <n v="1478634.5"/>
  </r>
  <r>
    <s v="INV0021"/>
    <s v="Female"/>
    <n v="37"/>
    <x v="1"/>
    <s v="Consumer Goods"/>
    <x v="0"/>
    <n v="4045550"/>
    <n v="33"/>
    <n v="21.19"/>
    <x v="20"/>
    <n v="258"/>
    <n v="7"/>
    <n v="404555"/>
    <n v="2831885"/>
  </r>
  <r>
    <s v="INV0022"/>
    <s v="Female"/>
    <n v="60"/>
    <x v="0"/>
    <s v="Technology"/>
    <x v="3"/>
    <n v="3808223"/>
    <n v="29.94"/>
    <n v="16.350000000000001"/>
    <x v="21"/>
    <n v="323"/>
    <n v="3"/>
    <n v="380822.30000000005"/>
    <n v="1142466.9000000001"/>
  </r>
  <r>
    <s v="INV0023"/>
    <s v="Female"/>
    <n v="51"/>
    <x v="0"/>
    <s v="Finance"/>
    <x v="5"/>
    <n v="4591221"/>
    <n v="18.829999999999998"/>
    <n v="8.35"/>
    <x v="22"/>
    <n v="335"/>
    <n v="4"/>
    <n v="459122.10000000003"/>
    <n v="1836488.4000000001"/>
  </r>
  <r>
    <s v="INV0024"/>
    <s v="Female"/>
    <n v="22"/>
    <x v="4"/>
    <s v="Consumer Goods"/>
    <x v="3"/>
    <n v="3334089"/>
    <n v="13.96"/>
    <n v="25.86"/>
    <x v="23"/>
    <n v="37"/>
    <n v="4"/>
    <n v="333408.90000000002"/>
    <n v="1333635.6000000001"/>
  </r>
  <r>
    <s v="INV0025"/>
    <s v="Female"/>
    <n v="23"/>
    <x v="0"/>
    <s v="Technology"/>
    <x v="5"/>
    <n v="4336001"/>
    <n v="19.54"/>
    <n v="23.32"/>
    <x v="24"/>
    <n v="273"/>
    <n v="2"/>
    <n v="433600.10000000003"/>
    <n v="867200.20000000007"/>
  </r>
  <r>
    <s v="INV0026"/>
    <s v="Male"/>
    <n v="26"/>
    <x v="1"/>
    <s v="Consumer Goods"/>
    <x v="2"/>
    <n v="1690118"/>
    <n v="32.26"/>
    <n v="2.77"/>
    <x v="25"/>
    <n v="188"/>
    <n v="7"/>
    <n v="169011.80000000002"/>
    <n v="1183082.6000000001"/>
  </r>
  <r>
    <s v="INV0027"/>
    <s v="Female"/>
    <n v="22"/>
    <x v="4"/>
    <s v="Consumer Goods"/>
    <x v="4"/>
    <n v="371419"/>
    <n v="13.44"/>
    <n v="32.19"/>
    <x v="26"/>
    <n v="9"/>
    <n v="3"/>
    <n v="37141.9"/>
    <n v="111425.70000000001"/>
  </r>
  <r>
    <s v="INV0028"/>
    <s v="Female"/>
    <n v="49"/>
    <x v="0"/>
    <s v="Healthcare"/>
    <x v="4"/>
    <n v="1864407"/>
    <n v="17.920000000000002"/>
    <n v="5.7"/>
    <x v="27"/>
    <n v="33"/>
    <n v="1"/>
    <n v="186440.7"/>
    <n v="186440.7"/>
  </r>
  <r>
    <s v="INV0029"/>
    <s v="Male"/>
    <n v="64"/>
    <x v="4"/>
    <s v="Healthcare"/>
    <x v="4"/>
    <n v="3849343"/>
    <n v="7.83"/>
    <n v="0.47"/>
    <x v="28"/>
    <n v="242"/>
    <n v="7"/>
    <n v="384934.30000000005"/>
    <n v="2694540.1000000006"/>
  </r>
  <r>
    <s v="INV0030"/>
    <s v="Female"/>
    <n v="62"/>
    <x v="0"/>
    <s v="Consumer Goods"/>
    <x v="2"/>
    <n v="478608"/>
    <n v="30.31"/>
    <n v="35.46"/>
    <x v="29"/>
    <n v="224"/>
    <n v="7"/>
    <n v="47860.800000000003"/>
    <n v="335025.60000000003"/>
  </r>
  <r>
    <s v="INV0031"/>
    <s v="Male"/>
    <n v="38"/>
    <x v="3"/>
    <s v="Healthcare"/>
    <x v="5"/>
    <n v="1491629"/>
    <n v="17.54"/>
    <n v="4.53"/>
    <x v="30"/>
    <n v="324"/>
    <n v="5"/>
    <n v="149162.9"/>
    <n v="745814.5"/>
  </r>
  <r>
    <s v="INV0032"/>
    <s v="Male"/>
    <n v="56"/>
    <x v="0"/>
    <s v="Energy"/>
    <x v="5"/>
    <n v="1252552"/>
    <n v="17.73"/>
    <n v="-4.96"/>
    <x v="31"/>
    <n v="57"/>
    <n v="5"/>
    <n v="125255.20000000001"/>
    <n v="626276"/>
  </r>
  <r>
    <s v="INV0033"/>
    <s v="Female"/>
    <n v="62"/>
    <x v="1"/>
    <s v="Technology"/>
    <x v="0"/>
    <n v="2837100"/>
    <n v="27.84"/>
    <n v="24.49"/>
    <x v="32"/>
    <n v="16"/>
    <n v="7"/>
    <n v="283710"/>
    <n v="1985970"/>
  </r>
  <r>
    <s v="INV0034"/>
    <s v="Male"/>
    <n v="59"/>
    <x v="4"/>
    <s v="Healthcare"/>
    <x v="4"/>
    <n v="4614435"/>
    <n v="6.74"/>
    <n v="8.9499999999999993"/>
    <x v="33"/>
    <n v="193"/>
    <n v="4"/>
    <n v="461443.5"/>
    <n v="1845774"/>
  </r>
  <r>
    <s v="INV0035"/>
    <s v="Female"/>
    <n v="45"/>
    <x v="3"/>
    <s v="Finance"/>
    <x v="5"/>
    <n v="922255"/>
    <n v="21.03"/>
    <n v="-0.98"/>
    <x v="34"/>
    <n v="229"/>
    <n v="5"/>
    <n v="92225.5"/>
    <n v="461127.5"/>
  </r>
  <r>
    <s v="INV0036"/>
    <s v="Female"/>
    <n v="58"/>
    <x v="4"/>
    <s v="Healthcare"/>
    <x v="4"/>
    <n v="2844015"/>
    <n v="28.24"/>
    <n v="-7.03"/>
    <x v="35"/>
    <n v="192"/>
    <n v="5"/>
    <n v="284401.5"/>
    <n v="1422007.5"/>
  </r>
  <r>
    <s v="INV0037"/>
    <s v="Male"/>
    <n v="56"/>
    <x v="4"/>
    <s v="Finance"/>
    <x v="0"/>
    <n v="1471699"/>
    <n v="19.52"/>
    <n v="0.11"/>
    <x v="36"/>
    <n v="251"/>
    <n v="7"/>
    <n v="147169.9"/>
    <n v="1030189.2999999999"/>
  </r>
  <r>
    <s v="INV0038"/>
    <s v="Female"/>
    <n v="58"/>
    <x v="2"/>
    <s v="Consumer Goods"/>
    <x v="5"/>
    <n v="4687548"/>
    <n v="28.94"/>
    <n v="-6.55"/>
    <x v="37"/>
    <n v="303"/>
    <n v="5"/>
    <n v="468754.80000000005"/>
    <n v="2343774"/>
  </r>
  <r>
    <s v="INV0039"/>
    <s v="Male"/>
    <n v="46"/>
    <x v="3"/>
    <s v="Agriculture"/>
    <x v="3"/>
    <n v="3453688"/>
    <n v="32.89"/>
    <n v="4.54"/>
    <x v="38"/>
    <n v="96"/>
    <n v="6"/>
    <n v="345368.80000000005"/>
    <n v="2072212.8000000003"/>
  </r>
  <r>
    <s v="INV0040"/>
    <s v="Male"/>
    <n v="61"/>
    <x v="3"/>
    <s v="Agriculture"/>
    <x v="3"/>
    <n v="4903718"/>
    <n v="31.63"/>
    <n v="-9.5500000000000007"/>
    <x v="39"/>
    <n v="273"/>
    <n v="3"/>
    <n v="490371.80000000005"/>
    <n v="1471115.4000000001"/>
  </r>
  <r>
    <s v="INV0041"/>
    <s v="Female"/>
    <n v="32"/>
    <x v="3"/>
    <s v="Agriculture"/>
    <x v="1"/>
    <n v="4200577"/>
    <n v="10.46"/>
    <n v="-0.2"/>
    <x v="28"/>
    <n v="307"/>
    <n v="7"/>
    <n v="420057.7"/>
    <n v="2940403.9"/>
  </r>
  <r>
    <s v="INV0042"/>
    <s v="Male"/>
    <n v="39"/>
    <x v="4"/>
    <s v="Agriculture"/>
    <x v="5"/>
    <n v="159311"/>
    <n v="32.58"/>
    <n v="32.35"/>
    <x v="40"/>
    <n v="77"/>
    <n v="6"/>
    <n v="15931.1"/>
    <n v="95586.6"/>
  </r>
  <r>
    <s v="INV0043"/>
    <s v="Female"/>
    <n v="31"/>
    <x v="2"/>
    <s v="Healthcare"/>
    <x v="1"/>
    <n v="2338909"/>
    <n v="17.23"/>
    <n v="40.51"/>
    <x v="41"/>
    <n v="210"/>
    <n v="6"/>
    <n v="233890.90000000002"/>
    <n v="1403345.4000000001"/>
  </r>
  <r>
    <s v="INV0044"/>
    <s v="Male"/>
    <n v="51"/>
    <x v="2"/>
    <s v="Technology"/>
    <x v="3"/>
    <n v="3994063"/>
    <n v="6.32"/>
    <n v="-1.92"/>
    <x v="42"/>
    <n v="328"/>
    <n v="7"/>
    <n v="399406.30000000005"/>
    <n v="2795844.1000000006"/>
  </r>
  <r>
    <s v="INV0045"/>
    <s v="Female"/>
    <n v="60"/>
    <x v="0"/>
    <s v="Technology"/>
    <x v="4"/>
    <n v="2724747"/>
    <n v="9.73"/>
    <n v="27.83"/>
    <x v="43"/>
    <n v="46"/>
    <n v="5"/>
    <n v="272474.7"/>
    <n v="1362373.5"/>
  </r>
  <r>
    <s v="INV0046"/>
    <s v="Male"/>
    <n v="59"/>
    <x v="1"/>
    <s v="Agriculture"/>
    <x v="3"/>
    <n v="4011666"/>
    <n v="30.94"/>
    <n v="20.65"/>
    <x v="44"/>
    <n v="342"/>
    <n v="3"/>
    <n v="401166.60000000003"/>
    <n v="1203499.8"/>
  </r>
  <r>
    <s v="INV0047"/>
    <s v="Male"/>
    <n v="65"/>
    <x v="2"/>
    <s v="Energy"/>
    <x v="4"/>
    <n v="3090675"/>
    <n v="22.66"/>
    <n v="32.31"/>
    <x v="45"/>
    <n v="110"/>
    <n v="2"/>
    <n v="309067.5"/>
    <n v="618135"/>
  </r>
  <r>
    <s v="INV0048"/>
    <s v="Female"/>
    <n v="25"/>
    <x v="0"/>
    <s v="Technology"/>
    <x v="1"/>
    <n v="4649690"/>
    <n v="8.5399999999999991"/>
    <n v="36.54"/>
    <x v="46"/>
    <n v="336"/>
    <n v="6"/>
    <n v="464969"/>
    <n v="2789814"/>
  </r>
  <r>
    <s v="INV0049"/>
    <s v="Male"/>
    <n v="51"/>
    <x v="0"/>
    <s v="Finance"/>
    <x v="5"/>
    <n v="2033509"/>
    <n v="11.56"/>
    <n v="36.92"/>
    <x v="47"/>
    <n v="148"/>
    <n v="2"/>
    <n v="203350.90000000002"/>
    <n v="406701.80000000005"/>
  </r>
  <r>
    <s v="INV0050"/>
    <s v="Male"/>
    <n v="49"/>
    <x v="4"/>
    <s v="Consumer Goods"/>
    <x v="4"/>
    <n v="2583484"/>
    <n v="13.83"/>
    <n v="34.81"/>
    <x v="48"/>
    <n v="22"/>
    <n v="6"/>
    <n v="258348.40000000002"/>
    <n v="1550090.4000000001"/>
  </r>
  <r>
    <s v="INV0051"/>
    <s v="Male"/>
    <n v="50"/>
    <x v="0"/>
    <s v="Healthcare"/>
    <x v="1"/>
    <n v="4573125"/>
    <n v="11.49"/>
    <n v="40.71"/>
    <x v="49"/>
    <n v="109"/>
    <n v="7"/>
    <n v="457312.5"/>
    <n v="3201187.5"/>
  </r>
  <r>
    <s v="INV0052"/>
    <s v="Female"/>
    <n v="25"/>
    <x v="2"/>
    <s v="Technology"/>
    <x v="2"/>
    <n v="538827"/>
    <n v="32.17"/>
    <n v="16.75"/>
    <x v="50"/>
    <n v="168"/>
    <n v="3"/>
    <n v="53882.700000000004"/>
    <n v="161648.1"/>
  </r>
  <r>
    <s v="INV0053"/>
    <s v="Male"/>
    <n v="49"/>
    <x v="4"/>
    <s v="Healthcare"/>
    <x v="4"/>
    <n v="4010554"/>
    <n v="9.36"/>
    <n v="-0.02"/>
    <x v="51"/>
    <n v="251"/>
    <n v="6"/>
    <n v="401055.4"/>
    <n v="2406332.4000000004"/>
  </r>
  <r>
    <s v="INV0054"/>
    <s v="Male"/>
    <n v="41"/>
    <x v="1"/>
    <s v="Healthcare"/>
    <x v="2"/>
    <n v="1230298"/>
    <n v="17.22"/>
    <n v="29.25"/>
    <x v="52"/>
    <n v="64"/>
    <n v="6"/>
    <n v="123029.8"/>
    <n v="738178.8"/>
  </r>
  <r>
    <s v="INV0055"/>
    <s v="Male"/>
    <n v="42"/>
    <x v="2"/>
    <s v="Technology"/>
    <x v="3"/>
    <n v="1370157"/>
    <n v="34.619999999999997"/>
    <n v="21.87"/>
    <x v="53"/>
    <n v="286"/>
    <n v="4"/>
    <n v="137015.70000000001"/>
    <n v="548062.80000000005"/>
  </r>
  <r>
    <s v="INV0056"/>
    <s v="Male"/>
    <n v="57"/>
    <x v="0"/>
    <s v="Energy"/>
    <x v="0"/>
    <n v="829336"/>
    <n v="20.54"/>
    <n v="4.93"/>
    <x v="54"/>
    <n v="181"/>
    <n v="1"/>
    <n v="82933.600000000006"/>
    <n v="82933.600000000006"/>
  </r>
  <r>
    <s v="INV0057"/>
    <s v="Male"/>
    <n v="56"/>
    <x v="3"/>
    <s v="Finance"/>
    <x v="0"/>
    <n v="3596642"/>
    <n v="19.86"/>
    <n v="42.19"/>
    <x v="55"/>
    <n v="271"/>
    <n v="5"/>
    <n v="359664.2"/>
    <n v="1798321"/>
  </r>
  <r>
    <s v="INV0058"/>
    <s v="Male"/>
    <n v="61"/>
    <x v="1"/>
    <s v="Healthcare"/>
    <x v="0"/>
    <n v="2610729"/>
    <n v="26.23"/>
    <n v="15.15"/>
    <x v="56"/>
    <n v="34"/>
    <n v="2"/>
    <n v="261072.90000000002"/>
    <n v="522145.80000000005"/>
  </r>
  <r>
    <s v="INV0059"/>
    <s v="Male"/>
    <n v="46"/>
    <x v="1"/>
    <s v="Agriculture"/>
    <x v="1"/>
    <n v="322367"/>
    <n v="14.47"/>
    <n v="4.59"/>
    <x v="57"/>
    <n v="290"/>
    <n v="7"/>
    <n v="32236.7"/>
    <n v="225656.9"/>
  </r>
  <r>
    <s v="INV0060"/>
    <s v="Female"/>
    <n v="47"/>
    <x v="4"/>
    <s v="Consumer Goods"/>
    <x v="3"/>
    <n v="2216627"/>
    <n v="9.1999999999999993"/>
    <n v="24.56"/>
    <x v="58"/>
    <n v="139"/>
    <n v="7"/>
    <n v="221662.7"/>
    <n v="1551638.9000000001"/>
  </r>
  <r>
    <s v="INV0061"/>
    <s v="Female"/>
    <n v="29"/>
    <x v="0"/>
    <s v="Finance"/>
    <x v="1"/>
    <n v="4831265"/>
    <n v="20.65"/>
    <n v="-8.3800000000000008"/>
    <x v="59"/>
    <n v="323"/>
    <n v="5"/>
    <n v="483126.5"/>
    <n v="2415632.5"/>
  </r>
  <r>
    <s v="INV0062"/>
    <s v="Female"/>
    <n v="51"/>
    <x v="3"/>
    <s v="Consumer Goods"/>
    <x v="5"/>
    <n v="1304969"/>
    <n v="32.159999999999997"/>
    <n v="5.99"/>
    <x v="60"/>
    <n v="292"/>
    <n v="3"/>
    <n v="130496.90000000001"/>
    <n v="391490.7"/>
  </r>
  <r>
    <s v="INV0063"/>
    <s v="Female"/>
    <n v="56"/>
    <x v="3"/>
    <s v="Agriculture"/>
    <x v="4"/>
    <n v="2249420"/>
    <n v="10.33"/>
    <n v="-8.77"/>
    <x v="61"/>
    <n v="124"/>
    <n v="7"/>
    <n v="224942"/>
    <n v="1574594"/>
  </r>
  <r>
    <s v="INV0064"/>
    <s v="Male"/>
    <n v="36"/>
    <x v="3"/>
    <s v="Energy"/>
    <x v="3"/>
    <n v="1622417"/>
    <n v="16.89"/>
    <n v="6.19"/>
    <x v="62"/>
    <n v="55"/>
    <n v="5"/>
    <n v="162241.70000000001"/>
    <n v="811208.5"/>
  </r>
  <r>
    <s v="INV0065"/>
    <s v="Male"/>
    <n v="30"/>
    <x v="0"/>
    <s v="Agriculture"/>
    <x v="1"/>
    <n v="3817993"/>
    <n v="10.82"/>
    <n v="-6.46"/>
    <x v="63"/>
    <n v="341"/>
    <n v="7"/>
    <n v="381799.30000000005"/>
    <n v="2672595.1000000006"/>
  </r>
  <r>
    <s v="INV0066"/>
    <s v="Male"/>
    <n v="47"/>
    <x v="0"/>
    <s v="Finance"/>
    <x v="2"/>
    <n v="3814896"/>
    <n v="25.51"/>
    <n v="-7.96"/>
    <x v="64"/>
    <n v="161"/>
    <n v="4"/>
    <n v="381489.60000000003"/>
    <n v="1525958.4000000001"/>
  </r>
  <r>
    <s v="INV0067"/>
    <s v="Male"/>
    <n v="61"/>
    <x v="3"/>
    <s v="Finance"/>
    <x v="4"/>
    <n v="650198"/>
    <n v="27.54"/>
    <n v="22.64"/>
    <x v="65"/>
    <n v="358"/>
    <n v="2"/>
    <n v="65019.8"/>
    <n v="130039.6"/>
  </r>
  <r>
    <s v="INV0068"/>
    <s v="Male"/>
    <n v="39"/>
    <x v="3"/>
    <s v="Consumer Goods"/>
    <x v="2"/>
    <n v="3070542"/>
    <n v="16.559999999999999"/>
    <n v="31.4"/>
    <x v="66"/>
    <n v="120"/>
    <n v="2"/>
    <n v="307054.2"/>
    <n v="614108.4"/>
  </r>
  <r>
    <s v="INV0069"/>
    <s v="Male"/>
    <n v="52"/>
    <x v="1"/>
    <s v="Consumer Goods"/>
    <x v="4"/>
    <n v="4820709"/>
    <n v="12.48"/>
    <n v="17.97"/>
    <x v="34"/>
    <n v="110"/>
    <n v="5"/>
    <n v="482070.9"/>
    <n v="2410354.5"/>
  </r>
  <r>
    <s v="INV0070"/>
    <s v="Female"/>
    <n v="65"/>
    <x v="3"/>
    <s v="Healthcare"/>
    <x v="2"/>
    <n v="2411477"/>
    <n v="25"/>
    <n v="5.77"/>
    <x v="67"/>
    <n v="243"/>
    <n v="3"/>
    <n v="241147.7"/>
    <n v="723443.10000000009"/>
  </r>
  <r>
    <s v="INV0071"/>
    <s v="Female"/>
    <n v="39"/>
    <x v="3"/>
    <s v="Agriculture"/>
    <x v="1"/>
    <n v="1350073"/>
    <n v="34.29"/>
    <n v="-5.44"/>
    <x v="68"/>
    <n v="127"/>
    <n v="2"/>
    <n v="135007.30000000002"/>
    <n v="270014.60000000003"/>
  </r>
  <r>
    <s v="INV0072"/>
    <s v="Male"/>
    <n v="46"/>
    <x v="2"/>
    <s v="Consumer Goods"/>
    <x v="0"/>
    <n v="3695521"/>
    <n v="7.06"/>
    <n v="3.32"/>
    <x v="69"/>
    <n v="30"/>
    <n v="5"/>
    <n v="369552.10000000003"/>
    <n v="1847760.5000000002"/>
  </r>
  <r>
    <s v="INV0073"/>
    <s v="Female"/>
    <n v="46"/>
    <x v="4"/>
    <s v="Consumer Goods"/>
    <x v="4"/>
    <n v="1786322"/>
    <n v="15.39"/>
    <n v="42.2"/>
    <x v="70"/>
    <n v="66"/>
    <n v="7"/>
    <n v="178632.2"/>
    <n v="1250425.4000000001"/>
  </r>
  <r>
    <s v="INV0074"/>
    <s v="Male"/>
    <n v="21"/>
    <x v="0"/>
    <s v="Energy"/>
    <x v="0"/>
    <n v="3834745"/>
    <n v="25.42"/>
    <n v="-7.4"/>
    <x v="71"/>
    <n v="228"/>
    <n v="5"/>
    <n v="383474.5"/>
    <n v="1917372.5"/>
  </r>
  <r>
    <s v="INV0075"/>
    <s v="Male"/>
    <n v="54"/>
    <x v="0"/>
    <s v="Consumer Goods"/>
    <x v="0"/>
    <n v="1652043"/>
    <n v="11.73"/>
    <n v="30.18"/>
    <x v="72"/>
    <n v="252"/>
    <n v="6"/>
    <n v="165204.30000000002"/>
    <n v="991225.8"/>
  </r>
  <r>
    <s v="INV0076"/>
    <s v="Male"/>
    <n v="48"/>
    <x v="2"/>
    <s v="Energy"/>
    <x v="3"/>
    <n v="3122025"/>
    <n v="18.54"/>
    <n v="-2.58"/>
    <x v="73"/>
    <n v="54"/>
    <n v="3"/>
    <n v="312202.5"/>
    <n v="936607.5"/>
  </r>
  <r>
    <s v="INV0077"/>
    <s v="Female"/>
    <n v="52"/>
    <x v="4"/>
    <s v="Healthcare"/>
    <x v="4"/>
    <n v="4270793"/>
    <n v="9.07"/>
    <n v="31.13"/>
    <x v="74"/>
    <n v="51"/>
    <n v="2"/>
    <n v="427079.30000000005"/>
    <n v="854158.60000000009"/>
  </r>
  <r>
    <s v="INV0078"/>
    <s v="Female"/>
    <n v="63"/>
    <x v="1"/>
    <s v="Consumer Goods"/>
    <x v="0"/>
    <n v="4063475"/>
    <n v="30.51"/>
    <n v="-4.46"/>
    <x v="75"/>
    <n v="245"/>
    <n v="5"/>
    <n v="406347.5"/>
    <n v="2031737.5"/>
  </r>
  <r>
    <s v="INV0079"/>
    <s v="Female"/>
    <n v="60"/>
    <x v="2"/>
    <s v="Technology"/>
    <x v="5"/>
    <n v="1589934"/>
    <n v="6.13"/>
    <n v="36.5"/>
    <x v="76"/>
    <n v="206"/>
    <n v="1"/>
    <n v="158993.40000000002"/>
    <n v="158993.40000000002"/>
  </r>
  <r>
    <s v="INV0080"/>
    <s v="Male"/>
    <n v="63"/>
    <x v="0"/>
    <s v="Consumer Goods"/>
    <x v="2"/>
    <n v="2477026"/>
    <n v="12.08"/>
    <n v="5.36"/>
    <x v="77"/>
    <n v="121"/>
    <n v="8"/>
    <n v="247702.6"/>
    <n v="1981620.8"/>
  </r>
  <r>
    <s v="INV0081"/>
    <s v="Female"/>
    <n v="36"/>
    <x v="3"/>
    <s v="Consumer Goods"/>
    <x v="1"/>
    <n v="3119731"/>
    <n v="25.35"/>
    <n v="14.61"/>
    <x v="78"/>
    <n v="124"/>
    <n v="5"/>
    <n v="311973.10000000003"/>
    <n v="1559865.5000000002"/>
  </r>
  <r>
    <s v="INV0082"/>
    <s v="Male"/>
    <n v="42"/>
    <x v="4"/>
    <s v="Healthcare"/>
    <x v="5"/>
    <n v="2758892"/>
    <n v="5.89"/>
    <n v="36.659999999999997"/>
    <x v="79"/>
    <n v="312"/>
    <n v="8"/>
    <n v="275889.2"/>
    <n v="2207113.6"/>
  </r>
  <r>
    <s v="INV0083"/>
    <s v="Female"/>
    <n v="52"/>
    <x v="2"/>
    <s v="Consumer Goods"/>
    <x v="5"/>
    <n v="158107"/>
    <n v="12.85"/>
    <n v="-9.0399999999999991"/>
    <x v="80"/>
    <n v="143"/>
    <n v="3"/>
    <n v="15810.7"/>
    <n v="47432.100000000006"/>
  </r>
  <r>
    <s v="INV0084"/>
    <s v="Male"/>
    <n v="59"/>
    <x v="0"/>
    <s v="Technology"/>
    <x v="1"/>
    <n v="371284"/>
    <n v="22.3"/>
    <n v="43.47"/>
    <x v="81"/>
    <n v="82"/>
    <n v="7"/>
    <n v="37128.400000000001"/>
    <n v="259898.80000000002"/>
  </r>
  <r>
    <s v="INV0085"/>
    <s v="Male"/>
    <n v="22"/>
    <x v="2"/>
    <s v="Healthcare"/>
    <x v="0"/>
    <n v="2174141"/>
    <n v="29.74"/>
    <n v="-4.6900000000000004"/>
    <x v="82"/>
    <n v="215"/>
    <n v="3"/>
    <n v="217414.1"/>
    <n v="652242.30000000005"/>
  </r>
  <r>
    <s v="INV0086"/>
    <s v="Male"/>
    <n v="24"/>
    <x v="2"/>
    <s v="Consumer Goods"/>
    <x v="1"/>
    <n v="1595114"/>
    <n v="27.49"/>
    <n v="10.29"/>
    <x v="83"/>
    <n v="186"/>
    <n v="1"/>
    <n v="159511.40000000002"/>
    <n v="159511.40000000002"/>
  </r>
  <r>
    <s v="INV0087"/>
    <s v="Male"/>
    <n v="34"/>
    <x v="4"/>
    <s v="Technology"/>
    <x v="5"/>
    <n v="4635752"/>
    <n v="33.619999999999997"/>
    <n v="1.63"/>
    <x v="84"/>
    <n v="203"/>
    <n v="6"/>
    <n v="463575.2"/>
    <n v="2781451.2"/>
  </r>
  <r>
    <s v="INV0088"/>
    <s v="Female"/>
    <n v="47"/>
    <x v="1"/>
    <s v="Healthcare"/>
    <x v="4"/>
    <n v="3779544"/>
    <n v="11.23"/>
    <n v="-4.92"/>
    <x v="85"/>
    <n v="65"/>
    <n v="8"/>
    <n v="377954.4"/>
    <n v="3023635.2"/>
  </r>
  <r>
    <s v="INV0089"/>
    <s v="Female"/>
    <n v="45"/>
    <x v="0"/>
    <s v="Technology"/>
    <x v="5"/>
    <n v="2878354"/>
    <n v="25.96"/>
    <n v="7.63"/>
    <x v="86"/>
    <n v="15"/>
    <n v="7"/>
    <n v="287835.40000000002"/>
    <n v="2014847.8000000003"/>
  </r>
  <r>
    <s v="INV0090"/>
    <s v="Female"/>
    <n v="40"/>
    <x v="1"/>
    <s v="Consumer Goods"/>
    <x v="4"/>
    <n v="3188786"/>
    <n v="21.74"/>
    <n v="-7.54"/>
    <x v="87"/>
    <n v="193"/>
    <n v="3"/>
    <n v="318878.60000000003"/>
    <n v="956635.8"/>
  </r>
  <r>
    <s v="INV0091"/>
    <s v="Female"/>
    <n v="65"/>
    <x v="4"/>
    <s v="Energy"/>
    <x v="2"/>
    <n v="3883719"/>
    <n v="12.07"/>
    <n v="0.39"/>
    <x v="88"/>
    <n v="362"/>
    <n v="4"/>
    <n v="388371.9"/>
    <n v="1553487.6"/>
  </r>
  <r>
    <s v="INV0092"/>
    <s v="Male"/>
    <n v="54"/>
    <x v="4"/>
    <s v="Finance"/>
    <x v="3"/>
    <n v="4326814"/>
    <n v="26.65"/>
    <n v="24.44"/>
    <x v="89"/>
    <n v="232"/>
    <n v="4"/>
    <n v="432681.4"/>
    <n v="1730725.6"/>
  </r>
  <r>
    <s v="INV0093"/>
    <s v="Male"/>
    <n v="24"/>
    <x v="2"/>
    <s v="Consumer Goods"/>
    <x v="3"/>
    <n v="2858292"/>
    <n v="29.62"/>
    <n v="20.149999999999999"/>
    <x v="90"/>
    <n v="286"/>
    <n v="8"/>
    <n v="285829.2"/>
    <n v="2286633.6"/>
  </r>
  <r>
    <s v="INV0094"/>
    <s v="Male"/>
    <n v="25"/>
    <x v="3"/>
    <s v="Technology"/>
    <x v="3"/>
    <n v="1768834"/>
    <n v="23.34"/>
    <n v="42.16"/>
    <x v="91"/>
    <n v="173"/>
    <n v="7"/>
    <n v="176883.40000000002"/>
    <n v="1238183.8000000003"/>
  </r>
  <r>
    <s v="INV0095"/>
    <s v="Female"/>
    <n v="30"/>
    <x v="1"/>
    <s v="Consumer Goods"/>
    <x v="0"/>
    <n v="1239995"/>
    <n v="23.25"/>
    <n v="4.95"/>
    <x v="92"/>
    <n v="178"/>
    <n v="2"/>
    <n v="123999.5"/>
    <n v="247999"/>
  </r>
  <r>
    <s v="INV0096"/>
    <s v="Male"/>
    <n v="58"/>
    <x v="4"/>
    <s v="Energy"/>
    <x v="5"/>
    <n v="4263709"/>
    <n v="32.01"/>
    <n v="30.05"/>
    <x v="93"/>
    <n v="23"/>
    <n v="5"/>
    <n v="426370.9"/>
    <n v="2131854.5"/>
  </r>
  <r>
    <s v="INV0097"/>
    <s v="Female"/>
    <n v="38"/>
    <x v="4"/>
    <s v="Healthcare"/>
    <x v="4"/>
    <n v="1392330"/>
    <n v="20.95"/>
    <n v="20.07"/>
    <x v="94"/>
    <n v="231"/>
    <n v="4"/>
    <n v="139233"/>
    <n v="556932"/>
  </r>
  <r>
    <s v="INV0098"/>
    <s v="Male"/>
    <n v="31"/>
    <x v="2"/>
    <s v="Technology"/>
    <x v="2"/>
    <n v="1166057"/>
    <n v="17.62"/>
    <n v="13.78"/>
    <x v="95"/>
    <n v="121"/>
    <n v="5"/>
    <n v="116605.70000000001"/>
    <n v="583028.5"/>
  </r>
  <r>
    <s v="INV0099"/>
    <s v="Male"/>
    <n v="52"/>
    <x v="3"/>
    <s v="Healthcare"/>
    <x v="1"/>
    <n v="1206187"/>
    <n v="20.260000000000002"/>
    <n v="-4.68"/>
    <x v="96"/>
    <n v="319"/>
    <n v="6"/>
    <n v="120618.70000000001"/>
    <n v="723712.20000000007"/>
  </r>
  <r>
    <s v="INV0100"/>
    <s v="Male"/>
    <n v="26"/>
    <x v="1"/>
    <s v="Healthcare"/>
    <x v="0"/>
    <n v="1095723"/>
    <n v="27.08"/>
    <n v="34.82"/>
    <x v="97"/>
    <n v="346"/>
    <n v="1"/>
    <n v="109572.3"/>
    <n v="109572.3"/>
  </r>
  <r>
    <s v="INV0101"/>
    <s v="Male"/>
    <n v="62"/>
    <x v="0"/>
    <s v="Finance"/>
    <x v="0"/>
    <n v="787718"/>
    <n v="16.32"/>
    <n v="6.53"/>
    <x v="98"/>
    <n v="233"/>
    <n v="3"/>
    <n v="78771.8"/>
    <n v="236315.40000000002"/>
  </r>
  <r>
    <s v="INV0102"/>
    <s v="Female"/>
    <n v="62"/>
    <x v="1"/>
    <s v="Technology"/>
    <x v="1"/>
    <n v="787301"/>
    <n v="15.96"/>
    <n v="11.97"/>
    <x v="99"/>
    <n v="136"/>
    <n v="6"/>
    <n v="78730.100000000006"/>
    <n v="472380.60000000003"/>
  </r>
  <r>
    <s v="INV0103"/>
    <s v="Male"/>
    <n v="62"/>
    <x v="4"/>
    <s v="Finance"/>
    <x v="1"/>
    <n v="2399347"/>
    <n v="34.97"/>
    <n v="-1.03"/>
    <x v="100"/>
    <n v="274"/>
    <n v="6"/>
    <n v="239934.7"/>
    <n v="1439608.2000000002"/>
  </r>
  <r>
    <s v="INV0104"/>
    <s v="Female"/>
    <n v="24"/>
    <x v="0"/>
    <s v="Energy"/>
    <x v="2"/>
    <n v="1250053"/>
    <n v="15.21"/>
    <n v="31.6"/>
    <x v="101"/>
    <n v="94"/>
    <n v="7"/>
    <n v="125005.3"/>
    <n v="875037.1"/>
  </r>
  <r>
    <s v="INV0105"/>
    <s v="Female"/>
    <n v="27"/>
    <x v="0"/>
    <s v="Finance"/>
    <x v="3"/>
    <n v="4116454"/>
    <n v="13.92"/>
    <n v="18.79"/>
    <x v="102"/>
    <n v="125"/>
    <n v="6"/>
    <n v="411645.4"/>
    <n v="2469872.4000000004"/>
  </r>
  <r>
    <s v="INV0106"/>
    <s v="Female"/>
    <n v="46"/>
    <x v="4"/>
    <s v="Consumer Goods"/>
    <x v="1"/>
    <n v="306798"/>
    <n v="17.059999999999999"/>
    <n v="25.09"/>
    <x v="103"/>
    <n v="68"/>
    <n v="6"/>
    <n v="30679.800000000003"/>
    <n v="184078.80000000002"/>
  </r>
  <r>
    <s v="INV0107"/>
    <s v="Male"/>
    <n v="24"/>
    <x v="3"/>
    <s v="Finance"/>
    <x v="4"/>
    <n v="970444"/>
    <n v="31.23"/>
    <n v="-1.61"/>
    <x v="104"/>
    <n v="357"/>
    <n v="2"/>
    <n v="97044.400000000009"/>
    <n v="194088.80000000002"/>
  </r>
  <r>
    <s v="INV0108"/>
    <s v="Female"/>
    <n v="64"/>
    <x v="0"/>
    <s v="Agriculture"/>
    <x v="0"/>
    <n v="971829"/>
    <n v="7.25"/>
    <n v="16.010000000000002"/>
    <x v="105"/>
    <n v="131"/>
    <n v="5"/>
    <n v="97182.900000000009"/>
    <n v="485914.50000000006"/>
  </r>
  <r>
    <s v="INV0109"/>
    <s v="Male"/>
    <n v="50"/>
    <x v="1"/>
    <s v="Finance"/>
    <x v="3"/>
    <n v="116654"/>
    <n v="26.85"/>
    <n v="-9.0500000000000007"/>
    <x v="106"/>
    <n v="189"/>
    <n v="5"/>
    <n v="11665.400000000001"/>
    <n v="58327.000000000007"/>
  </r>
  <r>
    <s v="INV0110"/>
    <s v="Male"/>
    <n v="46"/>
    <x v="4"/>
    <s v="Healthcare"/>
    <x v="0"/>
    <n v="1165057"/>
    <n v="21.07"/>
    <n v="24.74"/>
    <x v="85"/>
    <n v="346"/>
    <n v="8"/>
    <n v="116505.70000000001"/>
    <n v="932045.60000000009"/>
  </r>
  <r>
    <s v="INV0111"/>
    <s v="Male"/>
    <n v="43"/>
    <x v="2"/>
    <s v="Energy"/>
    <x v="4"/>
    <n v="4952131"/>
    <n v="9.0399999999999991"/>
    <n v="9.74"/>
    <x v="107"/>
    <n v="293"/>
    <n v="3"/>
    <n v="495213.10000000003"/>
    <n v="1485639.3"/>
  </r>
  <r>
    <s v="INV0112"/>
    <s v="Male"/>
    <n v="31"/>
    <x v="4"/>
    <s v="Healthcare"/>
    <x v="2"/>
    <n v="1366651"/>
    <n v="23.59"/>
    <n v="19.03"/>
    <x v="108"/>
    <n v="100"/>
    <n v="4"/>
    <n v="136665.1"/>
    <n v="546660.4"/>
  </r>
  <r>
    <s v="INV0113"/>
    <s v="Male"/>
    <n v="53"/>
    <x v="1"/>
    <s v="Energy"/>
    <x v="3"/>
    <n v="3126036"/>
    <n v="7.08"/>
    <n v="-3.52"/>
    <x v="109"/>
    <n v="19"/>
    <n v="2"/>
    <n v="312603.60000000003"/>
    <n v="625207.20000000007"/>
  </r>
  <r>
    <s v="INV0114"/>
    <s v="Female"/>
    <n v="60"/>
    <x v="4"/>
    <s v="Consumer Goods"/>
    <x v="5"/>
    <n v="2543132"/>
    <n v="32.520000000000003"/>
    <n v="1.99"/>
    <x v="110"/>
    <n v="125"/>
    <n v="3"/>
    <n v="254313.2"/>
    <n v="762939.60000000009"/>
  </r>
  <r>
    <s v="INV0115"/>
    <s v="Female"/>
    <n v="49"/>
    <x v="3"/>
    <s v="Agriculture"/>
    <x v="1"/>
    <n v="418894"/>
    <n v="33.49"/>
    <n v="30.34"/>
    <x v="111"/>
    <n v="111"/>
    <n v="5"/>
    <n v="41889.4"/>
    <n v="209447"/>
  </r>
  <r>
    <s v="INV0116"/>
    <s v="Female"/>
    <n v="55"/>
    <x v="3"/>
    <s v="Agriculture"/>
    <x v="0"/>
    <n v="4246257"/>
    <n v="7.13"/>
    <n v="6.87"/>
    <x v="112"/>
    <n v="329"/>
    <n v="8"/>
    <n v="424625.7"/>
    <n v="3397005.6"/>
  </r>
  <r>
    <s v="INV0117"/>
    <s v="Female"/>
    <n v="33"/>
    <x v="0"/>
    <s v="Healthcare"/>
    <x v="4"/>
    <n v="471277"/>
    <n v="22.31"/>
    <n v="4.05"/>
    <x v="113"/>
    <n v="358"/>
    <n v="3"/>
    <n v="47127.700000000004"/>
    <n v="141383.1"/>
  </r>
  <r>
    <s v="INV0118"/>
    <s v="Female"/>
    <n v="45"/>
    <x v="2"/>
    <s v="Healthcare"/>
    <x v="1"/>
    <n v="2729193"/>
    <n v="20.3"/>
    <n v="34.409999999999997"/>
    <x v="114"/>
    <n v="272"/>
    <n v="8"/>
    <n v="272919.3"/>
    <n v="2183354.4"/>
  </r>
  <r>
    <s v="INV0119"/>
    <s v="Male"/>
    <n v="56"/>
    <x v="3"/>
    <s v="Finance"/>
    <x v="1"/>
    <n v="4233228"/>
    <n v="8"/>
    <n v="-7.9"/>
    <x v="115"/>
    <n v="299"/>
    <n v="3"/>
    <n v="423322.80000000005"/>
    <n v="1269968.4000000001"/>
  </r>
  <r>
    <s v="INV0120"/>
    <s v="Male"/>
    <n v="26"/>
    <x v="0"/>
    <s v="Finance"/>
    <x v="0"/>
    <n v="1181365"/>
    <n v="15.27"/>
    <n v="43.23"/>
    <x v="116"/>
    <n v="281"/>
    <n v="4"/>
    <n v="118136.5"/>
    <n v="472546"/>
  </r>
  <r>
    <s v="INV0121"/>
    <s v="Male"/>
    <n v="40"/>
    <x v="1"/>
    <s v="Consumer Goods"/>
    <x v="3"/>
    <n v="2072807"/>
    <n v="17.190000000000001"/>
    <n v="-8.1300000000000008"/>
    <x v="117"/>
    <n v="12"/>
    <n v="2"/>
    <n v="207280.7"/>
    <n v="414561.4"/>
  </r>
  <r>
    <s v="INV0122"/>
    <s v="Male"/>
    <n v="51"/>
    <x v="1"/>
    <s v="Healthcare"/>
    <x v="4"/>
    <n v="2476536"/>
    <n v="12.84"/>
    <n v="39.369999999999997"/>
    <x v="118"/>
    <n v="17"/>
    <n v="3"/>
    <n v="247653.6"/>
    <n v="742960.8"/>
  </r>
  <r>
    <s v="INV0123"/>
    <s v="Male"/>
    <n v="32"/>
    <x v="3"/>
    <s v="Finance"/>
    <x v="2"/>
    <n v="3828023"/>
    <n v="15.28"/>
    <n v="4.76"/>
    <x v="119"/>
    <n v="338"/>
    <n v="2"/>
    <n v="382802.30000000005"/>
    <n v="765604.60000000009"/>
  </r>
  <r>
    <s v="INV0124"/>
    <s v="Female"/>
    <n v="29"/>
    <x v="1"/>
    <s v="Technology"/>
    <x v="5"/>
    <n v="528100"/>
    <n v="10.42"/>
    <n v="18.75"/>
    <x v="120"/>
    <n v="299"/>
    <n v="3"/>
    <n v="52810"/>
    <n v="158430"/>
  </r>
  <r>
    <s v="INV0125"/>
    <s v="Female"/>
    <n v="42"/>
    <x v="1"/>
    <s v="Technology"/>
    <x v="4"/>
    <n v="4171180"/>
    <n v="5.09"/>
    <n v="20.73"/>
    <x v="114"/>
    <n v="274"/>
    <n v="8"/>
    <n v="417118"/>
    <n v="3336944"/>
  </r>
  <r>
    <s v="INV0126"/>
    <s v="Female"/>
    <n v="39"/>
    <x v="2"/>
    <s v="Finance"/>
    <x v="4"/>
    <n v="1030809"/>
    <n v="24.59"/>
    <n v="4.9000000000000004"/>
    <x v="103"/>
    <n v="321"/>
    <n v="6"/>
    <n v="103080.90000000001"/>
    <n v="618485.4"/>
  </r>
  <r>
    <s v="INV0127"/>
    <s v="Male"/>
    <n v="38"/>
    <x v="2"/>
    <s v="Agriculture"/>
    <x v="1"/>
    <n v="4220164"/>
    <n v="5.33"/>
    <n v="-3.43"/>
    <x v="121"/>
    <n v="177"/>
    <n v="2"/>
    <n v="422016.4"/>
    <n v="844032.8"/>
  </r>
  <r>
    <s v="INV0128"/>
    <s v="Male"/>
    <n v="44"/>
    <x v="3"/>
    <s v="Consumer Goods"/>
    <x v="2"/>
    <n v="2016758"/>
    <n v="31.67"/>
    <n v="13.85"/>
    <x v="122"/>
    <n v="142"/>
    <n v="3"/>
    <n v="201675.80000000002"/>
    <n v="605027.4"/>
  </r>
  <r>
    <s v="INV0129"/>
    <s v="Female"/>
    <n v="38"/>
    <x v="4"/>
    <s v="Technology"/>
    <x v="5"/>
    <n v="4184208"/>
    <n v="21.06"/>
    <n v="-0.67"/>
    <x v="123"/>
    <n v="190"/>
    <n v="5"/>
    <n v="418420.80000000005"/>
    <n v="2092104.0000000002"/>
  </r>
  <r>
    <s v="INV0130"/>
    <s v="Male"/>
    <n v="36"/>
    <x v="2"/>
    <s v="Healthcare"/>
    <x v="0"/>
    <n v="4831877"/>
    <n v="16.79"/>
    <n v="22.8"/>
    <x v="124"/>
    <n v="200"/>
    <n v="5"/>
    <n v="483187.7"/>
    <n v="2415938.5"/>
  </r>
  <r>
    <s v="INV0131"/>
    <s v="Male"/>
    <n v="50"/>
    <x v="3"/>
    <s v="Healthcare"/>
    <x v="0"/>
    <n v="870774"/>
    <n v="27.77"/>
    <n v="16.84"/>
    <x v="125"/>
    <n v="100"/>
    <n v="5"/>
    <n v="87077.400000000009"/>
    <n v="435387.00000000006"/>
  </r>
  <r>
    <s v="INV0132"/>
    <s v="Male"/>
    <n v="50"/>
    <x v="1"/>
    <s v="Energy"/>
    <x v="0"/>
    <n v="2404007"/>
    <n v="15.51"/>
    <n v="-7.38"/>
    <x v="126"/>
    <n v="266"/>
    <n v="2"/>
    <n v="240400.7"/>
    <n v="480801.4"/>
  </r>
  <r>
    <s v="INV0133"/>
    <s v="Male"/>
    <n v="62"/>
    <x v="3"/>
    <s v="Energy"/>
    <x v="4"/>
    <n v="3680693"/>
    <n v="6.22"/>
    <n v="17"/>
    <x v="127"/>
    <n v="269"/>
    <n v="6"/>
    <n v="368069.30000000005"/>
    <n v="2208415.8000000003"/>
  </r>
  <r>
    <s v="INV0134"/>
    <s v="Male"/>
    <n v="30"/>
    <x v="2"/>
    <s v="Healthcare"/>
    <x v="5"/>
    <n v="4479224"/>
    <n v="21.88"/>
    <n v="25.37"/>
    <x v="128"/>
    <n v="29"/>
    <n v="3"/>
    <n v="447922.4"/>
    <n v="1343767.2000000002"/>
  </r>
  <r>
    <s v="INV0135"/>
    <s v="Male"/>
    <n v="26"/>
    <x v="2"/>
    <s v="Energy"/>
    <x v="0"/>
    <n v="2339474"/>
    <n v="11.06"/>
    <n v="12.3"/>
    <x v="129"/>
    <n v="229"/>
    <n v="5"/>
    <n v="233947.40000000002"/>
    <n v="1169737"/>
  </r>
  <r>
    <s v="INV0136"/>
    <s v="Male"/>
    <n v="31"/>
    <x v="3"/>
    <s v="Agriculture"/>
    <x v="3"/>
    <n v="1193325"/>
    <n v="29.86"/>
    <n v="20.07"/>
    <x v="130"/>
    <n v="336"/>
    <n v="7"/>
    <n v="119332.5"/>
    <n v="835327.5"/>
  </r>
  <r>
    <s v="INV0137"/>
    <s v="Male"/>
    <n v="46"/>
    <x v="3"/>
    <s v="Healthcare"/>
    <x v="0"/>
    <n v="1983198"/>
    <n v="17.09"/>
    <n v="-0.16"/>
    <x v="131"/>
    <n v="311"/>
    <n v="6"/>
    <n v="198319.80000000002"/>
    <n v="1189918.8"/>
  </r>
  <r>
    <s v="INV0138"/>
    <s v="Female"/>
    <n v="62"/>
    <x v="2"/>
    <s v="Healthcare"/>
    <x v="1"/>
    <n v="1389344"/>
    <n v="16.2"/>
    <n v="30.38"/>
    <x v="132"/>
    <n v="57"/>
    <n v="6"/>
    <n v="138934.39999999999"/>
    <n v="833606.39999999991"/>
  </r>
  <r>
    <s v="INV0139"/>
    <s v="Female"/>
    <n v="37"/>
    <x v="2"/>
    <s v="Healthcare"/>
    <x v="4"/>
    <n v="1472920"/>
    <n v="19.05"/>
    <n v="-2.17"/>
    <x v="133"/>
    <n v="110"/>
    <n v="2"/>
    <n v="147292"/>
    <n v="294584"/>
  </r>
  <r>
    <s v="INV0140"/>
    <s v="Male"/>
    <n v="42"/>
    <x v="3"/>
    <s v="Energy"/>
    <x v="4"/>
    <n v="4178740"/>
    <n v="26.21"/>
    <n v="40.92"/>
    <x v="134"/>
    <n v="55"/>
    <n v="3"/>
    <n v="417874"/>
    <n v="1253622"/>
  </r>
  <r>
    <s v="INV0141"/>
    <s v="Male"/>
    <n v="44"/>
    <x v="3"/>
    <s v="Technology"/>
    <x v="2"/>
    <n v="612088"/>
    <n v="30.24"/>
    <n v="24.11"/>
    <x v="135"/>
    <n v="209"/>
    <n v="3"/>
    <n v="61208.800000000003"/>
    <n v="183626.40000000002"/>
  </r>
  <r>
    <s v="INV0142"/>
    <s v="Female"/>
    <n v="55"/>
    <x v="3"/>
    <s v="Finance"/>
    <x v="0"/>
    <n v="3335486"/>
    <n v="17.79"/>
    <n v="17.98"/>
    <x v="107"/>
    <n v="168"/>
    <n v="3"/>
    <n v="333548.60000000003"/>
    <n v="1000645.8"/>
  </r>
  <r>
    <s v="INV0143"/>
    <s v="Female"/>
    <n v="39"/>
    <x v="4"/>
    <s v="Energy"/>
    <x v="4"/>
    <n v="2891260"/>
    <n v="30.84"/>
    <n v="24.54"/>
    <x v="136"/>
    <n v="206"/>
    <n v="6"/>
    <n v="289126"/>
    <n v="1734756"/>
  </r>
  <r>
    <s v="INV0144"/>
    <s v="Female"/>
    <n v="56"/>
    <x v="2"/>
    <s v="Energy"/>
    <x v="3"/>
    <n v="2460750"/>
    <n v="31.71"/>
    <n v="-9.4600000000000009"/>
    <x v="137"/>
    <n v="256"/>
    <n v="2"/>
    <n v="246075"/>
    <n v="492150"/>
  </r>
  <r>
    <s v="INV0145"/>
    <s v="Female"/>
    <n v="45"/>
    <x v="2"/>
    <s v="Agriculture"/>
    <x v="2"/>
    <n v="2010712"/>
    <n v="29.26"/>
    <n v="0.95"/>
    <x v="138"/>
    <n v="159"/>
    <n v="3"/>
    <n v="201071.2"/>
    <n v="603213.60000000009"/>
  </r>
  <r>
    <s v="INV0146"/>
    <s v="Female"/>
    <n v="52"/>
    <x v="1"/>
    <s v="Healthcare"/>
    <x v="3"/>
    <n v="262255"/>
    <n v="18.97"/>
    <n v="31.43"/>
    <x v="139"/>
    <n v="292"/>
    <n v="3"/>
    <n v="26225.5"/>
    <n v="78676.5"/>
  </r>
  <r>
    <s v="INV0147"/>
    <s v="Male"/>
    <n v="37"/>
    <x v="0"/>
    <s v="Agriculture"/>
    <x v="5"/>
    <n v="3652157"/>
    <n v="22.43"/>
    <n v="27.93"/>
    <x v="140"/>
    <n v="42"/>
    <n v="6"/>
    <n v="365215.7"/>
    <n v="2191294.2000000002"/>
  </r>
  <r>
    <s v="INV0148"/>
    <s v="Male"/>
    <n v="61"/>
    <x v="3"/>
    <s v="Consumer Goods"/>
    <x v="1"/>
    <n v="1931016"/>
    <n v="34.42"/>
    <n v="-3.36"/>
    <x v="141"/>
    <n v="175"/>
    <n v="8"/>
    <n v="193101.6"/>
    <n v="1544812.8"/>
  </r>
  <r>
    <s v="INV0149"/>
    <s v="Female"/>
    <n v="47"/>
    <x v="4"/>
    <s v="Healthcare"/>
    <x v="2"/>
    <n v="3261746"/>
    <n v="33.630000000000003"/>
    <n v="3.8"/>
    <x v="142"/>
    <n v="138"/>
    <n v="1"/>
    <n v="326174.60000000003"/>
    <n v="326174.60000000003"/>
  </r>
  <r>
    <s v="INV0150"/>
    <s v="Male"/>
    <n v="35"/>
    <x v="1"/>
    <s v="Technology"/>
    <x v="0"/>
    <n v="2408320"/>
    <n v="17.34"/>
    <n v="19.45"/>
    <x v="143"/>
    <n v="329"/>
    <n v="5"/>
    <n v="240832"/>
    <n v="1204160"/>
  </r>
  <r>
    <s v="INV0151"/>
    <s v="Male"/>
    <n v="51"/>
    <x v="2"/>
    <s v="Healthcare"/>
    <x v="4"/>
    <n v="744391"/>
    <n v="21.08"/>
    <n v="-1.63"/>
    <x v="144"/>
    <n v="114"/>
    <n v="4"/>
    <n v="74439.100000000006"/>
    <n v="297756.40000000002"/>
  </r>
  <r>
    <s v="INV0152"/>
    <s v="Male"/>
    <n v="40"/>
    <x v="4"/>
    <s v="Technology"/>
    <x v="2"/>
    <n v="1790998"/>
    <n v="22.12"/>
    <n v="40.950000000000003"/>
    <x v="145"/>
    <n v="92"/>
    <n v="3"/>
    <n v="179099.80000000002"/>
    <n v="537299.4"/>
  </r>
  <r>
    <s v="INV0153"/>
    <s v="Female"/>
    <n v="42"/>
    <x v="1"/>
    <s v="Energy"/>
    <x v="3"/>
    <n v="949551"/>
    <n v="17.02"/>
    <n v="39.700000000000003"/>
    <x v="146"/>
    <n v="203"/>
    <n v="8"/>
    <n v="94955.1"/>
    <n v="759640.8"/>
  </r>
  <r>
    <s v="INV0154"/>
    <s v="Male"/>
    <n v="59"/>
    <x v="4"/>
    <s v="Technology"/>
    <x v="4"/>
    <n v="3442589"/>
    <n v="5.46"/>
    <n v="-5.8"/>
    <x v="147"/>
    <n v="326"/>
    <n v="1"/>
    <n v="344258.9"/>
    <n v="344258.9"/>
  </r>
  <r>
    <s v="INV0155"/>
    <s v="Female"/>
    <n v="34"/>
    <x v="1"/>
    <s v="Technology"/>
    <x v="0"/>
    <n v="4048041"/>
    <n v="28"/>
    <n v="32.020000000000003"/>
    <x v="148"/>
    <n v="145"/>
    <n v="5"/>
    <n v="404804.10000000003"/>
    <n v="2024020.5000000002"/>
  </r>
  <r>
    <s v="INV0156"/>
    <s v="Male"/>
    <n v="38"/>
    <x v="1"/>
    <s v="Finance"/>
    <x v="1"/>
    <n v="2594625"/>
    <n v="31.56"/>
    <n v="-9.74"/>
    <x v="149"/>
    <n v="189"/>
    <n v="4"/>
    <n v="259462.5"/>
    <n v="1037850"/>
  </r>
  <r>
    <s v="INV0157"/>
    <s v="Male"/>
    <n v="23"/>
    <x v="4"/>
    <s v="Agriculture"/>
    <x v="0"/>
    <n v="4098446"/>
    <n v="34.520000000000003"/>
    <n v="3.49"/>
    <x v="150"/>
    <n v="22"/>
    <n v="8"/>
    <n v="409844.60000000003"/>
    <n v="3278756.8000000003"/>
  </r>
  <r>
    <s v="INV0158"/>
    <s v="Female"/>
    <n v="22"/>
    <x v="3"/>
    <s v="Finance"/>
    <x v="0"/>
    <n v="1897184"/>
    <n v="29.5"/>
    <n v="25.86"/>
    <x v="151"/>
    <n v="184"/>
    <n v="6"/>
    <n v="189718.40000000002"/>
    <n v="1138310.4000000001"/>
  </r>
  <r>
    <s v="INV0159"/>
    <s v="Male"/>
    <n v="26"/>
    <x v="3"/>
    <s v="Technology"/>
    <x v="3"/>
    <n v="718725"/>
    <n v="32.299999999999997"/>
    <n v="-0.95"/>
    <x v="152"/>
    <n v="194"/>
    <n v="2"/>
    <n v="71872.5"/>
    <n v="143745"/>
  </r>
  <r>
    <s v="INV0160"/>
    <s v="Male"/>
    <n v="46"/>
    <x v="4"/>
    <s v="Healthcare"/>
    <x v="4"/>
    <n v="1594874"/>
    <n v="18.600000000000001"/>
    <n v="13.98"/>
    <x v="153"/>
    <n v="357"/>
    <n v="1"/>
    <n v="159487.40000000002"/>
    <n v="159487.40000000002"/>
  </r>
  <r>
    <s v="INV0161"/>
    <s v="Male"/>
    <n v="39"/>
    <x v="3"/>
    <s v="Agriculture"/>
    <x v="4"/>
    <n v="3614455"/>
    <n v="30.51"/>
    <n v="14.84"/>
    <x v="154"/>
    <n v="149"/>
    <n v="6"/>
    <n v="361445.5"/>
    <n v="2168673"/>
  </r>
  <r>
    <s v="INV0162"/>
    <s v="Female"/>
    <n v="41"/>
    <x v="1"/>
    <s v="Consumer Goods"/>
    <x v="2"/>
    <n v="4999667"/>
    <n v="19.649999999999999"/>
    <n v="41.35"/>
    <x v="155"/>
    <n v="58"/>
    <n v="7"/>
    <n v="499966.7"/>
    <n v="3499766.9"/>
  </r>
  <r>
    <s v="INV0163"/>
    <s v="Female"/>
    <n v="40"/>
    <x v="1"/>
    <s v="Healthcare"/>
    <x v="2"/>
    <n v="736903"/>
    <n v="20.57"/>
    <n v="27.35"/>
    <x v="156"/>
    <n v="242"/>
    <n v="2"/>
    <n v="73690.3"/>
    <n v="147380.6"/>
  </r>
  <r>
    <s v="INV0164"/>
    <s v="Male"/>
    <n v="23"/>
    <x v="1"/>
    <s v="Consumer Goods"/>
    <x v="5"/>
    <n v="908441"/>
    <n v="32.54"/>
    <n v="-0.15"/>
    <x v="157"/>
    <n v="114"/>
    <n v="8"/>
    <n v="90844.1"/>
    <n v="726752.8"/>
  </r>
  <r>
    <s v="INV0165"/>
    <s v="Female"/>
    <n v="54"/>
    <x v="1"/>
    <s v="Finance"/>
    <x v="4"/>
    <n v="4776012"/>
    <n v="19.579999999999998"/>
    <n v="21.71"/>
    <x v="158"/>
    <n v="206"/>
    <n v="7"/>
    <n v="477601.2"/>
    <n v="3343208.4"/>
  </r>
  <r>
    <s v="INV0166"/>
    <s v="Female"/>
    <n v="30"/>
    <x v="4"/>
    <s v="Finance"/>
    <x v="3"/>
    <n v="1532997"/>
    <n v="16.05"/>
    <n v="31.43"/>
    <x v="159"/>
    <n v="171"/>
    <n v="3"/>
    <n v="153299.70000000001"/>
    <n v="459899.10000000003"/>
  </r>
  <r>
    <s v="INV0167"/>
    <s v="Female"/>
    <n v="51"/>
    <x v="2"/>
    <s v="Agriculture"/>
    <x v="2"/>
    <n v="3854501"/>
    <n v="31.87"/>
    <n v="26.86"/>
    <x v="160"/>
    <n v="219"/>
    <n v="6"/>
    <n v="385450.10000000003"/>
    <n v="2312700.6"/>
  </r>
  <r>
    <s v="INV0168"/>
    <s v="Female"/>
    <n v="32"/>
    <x v="0"/>
    <s v="Energy"/>
    <x v="1"/>
    <n v="538834"/>
    <n v="30.19"/>
    <n v="15.49"/>
    <x v="161"/>
    <n v="248"/>
    <n v="3"/>
    <n v="53883.4"/>
    <n v="161650.20000000001"/>
  </r>
  <r>
    <s v="INV0169"/>
    <s v="Male"/>
    <n v="32"/>
    <x v="3"/>
    <s v="Consumer Goods"/>
    <x v="3"/>
    <n v="3425990"/>
    <n v="28.65"/>
    <n v="39.130000000000003"/>
    <x v="162"/>
    <n v="215"/>
    <n v="7"/>
    <n v="342599"/>
    <n v="2398193"/>
  </r>
  <r>
    <s v="INV0170"/>
    <s v="Female"/>
    <n v="64"/>
    <x v="0"/>
    <s v="Consumer Goods"/>
    <x v="3"/>
    <n v="1813145"/>
    <n v="31.97"/>
    <n v="20.77"/>
    <x v="163"/>
    <n v="175"/>
    <n v="5"/>
    <n v="181314.5"/>
    <n v="906572.5"/>
  </r>
  <r>
    <s v="INV0171"/>
    <s v="Female"/>
    <n v="50"/>
    <x v="4"/>
    <s v="Finance"/>
    <x v="3"/>
    <n v="4902005"/>
    <n v="24.45"/>
    <n v="39.21"/>
    <x v="164"/>
    <n v="344"/>
    <n v="7"/>
    <n v="490200.5"/>
    <n v="3431403.5"/>
  </r>
  <r>
    <s v="INV0172"/>
    <s v="Male"/>
    <n v="35"/>
    <x v="4"/>
    <s v="Energy"/>
    <x v="2"/>
    <n v="4727511"/>
    <n v="34.729999999999997"/>
    <n v="0.01"/>
    <x v="165"/>
    <n v="327"/>
    <n v="8"/>
    <n v="472751.10000000003"/>
    <n v="3782008.8000000003"/>
  </r>
  <r>
    <s v="INV0173"/>
    <s v="Male"/>
    <n v="39"/>
    <x v="4"/>
    <s v="Technology"/>
    <x v="4"/>
    <n v="4482240"/>
    <n v="27.15"/>
    <n v="38.549999999999997"/>
    <x v="166"/>
    <n v="247"/>
    <n v="8"/>
    <n v="448224"/>
    <n v="3585792"/>
  </r>
  <r>
    <s v="INV0174"/>
    <s v="Female"/>
    <n v="27"/>
    <x v="4"/>
    <s v="Agriculture"/>
    <x v="3"/>
    <n v="2731839"/>
    <n v="30.23"/>
    <n v="7.76"/>
    <x v="167"/>
    <n v="176"/>
    <n v="5"/>
    <n v="273183.90000000002"/>
    <n v="1365919.5"/>
  </r>
  <r>
    <s v="INV0175"/>
    <s v="Male"/>
    <n v="29"/>
    <x v="0"/>
    <s v="Energy"/>
    <x v="2"/>
    <n v="1280283"/>
    <n v="32.61"/>
    <n v="32.99"/>
    <x v="168"/>
    <n v="180"/>
    <n v="1"/>
    <n v="128028.3"/>
    <n v="128028.3"/>
  </r>
  <r>
    <s v="INV0176"/>
    <s v="Female"/>
    <n v="51"/>
    <x v="0"/>
    <s v="Healthcare"/>
    <x v="3"/>
    <n v="2093643"/>
    <n v="16.66"/>
    <n v="39.01"/>
    <x v="169"/>
    <n v="9"/>
    <n v="8"/>
    <n v="209364.30000000002"/>
    <n v="1674914.4000000001"/>
  </r>
  <r>
    <s v="INV0177"/>
    <s v="Male"/>
    <n v="36"/>
    <x v="3"/>
    <s v="Healthcare"/>
    <x v="5"/>
    <n v="4968053"/>
    <n v="17.03"/>
    <n v="-0.89"/>
    <x v="170"/>
    <n v="251"/>
    <n v="3"/>
    <n v="496805.30000000005"/>
    <n v="1490415.9000000001"/>
  </r>
  <r>
    <s v="INV0178"/>
    <s v="Female"/>
    <n v="61"/>
    <x v="4"/>
    <s v="Healthcare"/>
    <x v="5"/>
    <n v="980799"/>
    <n v="18.3"/>
    <n v="42.43"/>
    <x v="171"/>
    <n v="180"/>
    <n v="7"/>
    <n v="98079.900000000009"/>
    <n v="686559.3"/>
  </r>
  <r>
    <s v="INV0179"/>
    <s v="Female"/>
    <n v="39"/>
    <x v="0"/>
    <s v="Healthcare"/>
    <x v="4"/>
    <n v="1795594"/>
    <n v="27.32"/>
    <n v="0.33"/>
    <x v="172"/>
    <n v="316"/>
    <n v="5"/>
    <n v="179559.40000000002"/>
    <n v="897797.00000000012"/>
  </r>
  <r>
    <s v="INV0180"/>
    <s v="Male"/>
    <n v="61"/>
    <x v="4"/>
    <s v="Finance"/>
    <x v="0"/>
    <n v="3442735"/>
    <n v="13.78"/>
    <n v="34.67"/>
    <x v="61"/>
    <n v="69"/>
    <n v="7"/>
    <n v="344273.5"/>
    <n v="2409914.5"/>
  </r>
  <r>
    <s v="INV0181"/>
    <s v="Female"/>
    <n v="50"/>
    <x v="2"/>
    <s v="Energy"/>
    <x v="5"/>
    <n v="4792061"/>
    <n v="23.36"/>
    <n v="-7.73"/>
    <x v="173"/>
    <n v="113"/>
    <n v="1"/>
    <n v="479206.10000000003"/>
    <n v="479206.10000000003"/>
  </r>
  <r>
    <s v="INV0182"/>
    <s v="Female"/>
    <n v="29"/>
    <x v="0"/>
    <s v="Agriculture"/>
    <x v="5"/>
    <n v="474123"/>
    <n v="27.44"/>
    <n v="25.47"/>
    <x v="63"/>
    <n v="305"/>
    <n v="7"/>
    <n v="47412.3"/>
    <n v="331886.10000000003"/>
  </r>
  <r>
    <s v="INV0183"/>
    <s v="Female"/>
    <n v="34"/>
    <x v="0"/>
    <s v="Healthcare"/>
    <x v="5"/>
    <n v="4578350"/>
    <n v="26.4"/>
    <n v="-7.48"/>
    <x v="174"/>
    <n v="127"/>
    <n v="4"/>
    <n v="457835"/>
    <n v="1831340"/>
  </r>
  <r>
    <s v="INV0184"/>
    <s v="Male"/>
    <n v="60"/>
    <x v="3"/>
    <s v="Agriculture"/>
    <x v="0"/>
    <n v="3560777"/>
    <n v="9.39"/>
    <n v="38.229999999999997"/>
    <x v="175"/>
    <n v="33"/>
    <n v="3"/>
    <n v="356077.7"/>
    <n v="1068233.1000000001"/>
  </r>
  <r>
    <s v="INV0185"/>
    <s v="Male"/>
    <n v="22"/>
    <x v="0"/>
    <s v="Consumer Goods"/>
    <x v="1"/>
    <n v="3452749"/>
    <n v="11.81"/>
    <n v="6.37"/>
    <x v="176"/>
    <n v="232"/>
    <n v="6"/>
    <n v="345274.9"/>
    <n v="2071649.4000000001"/>
  </r>
  <r>
    <s v="INV0186"/>
    <s v="Female"/>
    <n v="34"/>
    <x v="0"/>
    <s v="Healthcare"/>
    <x v="1"/>
    <n v="1574126"/>
    <n v="10.1"/>
    <n v="22.32"/>
    <x v="177"/>
    <n v="103"/>
    <n v="2"/>
    <n v="157412.6"/>
    <n v="314825.2"/>
  </r>
  <r>
    <s v="INV0187"/>
    <s v="Male"/>
    <n v="52"/>
    <x v="1"/>
    <s v="Consumer Goods"/>
    <x v="4"/>
    <n v="1057262"/>
    <n v="30.12"/>
    <n v="29.28"/>
    <x v="178"/>
    <n v="316"/>
    <n v="8"/>
    <n v="105726.20000000001"/>
    <n v="845809.60000000009"/>
  </r>
  <r>
    <s v="INV0188"/>
    <s v="Male"/>
    <n v="44"/>
    <x v="1"/>
    <s v="Agriculture"/>
    <x v="4"/>
    <n v="2076355"/>
    <n v="33.11"/>
    <n v="10.72"/>
    <x v="107"/>
    <n v="48"/>
    <n v="3"/>
    <n v="207635.5"/>
    <n v="622906.5"/>
  </r>
  <r>
    <s v="INV0189"/>
    <s v="Female"/>
    <n v="65"/>
    <x v="1"/>
    <s v="Technology"/>
    <x v="2"/>
    <n v="2351459"/>
    <n v="25.43"/>
    <n v="2.2200000000000002"/>
    <x v="179"/>
    <n v="94"/>
    <n v="5"/>
    <n v="235145.90000000002"/>
    <n v="1175729.5"/>
  </r>
  <r>
    <s v="INV0190"/>
    <s v="Male"/>
    <n v="41"/>
    <x v="2"/>
    <s v="Finance"/>
    <x v="2"/>
    <n v="2555619"/>
    <n v="24.5"/>
    <n v="38.97"/>
    <x v="180"/>
    <n v="184"/>
    <n v="3"/>
    <n v="255561.90000000002"/>
    <n v="766685.70000000007"/>
  </r>
  <r>
    <s v="INV0191"/>
    <s v="Female"/>
    <n v="38"/>
    <x v="2"/>
    <s v="Healthcare"/>
    <x v="3"/>
    <n v="1997737"/>
    <n v="14.36"/>
    <n v="41.63"/>
    <x v="181"/>
    <n v="335"/>
    <n v="5"/>
    <n v="199773.7"/>
    <n v="998868.5"/>
  </r>
  <r>
    <s v="INV0192"/>
    <s v="Male"/>
    <n v="35"/>
    <x v="4"/>
    <s v="Healthcare"/>
    <x v="0"/>
    <n v="2099490"/>
    <n v="26.16"/>
    <n v="37.64"/>
    <x v="182"/>
    <n v="172"/>
    <n v="8"/>
    <n v="209949"/>
    <n v="1679592"/>
  </r>
  <r>
    <s v="INV0193"/>
    <s v="Female"/>
    <n v="36"/>
    <x v="1"/>
    <s v="Healthcare"/>
    <x v="0"/>
    <n v="4434255"/>
    <n v="23.84"/>
    <n v="16.05"/>
    <x v="183"/>
    <n v="21"/>
    <n v="3"/>
    <n v="443425.5"/>
    <n v="1330276.5"/>
  </r>
  <r>
    <s v="INV0194"/>
    <s v="Female"/>
    <n v="29"/>
    <x v="3"/>
    <s v="Technology"/>
    <x v="3"/>
    <n v="4037765"/>
    <n v="9.5299999999999994"/>
    <n v="41.85"/>
    <x v="184"/>
    <n v="52"/>
    <n v="4"/>
    <n v="403776.5"/>
    <n v="1615106"/>
  </r>
  <r>
    <s v="INV0195"/>
    <s v="Male"/>
    <n v="40"/>
    <x v="0"/>
    <s v="Healthcare"/>
    <x v="3"/>
    <n v="4282680"/>
    <n v="18.46"/>
    <n v="5.39"/>
    <x v="185"/>
    <n v="137"/>
    <n v="2"/>
    <n v="428268"/>
    <n v="856536"/>
  </r>
  <r>
    <s v="INV0196"/>
    <s v="Female"/>
    <n v="33"/>
    <x v="4"/>
    <s v="Healthcare"/>
    <x v="3"/>
    <n v="1278575"/>
    <n v="14.59"/>
    <n v="44.63"/>
    <x v="186"/>
    <n v="101"/>
    <n v="3"/>
    <n v="127857.5"/>
    <n v="383572.5"/>
  </r>
  <r>
    <s v="INV0197"/>
    <s v="Male"/>
    <n v="29"/>
    <x v="1"/>
    <s v="Energy"/>
    <x v="4"/>
    <n v="4757842"/>
    <n v="16.899999999999999"/>
    <n v="2.37"/>
    <x v="187"/>
    <n v="100"/>
    <n v="6"/>
    <n v="475784.2"/>
    <n v="2854705.2"/>
  </r>
  <r>
    <s v="INV0198"/>
    <s v="Female"/>
    <n v="64"/>
    <x v="4"/>
    <s v="Energy"/>
    <x v="3"/>
    <n v="2318964"/>
    <n v="5.55"/>
    <n v="-2.14"/>
    <x v="188"/>
    <n v="44"/>
    <n v="3"/>
    <n v="231896.40000000002"/>
    <n v="695689.20000000007"/>
  </r>
  <r>
    <s v="INV0199"/>
    <s v="Male"/>
    <n v="22"/>
    <x v="2"/>
    <s v="Technology"/>
    <x v="1"/>
    <n v="748066"/>
    <n v="28.28"/>
    <n v="14.24"/>
    <x v="189"/>
    <n v="315"/>
    <n v="7"/>
    <n v="74806.600000000006"/>
    <n v="523646.20000000007"/>
  </r>
  <r>
    <s v="INV0200"/>
    <s v="Female"/>
    <n v="26"/>
    <x v="2"/>
    <s v="Technology"/>
    <x v="4"/>
    <n v="2949752"/>
    <n v="32.85"/>
    <n v="28.82"/>
    <x v="190"/>
    <n v="339"/>
    <n v="6"/>
    <n v="294975.2"/>
    <n v="1769851.2000000002"/>
  </r>
  <r>
    <s v="INV0201"/>
    <s v="Male"/>
    <n v="24"/>
    <x v="1"/>
    <s v="Energy"/>
    <x v="3"/>
    <n v="1211782"/>
    <n v="34.270000000000003"/>
    <n v="12.16"/>
    <x v="191"/>
    <n v="58"/>
    <n v="5"/>
    <n v="121178.20000000001"/>
    <n v="605891"/>
  </r>
  <r>
    <s v="INV0202"/>
    <s v="Male"/>
    <n v="47"/>
    <x v="0"/>
    <s v="Energy"/>
    <x v="4"/>
    <n v="3502972"/>
    <n v="33.729999999999997"/>
    <n v="18.149999999999999"/>
    <x v="192"/>
    <n v="333"/>
    <n v="7"/>
    <n v="350297.2"/>
    <n v="2452080.4"/>
  </r>
  <r>
    <s v="INV0203"/>
    <s v="Male"/>
    <n v="63"/>
    <x v="4"/>
    <s v="Energy"/>
    <x v="0"/>
    <n v="247525"/>
    <n v="34.36"/>
    <n v="10.94"/>
    <x v="193"/>
    <n v="12"/>
    <n v="2"/>
    <n v="24752.5"/>
    <n v="49505"/>
  </r>
  <r>
    <s v="INV0204"/>
    <s v="Male"/>
    <n v="23"/>
    <x v="1"/>
    <s v="Technology"/>
    <x v="2"/>
    <n v="1705628"/>
    <n v="23.24"/>
    <n v="42.76"/>
    <x v="194"/>
    <n v="154"/>
    <n v="7"/>
    <n v="170562.80000000002"/>
    <n v="1193939.6000000001"/>
  </r>
  <r>
    <s v="INV0205"/>
    <s v="Male"/>
    <n v="43"/>
    <x v="0"/>
    <s v="Energy"/>
    <x v="1"/>
    <n v="4933594"/>
    <n v="32.89"/>
    <n v="10.199999999999999"/>
    <x v="195"/>
    <n v="110"/>
    <n v="4"/>
    <n v="493359.4"/>
    <n v="1973437.6"/>
  </r>
  <r>
    <s v="INV0206"/>
    <s v="Female"/>
    <n v="44"/>
    <x v="3"/>
    <s v="Consumer Goods"/>
    <x v="1"/>
    <n v="4816145"/>
    <n v="33.270000000000003"/>
    <n v="37.549999999999997"/>
    <x v="196"/>
    <n v="53"/>
    <n v="6"/>
    <n v="481614.5"/>
    <n v="2889687"/>
  </r>
  <r>
    <s v="INV0207"/>
    <s v="Female"/>
    <n v="24"/>
    <x v="4"/>
    <s v="Technology"/>
    <x v="5"/>
    <n v="1181622"/>
    <n v="14.51"/>
    <n v="2.0299999999999998"/>
    <x v="197"/>
    <n v="21"/>
    <n v="7"/>
    <n v="118162.20000000001"/>
    <n v="827135.40000000014"/>
  </r>
  <r>
    <s v="INV0208"/>
    <s v="Male"/>
    <n v="28"/>
    <x v="4"/>
    <s v="Energy"/>
    <x v="3"/>
    <n v="4240840"/>
    <n v="18.600000000000001"/>
    <n v="1.78"/>
    <x v="198"/>
    <n v="181"/>
    <n v="8"/>
    <n v="424084"/>
    <n v="3392672"/>
  </r>
  <r>
    <s v="INV0209"/>
    <s v="Male"/>
    <n v="24"/>
    <x v="4"/>
    <s v="Consumer Goods"/>
    <x v="1"/>
    <n v="4787159"/>
    <n v="34.32"/>
    <n v="-3.88"/>
    <x v="199"/>
    <n v="125"/>
    <n v="3"/>
    <n v="478715.9"/>
    <n v="1436147.7000000002"/>
  </r>
  <r>
    <s v="INV0210"/>
    <s v="Female"/>
    <n v="46"/>
    <x v="3"/>
    <s v="Energy"/>
    <x v="5"/>
    <n v="1123820"/>
    <n v="9.2899999999999991"/>
    <n v="39.96"/>
    <x v="200"/>
    <n v="365"/>
    <n v="6"/>
    <n v="112382"/>
    <n v="674292"/>
  </r>
  <r>
    <s v="INV0211"/>
    <s v="Male"/>
    <n v="33"/>
    <x v="4"/>
    <s v="Agriculture"/>
    <x v="4"/>
    <n v="4134355"/>
    <n v="19.11"/>
    <n v="-3.02"/>
    <x v="201"/>
    <n v="33"/>
    <n v="7"/>
    <n v="413435.5"/>
    <n v="2894048.5"/>
  </r>
  <r>
    <s v="INV0212"/>
    <s v="Female"/>
    <n v="30"/>
    <x v="4"/>
    <s v="Energy"/>
    <x v="3"/>
    <n v="456498"/>
    <n v="10.91"/>
    <n v="18.43"/>
    <x v="202"/>
    <n v="21"/>
    <n v="4"/>
    <n v="45649.8"/>
    <n v="182599.2"/>
  </r>
  <r>
    <s v="INV0213"/>
    <s v="Female"/>
    <n v="54"/>
    <x v="0"/>
    <s v="Consumer Goods"/>
    <x v="0"/>
    <n v="3521621"/>
    <n v="12.91"/>
    <n v="30.84"/>
    <x v="67"/>
    <n v="187"/>
    <n v="3"/>
    <n v="352162.10000000003"/>
    <n v="1056486.3"/>
  </r>
  <r>
    <s v="INV0214"/>
    <s v="Female"/>
    <n v="60"/>
    <x v="3"/>
    <s v="Technology"/>
    <x v="4"/>
    <n v="2652326"/>
    <n v="21.53"/>
    <n v="-1.66"/>
    <x v="203"/>
    <n v="337"/>
    <n v="6"/>
    <n v="265232.60000000003"/>
    <n v="1591395.6"/>
  </r>
  <r>
    <s v="INV0215"/>
    <s v="Male"/>
    <n v="42"/>
    <x v="1"/>
    <s v="Technology"/>
    <x v="3"/>
    <n v="4918752"/>
    <n v="5.69"/>
    <n v="-6.94"/>
    <x v="204"/>
    <n v="335"/>
    <n v="5"/>
    <n v="491875.2"/>
    <n v="2459376"/>
  </r>
  <r>
    <s v="INV0216"/>
    <s v="Male"/>
    <n v="65"/>
    <x v="1"/>
    <s v="Healthcare"/>
    <x v="3"/>
    <n v="120406"/>
    <n v="19.59"/>
    <n v="10.51"/>
    <x v="9"/>
    <n v="346"/>
    <n v="6"/>
    <n v="12040.6"/>
    <n v="72243.600000000006"/>
  </r>
  <r>
    <s v="INV0217"/>
    <s v="Male"/>
    <n v="62"/>
    <x v="4"/>
    <s v="Technology"/>
    <x v="0"/>
    <n v="396753"/>
    <n v="21.3"/>
    <n v="35.39"/>
    <x v="205"/>
    <n v="9"/>
    <n v="5"/>
    <n v="39675.300000000003"/>
    <n v="198376.5"/>
  </r>
  <r>
    <s v="INV0218"/>
    <s v="Male"/>
    <n v="31"/>
    <x v="1"/>
    <s v="Technology"/>
    <x v="2"/>
    <n v="1612854"/>
    <n v="5.32"/>
    <n v="20.88"/>
    <x v="206"/>
    <n v="361"/>
    <n v="8"/>
    <n v="161285.40000000002"/>
    <n v="1290283.2000000002"/>
  </r>
  <r>
    <s v="INV0219"/>
    <s v="Female"/>
    <n v="52"/>
    <x v="4"/>
    <s v="Healthcare"/>
    <x v="4"/>
    <n v="538068"/>
    <n v="10.71"/>
    <n v="18.82"/>
    <x v="207"/>
    <n v="330"/>
    <n v="2"/>
    <n v="53806.8"/>
    <n v="107613.6"/>
  </r>
  <r>
    <s v="INV0220"/>
    <s v="Male"/>
    <n v="40"/>
    <x v="4"/>
    <s v="Healthcare"/>
    <x v="3"/>
    <n v="1797233"/>
    <n v="29.89"/>
    <n v="6.31"/>
    <x v="208"/>
    <n v="356"/>
    <n v="1"/>
    <n v="179723.30000000002"/>
    <n v="179723.30000000002"/>
  </r>
  <r>
    <s v="INV0221"/>
    <s v="Female"/>
    <n v="63"/>
    <x v="4"/>
    <s v="Energy"/>
    <x v="3"/>
    <n v="3380286"/>
    <n v="10.69"/>
    <n v="10.81"/>
    <x v="209"/>
    <n v="175"/>
    <n v="5"/>
    <n v="338028.60000000003"/>
    <n v="1690143.0000000002"/>
  </r>
  <r>
    <s v="INV0222"/>
    <s v="Female"/>
    <n v="25"/>
    <x v="4"/>
    <s v="Consumer Goods"/>
    <x v="2"/>
    <n v="2375851"/>
    <n v="9.17"/>
    <n v="20.079999999999998"/>
    <x v="210"/>
    <n v="53"/>
    <n v="2"/>
    <n v="237585.1"/>
    <n v="475170.2"/>
  </r>
  <r>
    <s v="INV0223"/>
    <s v="Male"/>
    <n v="48"/>
    <x v="4"/>
    <s v="Energy"/>
    <x v="0"/>
    <n v="3631090"/>
    <n v="20.39"/>
    <n v="40.700000000000003"/>
    <x v="211"/>
    <n v="290"/>
    <n v="7"/>
    <n v="363109"/>
    <n v="2541763"/>
  </r>
  <r>
    <s v="INV0224"/>
    <s v="Male"/>
    <n v="56"/>
    <x v="4"/>
    <s v="Agriculture"/>
    <x v="5"/>
    <n v="1440710"/>
    <n v="21.48"/>
    <n v="38.979999999999997"/>
    <x v="212"/>
    <n v="39"/>
    <n v="3"/>
    <n v="144071"/>
    <n v="432213"/>
  </r>
  <r>
    <s v="INV0225"/>
    <s v="Male"/>
    <n v="57"/>
    <x v="4"/>
    <s v="Energy"/>
    <x v="0"/>
    <n v="887126"/>
    <n v="33.299999999999997"/>
    <n v="-8.59"/>
    <x v="61"/>
    <n v="247"/>
    <n v="7"/>
    <n v="88712.6"/>
    <n v="620988.20000000007"/>
  </r>
  <r>
    <s v="INV0226"/>
    <s v="Male"/>
    <n v="51"/>
    <x v="2"/>
    <s v="Energy"/>
    <x v="4"/>
    <n v="3269498"/>
    <n v="14.43"/>
    <n v="25.09"/>
    <x v="213"/>
    <n v="137"/>
    <n v="6"/>
    <n v="326949.80000000005"/>
    <n v="1961698.8000000003"/>
  </r>
  <r>
    <s v="INV0227"/>
    <s v="Male"/>
    <n v="46"/>
    <x v="1"/>
    <s v="Consumer Goods"/>
    <x v="0"/>
    <n v="4297886"/>
    <n v="15.18"/>
    <n v="28.82"/>
    <x v="214"/>
    <n v="362"/>
    <n v="6"/>
    <n v="429788.60000000003"/>
    <n v="2578731.6"/>
  </r>
  <r>
    <s v="INV0228"/>
    <s v="Male"/>
    <n v="23"/>
    <x v="3"/>
    <s v="Finance"/>
    <x v="5"/>
    <n v="1749204"/>
    <n v="17.89"/>
    <n v="16.89"/>
    <x v="215"/>
    <n v="307"/>
    <n v="5"/>
    <n v="174920.40000000002"/>
    <n v="874602.00000000012"/>
  </r>
  <r>
    <s v="INV0229"/>
    <s v="Female"/>
    <n v="37"/>
    <x v="1"/>
    <s v="Healthcare"/>
    <x v="4"/>
    <n v="3205796"/>
    <n v="22.06"/>
    <n v="38.79"/>
    <x v="216"/>
    <n v="113"/>
    <n v="4"/>
    <n v="320579.60000000003"/>
    <n v="1282318.4000000001"/>
  </r>
  <r>
    <s v="INV0230"/>
    <s v="Female"/>
    <n v="40"/>
    <x v="4"/>
    <s v="Technology"/>
    <x v="1"/>
    <n v="2543024"/>
    <n v="12.03"/>
    <n v="19.059999999999999"/>
    <x v="217"/>
    <n v="19"/>
    <n v="4"/>
    <n v="254302.40000000002"/>
    <n v="1017209.6000000001"/>
  </r>
  <r>
    <s v="INV0231"/>
    <s v="Female"/>
    <n v="25"/>
    <x v="4"/>
    <s v="Energy"/>
    <x v="2"/>
    <n v="1030318"/>
    <n v="19.96"/>
    <n v="14.09"/>
    <x v="218"/>
    <n v="208"/>
    <n v="2"/>
    <n v="103031.8"/>
    <n v="206063.6"/>
  </r>
  <r>
    <s v="INV0232"/>
    <s v="Female"/>
    <n v="54"/>
    <x v="0"/>
    <s v="Agriculture"/>
    <x v="5"/>
    <n v="2484552"/>
    <n v="23.58"/>
    <n v="12.28"/>
    <x v="219"/>
    <n v="180"/>
    <n v="5"/>
    <n v="248455.2"/>
    <n v="1242276"/>
  </r>
  <r>
    <s v="INV0233"/>
    <s v="Male"/>
    <n v="64"/>
    <x v="3"/>
    <s v="Technology"/>
    <x v="0"/>
    <n v="677942"/>
    <n v="20"/>
    <n v="5.96"/>
    <x v="103"/>
    <n v="334"/>
    <n v="6"/>
    <n v="67794.2"/>
    <n v="406765.19999999995"/>
  </r>
  <r>
    <s v="INV0234"/>
    <s v="Male"/>
    <n v="38"/>
    <x v="4"/>
    <s v="Finance"/>
    <x v="1"/>
    <n v="3508471"/>
    <n v="21.17"/>
    <n v="22.69"/>
    <x v="220"/>
    <n v="206"/>
    <n v="4"/>
    <n v="350847.10000000003"/>
    <n v="1403388.4000000001"/>
  </r>
  <r>
    <s v="INV0235"/>
    <s v="Male"/>
    <n v="38"/>
    <x v="0"/>
    <s v="Finance"/>
    <x v="3"/>
    <n v="4682488"/>
    <n v="28.63"/>
    <n v="0.38"/>
    <x v="221"/>
    <n v="204"/>
    <n v="5"/>
    <n v="468248.80000000005"/>
    <n v="2341244"/>
  </r>
  <r>
    <s v="INV0236"/>
    <s v="Female"/>
    <n v="36"/>
    <x v="3"/>
    <s v="Consumer Goods"/>
    <x v="4"/>
    <n v="1417144"/>
    <n v="13.51"/>
    <n v="36.950000000000003"/>
    <x v="222"/>
    <n v="197"/>
    <n v="8"/>
    <n v="141714.4"/>
    <n v="1133715.2"/>
  </r>
  <r>
    <s v="INV0237"/>
    <s v="Female"/>
    <n v="44"/>
    <x v="3"/>
    <s v="Agriculture"/>
    <x v="1"/>
    <n v="262139"/>
    <n v="28.77"/>
    <n v="30.15"/>
    <x v="223"/>
    <n v="116"/>
    <n v="4"/>
    <n v="26213.9"/>
    <n v="104855.6"/>
  </r>
  <r>
    <s v="INV0238"/>
    <s v="Male"/>
    <n v="31"/>
    <x v="1"/>
    <s v="Consumer Goods"/>
    <x v="3"/>
    <n v="4674885"/>
    <n v="20.12"/>
    <n v="41.63"/>
    <x v="224"/>
    <n v="10"/>
    <n v="5"/>
    <n v="467488.5"/>
    <n v="2337442.5"/>
  </r>
  <r>
    <s v="INV0239"/>
    <s v="Male"/>
    <n v="42"/>
    <x v="0"/>
    <s v="Consumer Goods"/>
    <x v="2"/>
    <n v="3604539"/>
    <n v="20.6"/>
    <n v="21.23"/>
    <x v="225"/>
    <n v="281"/>
    <n v="6"/>
    <n v="360453.9"/>
    <n v="2162723.4000000004"/>
  </r>
  <r>
    <s v="INV0240"/>
    <s v="Male"/>
    <n v="62"/>
    <x v="3"/>
    <s v="Consumer Goods"/>
    <x v="4"/>
    <n v="4193053"/>
    <n v="14.72"/>
    <n v="-8.25"/>
    <x v="226"/>
    <n v="244"/>
    <n v="5"/>
    <n v="419305.30000000005"/>
    <n v="2096526.5000000002"/>
  </r>
  <r>
    <s v="INV0241"/>
    <s v="Male"/>
    <n v="43"/>
    <x v="0"/>
    <s v="Agriculture"/>
    <x v="3"/>
    <n v="3091121"/>
    <n v="15.99"/>
    <n v="29.23"/>
    <x v="227"/>
    <n v="199"/>
    <n v="4"/>
    <n v="309112.10000000003"/>
    <n v="1236448.4000000001"/>
  </r>
  <r>
    <s v="INV0242"/>
    <s v="Female"/>
    <n v="45"/>
    <x v="4"/>
    <s v="Agriculture"/>
    <x v="5"/>
    <n v="1126131"/>
    <n v="26.02"/>
    <n v="-1.91"/>
    <x v="228"/>
    <n v="291"/>
    <n v="7"/>
    <n v="112613.1"/>
    <n v="788291.70000000007"/>
  </r>
  <r>
    <s v="INV0243"/>
    <s v="Female"/>
    <n v="27"/>
    <x v="4"/>
    <s v="Consumer Goods"/>
    <x v="4"/>
    <n v="2943631"/>
    <n v="15.72"/>
    <n v="20.74"/>
    <x v="229"/>
    <n v="172"/>
    <n v="8"/>
    <n v="294363.10000000003"/>
    <n v="2354904.8000000003"/>
  </r>
  <r>
    <s v="INV0244"/>
    <s v="Female"/>
    <n v="30"/>
    <x v="3"/>
    <s v="Agriculture"/>
    <x v="1"/>
    <n v="2218130"/>
    <n v="28.62"/>
    <n v="-0.37"/>
    <x v="230"/>
    <n v="317"/>
    <n v="4"/>
    <n v="221813"/>
    <n v="887252"/>
  </r>
  <r>
    <s v="INV0245"/>
    <s v="Male"/>
    <n v="25"/>
    <x v="4"/>
    <s v="Technology"/>
    <x v="2"/>
    <n v="1492799"/>
    <n v="8.34"/>
    <n v="6.06"/>
    <x v="231"/>
    <n v="62"/>
    <n v="2"/>
    <n v="149279.9"/>
    <n v="298559.8"/>
  </r>
  <r>
    <s v="INV0246"/>
    <s v="Male"/>
    <n v="48"/>
    <x v="4"/>
    <s v="Healthcare"/>
    <x v="1"/>
    <n v="4198602"/>
    <n v="10.71"/>
    <n v="31.87"/>
    <x v="232"/>
    <n v="213"/>
    <n v="5"/>
    <n v="419860.2"/>
    <n v="2099301"/>
  </r>
  <r>
    <s v="INV0247"/>
    <s v="Female"/>
    <n v="52"/>
    <x v="3"/>
    <s v="Consumer Goods"/>
    <x v="2"/>
    <n v="1519605"/>
    <n v="16.850000000000001"/>
    <n v="44.47"/>
    <x v="233"/>
    <n v="350"/>
    <n v="7"/>
    <n v="151960.5"/>
    <n v="1063723.5"/>
  </r>
  <r>
    <s v="INV0248"/>
    <s v="Male"/>
    <n v="29"/>
    <x v="2"/>
    <s v="Consumer Goods"/>
    <x v="0"/>
    <n v="3743721"/>
    <n v="14.18"/>
    <n v="30.46"/>
    <x v="234"/>
    <n v="323"/>
    <n v="5"/>
    <n v="374372.10000000003"/>
    <n v="1871860.5000000002"/>
  </r>
  <r>
    <s v="INV0249"/>
    <s v="Female"/>
    <n v="47"/>
    <x v="4"/>
    <s v="Healthcare"/>
    <x v="5"/>
    <n v="3655237"/>
    <n v="5.85"/>
    <n v="18.13"/>
    <x v="235"/>
    <n v="18"/>
    <n v="6"/>
    <n v="365523.7"/>
    <n v="2193142.2000000002"/>
  </r>
  <r>
    <s v="INV0250"/>
    <s v="Male"/>
    <n v="45"/>
    <x v="0"/>
    <s v="Energy"/>
    <x v="1"/>
    <n v="1560363"/>
    <n v="13.8"/>
    <n v="14.12"/>
    <x v="236"/>
    <n v="303"/>
    <n v="8"/>
    <n v="156036.30000000002"/>
    <n v="1248290.4000000001"/>
  </r>
  <r>
    <s v="INV0251"/>
    <s v="Female"/>
    <n v="61"/>
    <x v="0"/>
    <s v="Finance"/>
    <x v="0"/>
    <n v="2188354"/>
    <n v="19.73"/>
    <n v="-8.5500000000000007"/>
    <x v="237"/>
    <n v="134"/>
    <n v="7"/>
    <n v="218835.40000000002"/>
    <n v="1531847.8000000003"/>
  </r>
  <r>
    <s v="INV0252"/>
    <s v="Female"/>
    <n v="52"/>
    <x v="3"/>
    <s v="Finance"/>
    <x v="2"/>
    <n v="101674"/>
    <n v="14.21"/>
    <n v="-2.1800000000000002"/>
    <x v="238"/>
    <n v="65"/>
    <n v="3"/>
    <n v="10167.400000000001"/>
    <n v="30502.200000000004"/>
  </r>
  <r>
    <s v="INV0253"/>
    <s v="Male"/>
    <n v="22"/>
    <x v="0"/>
    <s v="Consumer Goods"/>
    <x v="3"/>
    <n v="3941505"/>
    <n v="25.51"/>
    <n v="31.11"/>
    <x v="239"/>
    <n v="67"/>
    <n v="6"/>
    <n v="394150.5"/>
    <n v="2364903"/>
  </r>
  <r>
    <s v="INV0254"/>
    <s v="Male"/>
    <n v="46"/>
    <x v="0"/>
    <s v="Agriculture"/>
    <x v="1"/>
    <n v="1592121"/>
    <n v="10.9"/>
    <n v="27.86"/>
    <x v="240"/>
    <n v="79"/>
    <n v="1"/>
    <n v="159212.1"/>
    <n v="159212.1"/>
  </r>
  <r>
    <s v="INV0255"/>
    <s v="Male"/>
    <n v="56"/>
    <x v="1"/>
    <s v="Technology"/>
    <x v="5"/>
    <n v="4937570"/>
    <n v="16.399999999999999"/>
    <n v="15.27"/>
    <x v="241"/>
    <n v="264"/>
    <n v="7"/>
    <n v="493757"/>
    <n v="3456299"/>
  </r>
  <r>
    <s v="INV0256"/>
    <s v="Female"/>
    <n v="29"/>
    <x v="0"/>
    <s v="Agriculture"/>
    <x v="4"/>
    <n v="1098167"/>
    <n v="17.47"/>
    <n v="-1.02"/>
    <x v="242"/>
    <n v="141"/>
    <n v="5"/>
    <n v="109816.70000000001"/>
    <n v="549083.5"/>
  </r>
  <r>
    <s v="INV0257"/>
    <s v="Male"/>
    <n v="33"/>
    <x v="3"/>
    <s v="Technology"/>
    <x v="2"/>
    <n v="4796179"/>
    <n v="27.78"/>
    <n v="12.76"/>
    <x v="243"/>
    <n v="50"/>
    <n v="6"/>
    <n v="479617.9"/>
    <n v="2877707.4000000004"/>
  </r>
  <r>
    <s v="INV0258"/>
    <s v="Female"/>
    <n v="33"/>
    <x v="0"/>
    <s v="Finance"/>
    <x v="2"/>
    <n v="2878269"/>
    <n v="25.06"/>
    <n v="-9.08"/>
    <x v="244"/>
    <n v="253"/>
    <n v="6"/>
    <n v="287826.90000000002"/>
    <n v="1726961.4000000001"/>
  </r>
  <r>
    <s v="INV0259"/>
    <s v="Male"/>
    <n v="65"/>
    <x v="2"/>
    <s v="Energy"/>
    <x v="4"/>
    <n v="1899603"/>
    <n v="20.260000000000002"/>
    <n v="29.81"/>
    <x v="245"/>
    <n v="160"/>
    <n v="2"/>
    <n v="189960.30000000002"/>
    <n v="379920.60000000003"/>
  </r>
  <r>
    <s v="INV0260"/>
    <s v="Female"/>
    <n v="39"/>
    <x v="4"/>
    <s v="Technology"/>
    <x v="0"/>
    <n v="1039661"/>
    <n v="10.19"/>
    <n v="33.04"/>
    <x v="246"/>
    <n v="100"/>
    <n v="4"/>
    <n v="103966.1"/>
    <n v="415864.4"/>
  </r>
  <r>
    <s v="INV0261"/>
    <s v="Male"/>
    <n v="41"/>
    <x v="4"/>
    <s v="Energy"/>
    <x v="1"/>
    <n v="222919"/>
    <n v="28.04"/>
    <n v="15.25"/>
    <x v="247"/>
    <n v="162"/>
    <n v="4"/>
    <n v="22291.9"/>
    <n v="89167.6"/>
  </r>
  <r>
    <s v="INV0262"/>
    <s v="Female"/>
    <n v="32"/>
    <x v="2"/>
    <s v="Technology"/>
    <x v="3"/>
    <n v="1385291"/>
    <n v="34.89"/>
    <n v="35.15"/>
    <x v="248"/>
    <n v="247"/>
    <n v="7"/>
    <n v="138529.1"/>
    <n v="969703.70000000007"/>
  </r>
  <r>
    <s v="INV0263"/>
    <s v="Female"/>
    <n v="48"/>
    <x v="3"/>
    <s v="Finance"/>
    <x v="5"/>
    <n v="1914058"/>
    <n v="22.39"/>
    <n v="26.09"/>
    <x v="249"/>
    <n v="357"/>
    <n v="2"/>
    <n v="191405.80000000002"/>
    <n v="382811.60000000003"/>
  </r>
  <r>
    <s v="INV0264"/>
    <s v="Female"/>
    <n v="27"/>
    <x v="1"/>
    <s v="Healthcare"/>
    <x v="0"/>
    <n v="4688262"/>
    <n v="8.26"/>
    <n v="33.79"/>
    <x v="250"/>
    <n v="75"/>
    <n v="6"/>
    <n v="468826.2"/>
    <n v="2812957.2"/>
  </r>
  <r>
    <s v="INV0265"/>
    <s v="Female"/>
    <n v="55"/>
    <x v="1"/>
    <s v="Consumer Goods"/>
    <x v="0"/>
    <n v="3159324"/>
    <n v="30.58"/>
    <n v="38.86"/>
    <x v="251"/>
    <n v="87"/>
    <n v="4"/>
    <n v="315932.40000000002"/>
    <n v="1263729.6000000001"/>
  </r>
  <r>
    <s v="INV0266"/>
    <s v="Male"/>
    <n v="51"/>
    <x v="0"/>
    <s v="Finance"/>
    <x v="4"/>
    <n v="346652"/>
    <n v="31.25"/>
    <n v="16.09"/>
    <x v="168"/>
    <n v="161"/>
    <n v="1"/>
    <n v="34665.200000000004"/>
    <n v="34665.200000000004"/>
  </r>
  <r>
    <s v="INV0267"/>
    <s v="Male"/>
    <n v="27"/>
    <x v="2"/>
    <s v="Healthcare"/>
    <x v="2"/>
    <n v="3278990"/>
    <n v="25.96"/>
    <n v="24.54"/>
    <x v="69"/>
    <n v="10"/>
    <n v="5"/>
    <n v="327899"/>
    <n v="1639495"/>
  </r>
  <r>
    <s v="INV0268"/>
    <s v="Male"/>
    <n v="65"/>
    <x v="2"/>
    <s v="Agriculture"/>
    <x v="0"/>
    <n v="2241843"/>
    <n v="34.89"/>
    <n v="22.3"/>
    <x v="252"/>
    <n v="149"/>
    <n v="4"/>
    <n v="224184.30000000002"/>
    <n v="896737.20000000007"/>
  </r>
  <r>
    <s v="INV0269"/>
    <s v="Female"/>
    <n v="56"/>
    <x v="2"/>
    <s v="Finance"/>
    <x v="2"/>
    <n v="249434"/>
    <n v="21.35"/>
    <n v="9.6999999999999993"/>
    <x v="253"/>
    <n v="297"/>
    <n v="3"/>
    <n v="24943.4"/>
    <n v="74830.200000000012"/>
  </r>
  <r>
    <s v="INV0270"/>
    <s v="Female"/>
    <n v="59"/>
    <x v="2"/>
    <s v="Healthcare"/>
    <x v="4"/>
    <n v="3925192"/>
    <n v="32"/>
    <n v="-9.34"/>
    <x v="254"/>
    <n v="241"/>
    <n v="6"/>
    <n v="392519.2"/>
    <n v="2355115.2000000002"/>
  </r>
  <r>
    <s v="INV0271"/>
    <s v="Female"/>
    <n v="23"/>
    <x v="1"/>
    <s v="Technology"/>
    <x v="1"/>
    <n v="1838680"/>
    <n v="13.17"/>
    <n v="41.68"/>
    <x v="255"/>
    <n v="256"/>
    <n v="2"/>
    <n v="183868"/>
    <n v="367736"/>
  </r>
  <r>
    <s v="INV0272"/>
    <s v="Female"/>
    <n v="58"/>
    <x v="3"/>
    <s v="Consumer Goods"/>
    <x v="1"/>
    <n v="4667614"/>
    <n v="24.6"/>
    <n v="-3.47"/>
    <x v="93"/>
    <n v="26"/>
    <n v="5"/>
    <n v="466761.4"/>
    <n v="2333807"/>
  </r>
  <r>
    <s v="INV0273"/>
    <s v="Female"/>
    <n v="57"/>
    <x v="4"/>
    <s v="Consumer Goods"/>
    <x v="3"/>
    <n v="2370367"/>
    <n v="31.51"/>
    <n v="10.59"/>
    <x v="256"/>
    <n v="268"/>
    <n v="5"/>
    <n v="237036.7"/>
    <n v="1185183.5"/>
  </r>
  <r>
    <s v="INV0274"/>
    <s v="Female"/>
    <n v="46"/>
    <x v="4"/>
    <s v="Finance"/>
    <x v="5"/>
    <n v="3421049"/>
    <n v="10.76"/>
    <n v="2.4"/>
    <x v="257"/>
    <n v="265"/>
    <n v="4"/>
    <n v="342104.9"/>
    <n v="1368419.6"/>
  </r>
  <r>
    <s v="INV0275"/>
    <s v="Male"/>
    <n v="45"/>
    <x v="3"/>
    <s v="Finance"/>
    <x v="0"/>
    <n v="4823311"/>
    <n v="29.3"/>
    <n v="34.81"/>
    <x v="258"/>
    <n v="198"/>
    <n v="5"/>
    <n v="482331.10000000003"/>
    <n v="2411655.5"/>
  </r>
  <r>
    <s v="INV0276"/>
    <s v="Female"/>
    <n v="42"/>
    <x v="4"/>
    <s v="Healthcare"/>
    <x v="4"/>
    <n v="625768"/>
    <n v="18.899999999999999"/>
    <n v="19.7"/>
    <x v="259"/>
    <n v="356"/>
    <n v="5"/>
    <n v="62576.800000000003"/>
    <n v="312884"/>
  </r>
  <r>
    <s v="INV0277"/>
    <s v="Male"/>
    <n v="37"/>
    <x v="4"/>
    <s v="Energy"/>
    <x v="4"/>
    <n v="1531405"/>
    <n v="31.24"/>
    <n v="23.41"/>
    <x v="260"/>
    <n v="253"/>
    <n v="6"/>
    <n v="153140.5"/>
    <n v="918843"/>
  </r>
  <r>
    <s v="INV0278"/>
    <s v="Male"/>
    <n v="24"/>
    <x v="2"/>
    <s v="Technology"/>
    <x v="4"/>
    <n v="1722462"/>
    <n v="22.49"/>
    <n v="2.11"/>
    <x v="63"/>
    <n v="264"/>
    <n v="7"/>
    <n v="172246.2"/>
    <n v="1205723.4000000001"/>
  </r>
  <r>
    <s v="INV0279"/>
    <s v="Female"/>
    <n v="52"/>
    <x v="4"/>
    <s v="Energy"/>
    <x v="0"/>
    <n v="2971056"/>
    <n v="11.76"/>
    <n v="43.14"/>
    <x v="173"/>
    <n v="319"/>
    <n v="1"/>
    <n v="297105.60000000003"/>
    <n v="297105.60000000003"/>
  </r>
  <r>
    <s v="INV0280"/>
    <s v="Female"/>
    <n v="25"/>
    <x v="1"/>
    <s v="Energy"/>
    <x v="1"/>
    <n v="4729459"/>
    <n v="22.99"/>
    <n v="0.05"/>
    <x v="261"/>
    <n v="283"/>
    <n v="8"/>
    <n v="472945.9"/>
    <n v="3783567.2"/>
  </r>
  <r>
    <s v="INV0281"/>
    <s v="Female"/>
    <n v="38"/>
    <x v="1"/>
    <s v="Finance"/>
    <x v="0"/>
    <n v="1675207"/>
    <n v="13.01"/>
    <n v="16.77"/>
    <x v="262"/>
    <n v="91"/>
    <n v="2"/>
    <n v="167520.70000000001"/>
    <n v="335041.40000000002"/>
  </r>
  <r>
    <s v="INV0282"/>
    <s v="Male"/>
    <n v="56"/>
    <x v="4"/>
    <s v="Agriculture"/>
    <x v="0"/>
    <n v="1336413"/>
    <n v="5.95"/>
    <n v="-5.72"/>
    <x v="263"/>
    <n v="341"/>
    <n v="5"/>
    <n v="133641.30000000002"/>
    <n v="668206.50000000012"/>
  </r>
  <r>
    <s v="INV0283"/>
    <s v="Female"/>
    <n v="38"/>
    <x v="2"/>
    <s v="Technology"/>
    <x v="4"/>
    <n v="2602210"/>
    <n v="28.51"/>
    <n v="16.57"/>
    <x v="246"/>
    <n v="55"/>
    <n v="4"/>
    <n v="260221"/>
    <n v="1040884"/>
  </r>
  <r>
    <s v="INV0284"/>
    <s v="Male"/>
    <n v="43"/>
    <x v="3"/>
    <s v="Energy"/>
    <x v="0"/>
    <n v="2650818"/>
    <n v="28.57"/>
    <n v="25"/>
    <x v="264"/>
    <n v="29"/>
    <n v="3"/>
    <n v="265081.8"/>
    <n v="795245.39999999991"/>
  </r>
  <r>
    <s v="INV0285"/>
    <s v="Male"/>
    <n v="46"/>
    <x v="1"/>
    <s v="Consumer Goods"/>
    <x v="3"/>
    <n v="3090844"/>
    <n v="6.98"/>
    <n v="40.56"/>
    <x v="265"/>
    <n v="54"/>
    <n v="2"/>
    <n v="309084.40000000002"/>
    <n v="618168.80000000005"/>
  </r>
  <r>
    <s v="INV0286"/>
    <s v="Male"/>
    <n v="61"/>
    <x v="2"/>
    <s v="Energy"/>
    <x v="4"/>
    <n v="393945"/>
    <n v="33.119999999999997"/>
    <n v="19.43"/>
    <x v="266"/>
    <n v="171"/>
    <n v="4"/>
    <n v="39394.5"/>
    <n v="157578"/>
  </r>
  <r>
    <s v="INV0287"/>
    <s v="Female"/>
    <n v="38"/>
    <x v="3"/>
    <s v="Energy"/>
    <x v="4"/>
    <n v="1408202"/>
    <n v="11.67"/>
    <n v="36.479999999999997"/>
    <x v="267"/>
    <n v="219"/>
    <n v="2"/>
    <n v="140820.20000000001"/>
    <n v="281640.40000000002"/>
  </r>
  <r>
    <s v="INV0288"/>
    <s v="Female"/>
    <n v="41"/>
    <x v="1"/>
    <s v="Healthcare"/>
    <x v="4"/>
    <n v="4384312"/>
    <n v="12.43"/>
    <n v="32.44"/>
    <x v="268"/>
    <n v="86"/>
    <n v="6"/>
    <n v="438431.2"/>
    <n v="2630587.2000000002"/>
  </r>
  <r>
    <s v="INV0289"/>
    <s v="Female"/>
    <n v="63"/>
    <x v="2"/>
    <s v="Consumer Goods"/>
    <x v="2"/>
    <n v="3936584"/>
    <n v="9.14"/>
    <n v="14.23"/>
    <x v="269"/>
    <n v="105"/>
    <n v="5"/>
    <n v="393658.4"/>
    <n v="1968292"/>
  </r>
  <r>
    <s v="INV0290"/>
    <s v="Female"/>
    <n v="27"/>
    <x v="1"/>
    <s v="Agriculture"/>
    <x v="5"/>
    <n v="2404637"/>
    <n v="25.19"/>
    <n v="24.06"/>
    <x v="270"/>
    <n v="11"/>
    <n v="8"/>
    <n v="240463.7"/>
    <n v="1923709.6"/>
  </r>
  <r>
    <s v="INV0291"/>
    <s v="Female"/>
    <n v="28"/>
    <x v="4"/>
    <s v="Energy"/>
    <x v="5"/>
    <n v="3109791"/>
    <n v="30.45"/>
    <n v="43.57"/>
    <x v="271"/>
    <n v="340"/>
    <n v="7"/>
    <n v="310979.10000000003"/>
    <n v="2176853.7000000002"/>
  </r>
  <r>
    <s v="INV0292"/>
    <s v="Female"/>
    <n v="27"/>
    <x v="0"/>
    <s v="Energy"/>
    <x v="4"/>
    <n v="170248"/>
    <n v="26.13"/>
    <n v="2.74"/>
    <x v="272"/>
    <n v="280"/>
    <n v="4"/>
    <n v="17024.8"/>
    <n v="68099.199999999997"/>
  </r>
  <r>
    <s v="INV0293"/>
    <s v="Female"/>
    <n v="48"/>
    <x v="0"/>
    <s v="Agriculture"/>
    <x v="3"/>
    <n v="3719440"/>
    <n v="7.33"/>
    <n v="-5.44"/>
    <x v="273"/>
    <n v="211"/>
    <n v="2"/>
    <n v="371944"/>
    <n v="743888"/>
  </r>
  <r>
    <s v="INV0294"/>
    <s v="Female"/>
    <n v="23"/>
    <x v="0"/>
    <s v="Healthcare"/>
    <x v="1"/>
    <n v="4228818"/>
    <n v="29.3"/>
    <n v="1.89"/>
    <x v="274"/>
    <n v="17"/>
    <n v="2"/>
    <n v="422881.80000000005"/>
    <n v="845763.60000000009"/>
  </r>
  <r>
    <s v="INV0295"/>
    <s v="Male"/>
    <n v="56"/>
    <x v="4"/>
    <s v="Healthcare"/>
    <x v="5"/>
    <n v="2743458"/>
    <n v="33.090000000000003"/>
    <n v="18.57"/>
    <x v="275"/>
    <n v="202"/>
    <n v="3"/>
    <n v="274345.8"/>
    <n v="823037.39999999991"/>
  </r>
  <r>
    <s v="INV0296"/>
    <s v="Male"/>
    <n v="50"/>
    <x v="0"/>
    <s v="Consumer Goods"/>
    <x v="0"/>
    <n v="304015"/>
    <n v="27.66"/>
    <n v="10.4"/>
    <x v="276"/>
    <n v="143"/>
    <n v="3"/>
    <n v="30401.5"/>
    <n v="91204.5"/>
  </r>
  <r>
    <s v="INV0297"/>
    <s v="Male"/>
    <n v="56"/>
    <x v="1"/>
    <s v="Technology"/>
    <x v="4"/>
    <n v="3708508"/>
    <n v="25.8"/>
    <n v="34.39"/>
    <x v="277"/>
    <n v="28"/>
    <n v="4"/>
    <n v="370850.80000000005"/>
    <n v="1483403.2000000002"/>
  </r>
  <r>
    <s v="INV0298"/>
    <s v="Male"/>
    <n v="33"/>
    <x v="1"/>
    <s v="Agriculture"/>
    <x v="2"/>
    <n v="934902"/>
    <n v="11.56"/>
    <n v="10.16"/>
    <x v="278"/>
    <n v="300"/>
    <n v="2"/>
    <n v="93490.200000000012"/>
    <n v="186980.40000000002"/>
  </r>
  <r>
    <s v="INV0299"/>
    <s v="Female"/>
    <n v="22"/>
    <x v="2"/>
    <s v="Consumer Goods"/>
    <x v="0"/>
    <n v="3567372"/>
    <n v="29.94"/>
    <n v="-7.92"/>
    <x v="279"/>
    <n v="69"/>
    <n v="5"/>
    <n v="356737.2"/>
    <n v="1783686"/>
  </r>
  <r>
    <s v="INV0300"/>
    <s v="Male"/>
    <n v="27"/>
    <x v="1"/>
    <s v="Technology"/>
    <x v="0"/>
    <n v="2284623"/>
    <n v="7.63"/>
    <n v="24.62"/>
    <x v="280"/>
    <n v="187"/>
    <n v="7"/>
    <n v="228462.30000000002"/>
    <n v="1599236.1"/>
  </r>
  <r>
    <s v="INV0301"/>
    <s v="Female"/>
    <n v="23"/>
    <x v="2"/>
    <s v="Energy"/>
    <x v="4"/>
    <n v="304539"/>
    <n v="33.43"/>
    <n v="27.83"/>
    <x v="281"/>
    <n v="345"/>
    <n v="5"/>
    <n v="30453.9"/>
    <n v="152269.5"/>
  </r>
  <r>
    <s v="INV0302"/>
    <s v="Female"/>
    <n v="35"/>
    <x v="1"/>
    <s v="Agriculture"/>
    <x v="3"/>
    <n v="1105402"/>
    <n v="33.270000000000003"/>
    <n v="6.26"/>
    <x v="282"/>
    <n v="170"/>
    <n v="5"/>
    <n v="110540.20000000001"/>
    <n v="552701"/>
  </r>
  <r>
    <s v="INV0303"/>
    <s v="Female"/>
    <n v="51"/>
    <x v="3"/>
    <s v="Healthcare"/>
    <x v="2"/>
    <n v="115830"/>
    <n v="13.49"/>
    <n v="36.35"/>
    <x v="283"/>
    <n v="211"/>
    <n v="4"/>
    <n v="11583"/>
    <n v="46332"/>
  </r>
  <r>
    <s v="INV0304"/>
    <s v="Female"/>
    <n v="50"/>
    <x v="4"/>
    <s v="Healthcare"/>
    <x v="5"/>
    <n v="1671440"/>
    <n v="23.05"/>
    <n v="9.17"/>
    <x v="10"/>
    <n v="122"/>
    <n v="4"/>
    <n v="167144"/>
    <n v="668576"/>
  </r>
  <r>
    <s v="INV0305"/>
    <s v="Female"/>
    <n v="24"/>
    <x v="0"/>
    <s v="Healthcare"/>
    <x v="0"/>
    <n v="4016939"/>
    <n v="22.24"/>
    <n v="7.94"/>
    <x v="284"/>
    <n v="26"/>
    <n v="6"/>
    <n v="401693.9"/>
    <n v="2410163.4000000004"/>
  </r>
  <r>
    <s v="INV0306"/>
    <s v="Male"/>
    <n v="54"/>
    <x v="4"/>
    <s v="Technology"/>
    <x v="1"/>
    <n v="2863269"/>
    <n v="23.08"/>
    <n v="25.06"/>
    <x v="285"/>
    <n v="329"/>
    <n v="5"/>
    <n v="286326.90000000002"/>
    <n v="1431634.5"/>
  </r>
  <r>
    <s v="INV0307"/>
    <s v="Female"/>
    <n v="56"/>
    <x v="4"/>
    <s v="Energy"/>
    <x v="1"/>
    <n v="4742982"/>
    <n v="14.03"/>
    <n v="16.03"/>
    <x v="286"/>
    <n v="190"/>
    <n v="6"/>
    <n v="474298.2"/>
    <n v="2845789.2"/>
  </r>
  <r>
    <s v="INV0308"/>
    <s v="Female"/>
    <n v="34"/>
    <x v="2"/>
    <s v="Energy"/>
    <x v="2"/>
    <n v="1636308"/>
    <n v="5.0999999999999996"/>
    <n v="19.649999999999999"/>
    <x v="287"/>
    <n v="202"/>
    <n v="6"/>
    <n v="163630.80000000002"/>
    <n v="981784.8"/>
  </r>
  <r>
    <s v="INV0309"/>
    <s v="Male"/>
    <n v="40"/>
    <x v="4"/>
    <s v="Consumer Goods"/>
    <x v="0"/>
    <n v="2710318"/>
    <n v="21.66"/>
    <n v="-7.07"/>
    <x v="288"/>
    <n v="309"/>
    <n v="2"/>
    <n v="271031.8"/>
    <n v="542063.6"/>
  </r>
  <r>
    <s v="INV0310"/>
    <s v="Male"/>
    <n v="28"/>
    <x v="3"/>
    <s v="Energy"/>
    <x v="3"/>
    <n v="882298"/>
    <n v="31.12"/>
    <n v="-3.44"/>
    <x v="289"/>
    <n v="205"/>
    <n v="4"/>
    <n v="88229.8"/>
    <n v="352919.2"/>
  </r>
  <r>
    <s v="INV0311"/>
    <s v="Male"/>
    <n v="60"/>
    <x v="2"/>
    <s v="Energy"/>
    <x v="0"/>
    <n v="2310441"/>
    <n v="6.72"/>
    <n v="27.28"/>
    <x v="290"/>
    <n v="203"/>
    <n v="6"/>
    <n v="231044.1"/>
    <n v="1386264.6"/>
  </r>
  <r>
    <s v="INV0312"/>
    <s v="Male"/>
    <n v="61"/>
    <x v="0"/>
    <s v="Consumer Goods"/>
    <x v="2"/>
    <n v="3037368"/>
    <n v="22.28"/>
    <n v="36.35"/>
    <x v="291"/>
    <n v="145"/>
    <n v="5"/>
    <n v="303736.8"/>
    <n v="1518684"/>
  </r>
  <r>
    <s v="INV0313"/>
    <s v="Female"/>
    <n v="50"/>
    <x v="0"/>
    <s v="Technology"/>
    <x v="5"/>
    <n v="1933934"/>
    <n v="19.55"/>
    <n v="11.85"/>
    <x v="292"/>
    <n v="39"/>
    <n v="7"/>
    <n v="193393.40000000002"/>
    <n v="1353753.8000000003"/>
  </r>
  <r>
    <s v="INV0314"/>
    <s v="Male"/>
    <n v="53"/>
    <x v="0"/>
    <s v="Agriculture"/>
    <x v="5"/>
    <n v="3014988"/>
    <n v="11.26"/>
    <n v="38.53"/>
    <x v="293"/>
    <n v="354"/>
    <n v="3"/>
    <n v="301498.8"/>
    <n v="904496.39999999991"/>
  </r>
  <r>
    <s v="INV0315"/>
    <s v="Female"/>
    <n v="45"/>
    <x v="1"/>
    <s v="Agriculture"/>
    <x v="0"/>
    <n v="1879072"/>
    <n v="12.26"/>
    <n v="34.67"/>
    <x v="294"/>
    <n v="108"/>
    <n v="3"/>
    <n v="187907.20000000001"/>
    <n v="563721.60000000009"/>
  </r>
  <r>
    <s v="INV0316"/>
    <s v="Female"/>
    <n v="52"/>
    <x v="2"/>
    <s v="Finance"/>
    <x v="2"/>
    <n v="879288"/>
    <n v="11.85"/>
    <n v="3.17"/>
    <x v="295"/>
    <n v="30"/>
    <n v="2"/>
    <n v="87928.8"/>
    <n v="175857.6"/>
  </r>
  <r>
    <s v="INV0317"/>
    <s v="Female"/>
    <n v="33"/>
    <x v="4"/>
    <s v="Consumer Goods"/>
    <x v="2"/>
    <n v="1650176"/>
    <n v="21.54"/>
    <n v="44.92"/>
    <x v="296"/>
    <n v="304"/>
    <n v="4"/>
    <n v="165017.60000000001"/>
    <n v="660070.40000000002"/>
  </r>
  <r>
    <s v="INV0318"/>
    <s v="Male"/>
    <n v="52"/>
    <x v="0"/>
    <s v="Healthcare"/>
    <x v="4"/>
    <n v="1441921"/>
    <n v="32.090000000000003"/>
    <n v="10.14"/>
    <x v="297"/>
    <n v="235"/>
    <n v="2"/>
    <n v="144192.1"/>
    <n v="288384.2"/>
  </r>
  <r>
    <s v="INV0319"/>
    <s v="Male"/>
    <n v="51"/>
    <x v="2"/>
    <s v="Healthcare"/>
    <x v="2"/>
    <n v="298538"/>
    <n v="32.840000000000003"/>
    <n v="43.91"/>
    <x v="76"/>
    <n v="248"/>
    <n v="1"/>
    <n v="29853.800000000003"/>
    <n v="29853.800000000003"/>
  </r>
  <r>
    <s v="INV0320"/>
    <s v="Female"/>
    <n v="50"/>
    <x v="2"/>
    <s v="Finance"/>
    <x v="1"/>
    <n v="3070234"/>
    <n v="6.63"/>
    <n v="26.28"/>
    <x v="298"/>
    <n v="219"/>
    <n v="4"/>
    <n v="307023.40000000002"/>
    <n v="1228093.6000000001"/>
  </r>
  <r>
    <s v="INV0321"/>
    <s v="Female"/>
    <n v="37"/>
    <x v="3"/>
    <s v="Consumer Goods"/>
    <x v="4"/>
    <n v="3980007"/>
    <n v="34.39"/>
    <n v="-4"/>
    <x v="135"/>
    <n v="19"/>
    <n v="3"/>
    <n v="398000.7"/>
    <n v="1194002.1000000001"/>
  </r>
  <r>
    <s v="INV0322"/>
    <s v="Male"/>
    <n v="34"/>
    <x v="4"/>
    <s v="Healthcare"/>
    <x v="5"/>
    <n v="1283408"/>
    <n v="27.09"/>
    <n v="29.8"/>
    <x v="299"/>
    <n v="305"/>
    <n v="8"/>
    <n v="128340.8"/>
    <n v="1026726.4"/>
  </r>
  <r>
    <s v="INV0323"/>
    <s v="Female"/>
    <n v="33"/>
    <x v="4"/>
    <s v="Technology"/>
    <x v="0"/>
    <n v="4275728"/>
    <n v="5.81"/>
    <n v="14.64"/>
    <x v="300"/>
    <n v="255"/>
    <n v="2"/>
    <n v="427572.80000000005"/>
    <n v="855145.60000000009"/>
  </r>
  <r>
    <s v="INV0324"/>
    <s v="Male"/>
    <n v="45"/>
    <x v="1"/>
    <s v="Energy"/>
    <x v="4"/>
    <n v="157432"/>
    <n v="21.13"/>
    <n v="40.74"/>
    <x v="301"/>
    <n v="139"/>
    <n v="6"/>
    <n v="15743.2"/>
    <n v="94459.200000000012"/>
  </r>
  <r>
    <s v="INV0325"/>
    <s v="Male"/>
    <n v="58"/>
    <x v="3"/>
    <s v="Consumer Goods"/>
    <x v="0"/>
    <n v="2934220"/>
    <n v="14.08"/>
    <n v="16.38"/>
    <x v="302"/>
    <n v="36"/>
    <n v="3"/>
    <n v="293422"/>
    <n v="880266"/>
  </r>
  <r>
    <s v="INV0326"/>
    <s v="Female"/>
    <n v="31"/>
    <x v="1"/>
    <s v="Consumer Goods"/>
    <x v="0"/>
    <n v="4468757"/>
    <n v="24.35"/>
    <n v="41.49"/>
    <x v="303"/>
    <n v="182"/>
    <n v="7"/>
    <n v="446875.7"/>
    <n v="3128129.9"/>
  </r>
  <r>
    <s v="INV0327"/>
    <s v="Male"/>
    <n v="56"/>
    <x v="4"/>
    <s v="Technology"/>
    <x v="4"/>
    <n v="1451352"/>
    <n v="16.91"/>
    <n v="27.77"/>
    <x v="304"/>
    <n v="30"/>
    <n v="4"/>
    <n v="145135.20000000001"/>
    <n v="580540.80000000005"/>
  </r>
  <r>
    <s v="INV0328"/>
    <s v="Male"/>
    <n v="51"/>
    <x v="0"/>
    <s v="Finance"/>
    <x v="1"/>
    <n v="509397"/>
    <n v="8.59"/>
    <n v="14.43"/>
    <x v="305"/>
    <n v="216"/>
    <n v="5"/>
    <n v="50939.700000000004"/>
    <n v="254698.50000000003"/>
  </r>
  <r>
    <s v="INV0329"/>
    <s v="Female"/>
    <n v="57"/>
    <x v="0"/>
    <s v="Finance"/>
    <x v="5"/>
    <n v="3302162"/>
    <n v="24.67"/>
    <n v="8.3699999999999992"/>
    <x v="306"/>
    <n v="264"/>
    <n v="6"/>
    <n v="330216.2"/>
    <n v="1981297.2000000002"/>
  </r>
  <r>
    <s v="INV0330"/>
    <s v="Female"/>
    <n v="55"/>
    <x v="3"/>
    <s v="Energy"/>
    <x v="2"/>
    <n v="4862186"/>
    <n v="32.299999999999997"/>
    <n v="5.47"/>
    <x v="307"/>
    <n v="290"/>
    <n v="6"/>
    <n v="486218.60000000003"/>
    <n v="2917311.6"/>
  </r>
  <r>
    <s v="INV0331"/>
    <s v="Male"/>
    <n v="55"/>
    <x v="1"/>
    <s v="Healthcare"/>
    <x v="4"/>
    <n v="726540"/>
    <n v="34.159999999999997"/>
    <n v="39.700000000000003"/>
    <x v="308"/>
    <n v="362"/>
    <n v="4"/>
    <n v="72654"/>
    <n v="290616"/>
  </r>
  <r>
    <s v="INV0332"/>
    <s v="Female"/>
    <n v="57"/>
    <x v="4"/>
    <s v="Agriculture"/>
    <x v="5"/>
    <n v="4450403"/>
    <n v="9.59"/>
    <n v="28.06"/>
    <x v="309"/>
    <n v="200"/>
    <n v="2"/>
    <n v="445040.30000000005"/>
    <n v="890080.60000000009"/>
  </r>
  <r>
    <s v="INV0333"/>
    <s v="Male"/>
    <n v="46"/>
    <x v="4"/>
    <s v="Consumer Goods"/>
    <x v="3"/>
    <n v="4955257"/>
    <n v="9.58"/>
    <n v="10.37"/>
    <x v="310"/>
    <n v="110"/>
    <n v="8"/>
    <n v="495525.7"/>
    <n v="3964205.6"/>
  </r>
  <r>
    <s v="INV0334"/>
    <s v="Male"/>
    <n v="24"/>
    <x v="1"/>
    <s v="Healthcare"/>
    <x v="4"/>
    <n v="1717175"/>
    <n v="15.61"/>
    <n v="36.39"/>
    <x v="311"/>
    <n v="313"/>
    <n v="4"/>
    <n v="171717.5"/>
    <n v="686870"/>
  </r>
  <r>
    <s v="INV0335"/>
    <s v="Female"/>
    <n v="38"/>
    <x v="2"/>
    <s v="Agriculture"/>
    <x v="5"/>
    <n v="4555542"/>
    <n v="29.86"/>
    <n v="-8.4499999999999993"/>
    <x v="312"/>
    <n v="294"/>
    <n v="8"/>
    <n v="455554.2"/>
    <n v="3644433.6"/>
  </r>
  <r>
    <s v="INV0336"/>
    <s v="Male"/>
    <n v="29"/>
    <x v="3"/>
    <s v="Consumer Goods"/>
    <x v="2"/>
    <n v="723720"/>
    <n v="31.2"/>
    <n v="23.32"/>
    <x v="313"/>
    <n v="177"/>
    <n v="3"/>
    <n v="72372"/>
    <n v="217116"/>
  </r>
  <r>
    <s v="INV0337"/>
    <s v="Male"/>
    <n v="43"/>
    <x v="4"/>
    <s v="Technology"/>
    <x v="1"/>
    <n v="2337758"/>
    <n v="12.98"/>
    <n v="8.57"/>
    <x v="314"/>
    <n v="184"/>
    <n v="1"/>
    <n v="233775.80000000002"/>
    <n v="233775.80000000002"/>
  </r>
  <r>
    <s v="INV0338"/>
    <s v="Male"/>
    <n v="47"/>
    <x v="0"/>
    <s v="Agriculture"/>
    <x v="3"/>
    <n v="1275945"/>
    <n v="5.28"/>
    <n v="1.03"/>
    <x v="315"/>
    <n v="179"/>
    <n v="8"/>
    <n v="127594.5"/>
    <n v="1020756"/>
  </r>
  <r>
    <s v="INV0339"/>
    <s v="Male"/>
    <n v="45"/>
    <x v="0"/>
    <s v="Finance"/>
    <x v="2"/>
    <n v="3513481"/>
    <n v="8.32"/>
    <n v="37.82"/>
    <x v="316"/>
    <n v="89"/>
    <n v="4"/>
    <n v="351348.10000000003"/>
    <n v="1405392.4000000001"/>
  </r>
  <r>
    <s v="INV0340"/>
    <s v="Female"/>
    <n v="56"/>
    <x v="4"/>
    <s v="Agriculture"/>
    <x v="5"/>
    <n v="4594503"/>
    <n v="13.14"/>
    <n v="19.62"/>
    <x v="317"/>
    <n v="56"/>
    <n v="4"/>
    <n v="459450.30000000005"/>
    <n v="1837801.2000000002"/>
  </r>
  <r>
    <s v="INV0341"/>
    <s v="Female"/>
    <n v="59"/>
    <x v="3"/>
    <s v="Finance"/>
    <x v="4"/>
    <n v="1012514"/>
    <n v="23.49"/>
    <n v="6.7"/>
    <x v="318"/>
    <n v="352"/>
    <n v="4"/>
    <n v="101251.40000000001"/>
    <n v="405005.60000000003"/>
  </r>
  <r>
    <s v="INV0342"/>
    <s v="Male"/>
    <n v="36"/>
    <x v="2"/>
    <s v="Finance"/>
    <x v="2"/>
    <n v="869196"/>
    <n v="23.71"/>
    <n v="35.85"/>
    <x v="319"/>
    <n v="173"/>
    <n v="5"/>
    <n v="86919.6"/>
    <n v="434598"/>
  </r>
  <r>
    <s v="INV0343"/>
    <s v="Female"/>
    <n v="34"/>
    <x v="4"/>
    <s v="Agriculture"/>
    <x v="5"/>
    <n v="3342471"/>
    <n v="23.81"/>
    <n v="16.89"/>
    <x v="320"/>
    <n v="50"/>
    <n v="4"/>
    <n v="334247.10000000003"/>
    <n v="1336988.4000000001"/>
  </r>
  <r>
    <s v="INV0344"/>
    <s v="Female"/>
    <n v="31"/>
    <x v="2"/>
    <s v="Technology"/>
    <x v="4"/>
    <n v="3702137"/>
    <n v="16.989999999999998"/>
    <n v="21.34"/>
    <x v="321"/>
    <n v="286"/>
    <n v="6"/>
    <n v="370213.7"/>
    <n v="2221282.2000000002"/>
  </r>
  <r>
    <s v="INV0345"/>
    <s v="Female"/>
    <n v="51"/>
    <x v="4"/>
    <s v="Finance"/>
    <x v="0"/>
    <n v="3864851"/>
    <n v="31.77"/>
    <n v="32.299999999999997"/>
    <x v="322"/>
    <n v="165"/>
    <n v="5"/>
    <n v="386485.10000000003"/>
    <n v="1932425.5000000002"/>
  </r>
  <r>
    <s v="INV0346"/>
    <s v="Male"/>
    <n v="33"/>
    <x v="3"/>
    <s v="Healthcare"/>
    <x v="4"/>
    <n v="3547505"/>
    <n v="9.4"/>
    <n v="27.97"/>
    <x v="323"/>
    <n v="217"/>
    <n v="7"/>
    <n v="354750.5"/>
    <n v="2483253.5"/>
  </r>
  <r>
    <s v="INV0347"/>
    <s v="Female"/>
    <n v="36"/>
    <x v="3"/>
    <s v="Consumer Goods"/>
    <x v="0"/>
    <n v="3404617"/>
    <n v="8.42"/>
    <n v="24.03"/>
    <x v="324"/>
    <n v="42"/>
    <n v="4"/>
    <n v="340461.7"/>
    <n v="1361846.8"/>
  </r>
  <r>
    <s v="INV0348"/>
    <s v="Female"/>
    <n v="27"/>
    <x v="1"/>
    <s v="Finance"/>
    <x v="4"/>
    <n v="2433496"/>
    <n v="19.93"/>
    <n v="28.48"/>
    <x v="325"/>
    <n v="288"/>
    <n v="6"/>
    <n v="243349.6"/>
    <n v="1460097.6"/>
  </r>
  <r>
    <s v="INV0349"/>
    <s v="Male"/>
    <n v="27"/>
    <x v="4"/>
    <s v="Energy"/>
    <x v="1"/>
    <n v="3517842"/>
    <n v="20.16"/>
    <n v="7.36"/>
    <x v="326"/>
    <n v="330"/>
    <n v="6"/>
    <n v="351784.2"/>
    <n v="2110705.2000000002"/>
  </r>
  <r>
    <s v="INV0350"/>
    <s v="Female"/>
    <n v="40"/>
    <x v="0"/>
    <s v="Consumer Goods"/>
    <x v="0"/>
    <n v="2989344"/>
    <n v="17.57"/>
    <n v="12.5"/>
    <x v="327"/>
    <n v="200"/>
    <n v="2"/>
    <n v="298934.40000000002"/>
    <n v="597868.80000000005"/>
  </r>
  <r>
    <s v="INV0351"/>
    <s v="Male"/>
    <n v="28"/>
    <x v="1"/>
    <s v="Consumer Goods"/>
    <x v="5"/>
    <n v="4178987"/>
    <n v="15.69"/>
    <n v="33.58"/>
    <x v="328"/>
    <n v="362"/>
    <n v="2"/>
    <n v="417898.7"/>
    <n v="835797.4"/>
  </r>
  <r>
    <s v="INV0352"/>
    <s v="Male"/>
    <n v="44"/>
    <x v="3"/>
    <s v="Technology"/>
    <x v="3"/>
    <n v="1193481"/>
    <n v="6.04"/>
    <n v="19.48"/>
    <x v="329"/>
    <n v="181"/>
    <n v="5"/>
    <n v="119348.1"/>
    <n v="596740.5"/>
  </r>
  <r>
    <s v="INV0353"/>
    <s v="Male"/>
    <n v="46"/>
    <x v="4"/>
    <s v="Healthcare"/>
    <x v="4"/>
    <n v="1558610"/>
    <n v="5.41"/>
    <n v="44.41"/>
    <x v="330"/>
    <n v="33"/>
    <n v="6"/>
    <n v="155861"/>
    <n v="935166"/>
  </r>
  <r>
    <s v="INV0354"/>
    <s v="Male"/>
    <n v="24"/>
    <x v="4"/>
    <s v="Finance"/>
    <x v="5"/>
    <n v="3003878"/>
    <n v="24.44"/>
    <n v="-1.1100000000000001"/>
    <x v="331"/>
    <n v="341"/>
    <n v="5"/>
    <n v="300387.8"/>
    <n v="1501939"/>
  </r>
  <r>
    <s v="INV0355"/>
    <s v="Female"/>
    <n v="22"/>
    <x v="0"/>
    <s v="Agriculture"/>
    <x v="5"/>
    <n v="506337"/>
    <n v="11.79"/>
    <n v="32.58"/>
    <x v="197"/>
    <n v="90"/>
    <n v="7"/>
    <n v="50633.700000000004"/>
    <n v="354435.9"/>
  </r>
  <r>
    <s v="INV0356"/>
    <s v="Female"/>
    <n v="57"/>
    <x v="2"/>
    <s v="Technology"/>
    <x v="0"/>
    <n v="2982519"/>
    <n v="30.84"/>
    <n v="12.99"/>
    <x v="332"/>
    <n v="128"/>
    <n v="5"/>
    <n v="298251.90000000002"/>
    <n v="1491259.5"/>
  </r>
  <r>
    <s v="INV0357"/>
    <s v="Female"/>
    <n v="32"/>
    <x v="1"/>
    <s v="Consumer Goods"/>
    <x v="3"/>
    <n v="629343"/>
    <n v="19.09"/>
    <n v="42.13"/>
    <x v="333"/>
    <n v="310"/>
    <n v="2"/>
    <n v="62934.3"/>
    <n v="125868.6"/>
  </r>
  <r>
    <s v="INV0358"/>
    <s v="Male"/>
    <n v="47"/>
    <x v="3"/>
    <s v="Consumer Goods"/>
    <x v="4"/>
    <n v="2515529"/>
    <n v="8.32"/>
    <n v="16.97"/>
    <x v="334"/>
    <n v="361"/>
    <n v="3"/>
    <n v="251552.90000000002"/>
    <n v="754658.70000000007"/>
  </r>
  <r>
    <s v="INV0359"/>
    <s v="Male"/>
    <n v="45"/>
    <x v="4"/>
    <s v="Technology"/>
    <x v="2"/>
    <n v="1116056"/>
    <n v="32.14"/>
    <n v="19.100000000000001"/>
    <x v="335"/>
    <n v="144"/>
    <n v="2"/>
    <n v="111605.6"/>
    <n v="223211.2"/>
  </r>
  <r>
    <s v="INV0360"/>
    <s v="Female"/>
    <n v="39"/>
    <x v="1"/>
    <s v="Healthcare"/>
    <x v="4"/>
    <n v="871456"/>
    <n v="20.51"/>
    <n v="35.44"/>
    <x v="336"/>
    <n v="39"/>
    <n v="5"/>
    <n v="87145.600000000006"/>
    <n v="435728"/>
  </r>
  <r>
    <s v="INV0361"/>
    <s v="Female"/>
    <n v="27"/>
    <x v="0"/>
    <s v="Consumer Goods"/>
    <x v="2"/>
    <n v="4088569"/>
    <n v="18.420000000000002"/>
    <n v="3.33"/>
    <x v="337"/>
    <n v="343"/>
    <n v="7"/>
    <n v="408856.9"/>
    <n v="2861998.3000000003"/>
  </r>
  <r>
    <s v="INV0362"/>
    <s v="Female"/>
    <n v="25"/>
    <x v="4"/>
    <s v="Healthcare"/>
    <x v="0"/>
    <n v="108188"/>
    <n v="6.89"/>
    <n v="16.98"/>
    <x v="338"/>
    <n v="329"/>
    <n v="3"/>
    <n v="10818.800000000001"/>
    <n v="32456.400000000001"/>
  </r>
  <r>
    <s v="INV0363"/>
    <s v="Male"/>
    <n v="45"/>
    <x v="3"/>
    <s v="Energy"/>
    <x v="2"/>
    <n v="2706336"/>
    <n v="34.57"/>
    <n v="25.02"/>
    <x v="198"/>
    <n v="263"/>
    <n v="8"/>
    <n v="270633.60000000003"/>
    <n v="2165068.8000000003"/>
  </r>
  <r>
    <s v="INV0364"/>
    <s v="Female"/>
    <n v="60"/>
    <x v="2"/>
    <s v="Agriculture"/>
    <x v="5"/>
    <n v="686881"/>
    <n v="12.07"/>
    <n v="-6.48"/>
    <x v="68"/>
    <n v="218"/>
    <n v="2"/>
    <n v="68688.100000000006"/>
    <n v="137376.20000000001"/>
  </r>
  <r>
    <s v="INV0365"/>
    <s v="Female"/>
    <n v="47"/>
    <x v="4"/>
    <s v="Energy"/>
    <x v="4"/>
    <n v="1140912"/>
    <n v="12.89"/>
    <n v="12.17"/>
    <x v="339"/>
    <n v="252"/>
    <n v="6"/>
    <n v="114091.20000000001"/>
    <n v="684547.20000000007"/>
  </r>
  <r>
    <s v="INV0366"/>
    <s v="Female"/>
    <n v="49"/>
    <x v="1"/>
    <s v="Agriculture"/>
    <x v="3"/>
    <n v="3441110"/>
    <n v="31.7"/>
    <n v="39.5"/>
    <x v="340"/>
    <n v="230"/>
    <n v="1"/>
    <n v="344111"/>
    <n v="344111"/>
  </r>
  <r>
    <s v="INV0367"/>
    <s v="Male"/>
    <n v="23"/>
    <x v="1"/>
    <s v="Agriculture"/>
    <x v="3"/>
    <n v="3767717"/>
    <n v="23.14"/>
    <n v="44.95"/>
    <x v="316"/>
    <n v="176"/>
    <n v="4"/>
    <n v="376771.7"/>
    <n v="1507086.8"/>
  </r>
  <r>
    <s v="INV0368"/>
    <s v="Female"/>
    <n v="34"/>
    <x v="0"/>
    <s v="Agriculture"/>
    <x v="3"/>
    <n v="1941413"/>
    <n v="24.79"/>
    <n v="7.46"/>
    <x v="341"/>
    <n v="308"/>
    <n v="7"/>
    <n v="194141.30000000002"/>
    <n v="1358989.1"/>
  </r>
  <r>
    <s v="INV0369"/>
    <s v="Female"/>
    <n v="55"/>
    <x v="0"/>
    <s v="Technology"/>
    <x v="0"/>
    <n v="3573454"/>
    <n v="32.32"/>
    <n v="5.61"/>
    <x v="342"/>
    <n v="92"/>
    <n v="5"/>
    <n v="357345.4"/>
    <n v="1786727"/>
  </r>
  <r>
    <s v="INV0370"/>
    <s v="Male"/>
    <n v="56"/>
    <x v="3"/>
    <s v="Technology"/>
    <x v="5"/>
    <n v="2771545"/>
    <n v="12.15"/>
    <n v="39.26"/>
    <x v="343"/>
    <n v="321"/>
    <n v="2"/>
    <n v="277154.5"/>
    <n v="554309"/>
  </r>
  <r>
    <s v="INV0371"/>
    <s v="Female"/>
    <n v="62"/>
    <x v="3"/>
    <s v="Healthcare"/>
    <x v="5"/>
    <n v="4596930"/>
    <n v="26.57"/>
    <n v="-5.94"/>
    <x v="344"/>
    <n v="295"/>
    <n v="1"/>
    <n v="459693"/>
    <n v="459693"/>
  </r>
  <r>
    <s v="INV0372"/>
    <s v="Male"/>
    <n v="27"/>
    <x v="1"/>
    <s v="Technology"/>
    <x v="5"/>
    <n v="1448830"/>
    <n v="28.82"/>
    <n v="21.66"/>
    <x v="345"/>
    <n v="118"/>
    <n v="3"/>
    <n v="144883"/>
    <n v="434649"/>
  </r>
  <r>
    <s v="INV0373"/>
    <s v="Male"/>
    <n v="38"/>
    <x v="2"/>
    <s v="Energy"/>
    <x v="5"/>
    <n v="75855"/>
    <n v="25.06"/>
    <n v="23.93"/>
    <x v="346"/>
    <n v="35"/>
    <n v="1"/>
    <n v="7585.5"/>
    <n v="7585.5"/>
  </r>
  <r>
    <s v="INV0374"/>
    <s v="Female"/>
    <n v="42"/>
    <x v="1"/>
    <s v="Agriculture"/>
    <x v="2"/>
    <n v="3248777"/>
    <n v="17.170000000000002"/>
    <n v="6.57"/>
    <x v="347"/>
    <n v="280"/>
    <n v="5"/>
    <n v="324877.7"/>
    <n v="1624388.5"/>
  </r>
  <r>
    <s v="INV0375"/>
    <s v="Female"/>
    <n v="45"/>
    <x v="1"/>
    <s v="Agriculture"/>
    <x v="5"/>
    <n v="3224214"/>
    <n v="31.97"/>
    <n v="21.03"/>
    <x v="112"/>
    <n v="209"/>
    <n v="8"/>
    <n v="322421.40000000002"/>
    <n v="2579371.2000000002"/>
  </r>
  <r>
    <s v="INV0376"/>
    <s v="Male"/>
    <n v="63"/>
    <x v="1"/>
    <s v="Consumer Goods"/>
    <x v="0"/>
    <n v="2622078"/>
    <n v="26.95"/>
    <n v="34.07"/>
    <x v="348"/>
    <n v="351"/>
    <n v="4"/>
    <n v="262207.8"/>
    <n v="1048831.2"/>
  </r>
  <r>
    <s v="INV0377"/>
    <s v="Female"/>
    <n v="24"/>
    <x v="2"/>
    <s v="Energy"/>
    <x v="0"/>
    <n v="4675994"/>
    <n v="31.42"/>
    <n v="11.08"/>
    <x v="349"/>
    <n v="91"/>
    <n v="3"/>
    <n v="467599.4"/>
    <n v="1402798.2000000002"/>
  </r>
  <r>
    <s v="INV0378"/>
    <s v="Male"/>
    <n v="42"/>
    <x v="1"/>
    <s v="Technology"/>
    <x v="3"/>
    <n v="2204170"/>
    <n v="31.91"/>
    <n v="26"/>
    <x v="255"/>
    <n v="200"/>
    <n v="2"/>
    <n v="220417"/>
    <n v="440834"/>
  </r>
  <r>
    <s v="INV0379"/>
    <s v="Male"/>
    <n v="57"/>
    <x v="2"/>
    <s v="Consumer Goods"/>
    <x v="4"/>
    <n v="3885459"/>
    <n v="9.3699999999999992"/>
    <n v="0.83"/>
    <x v="350"/>
    <n v="327"/>
    <n v="4"/>
    <n v="388545.9"/>
    <n v="1554183.6"/>
  </r>
  <r>
    <s v="INV0380"/>
    <s v="Male"/>
    <n v="52"/>
    <x v="1"/>
    <s v="Consumer Goods"/>
    <x v="3"/>
    <n v="4551738"/>
    <n v="30.84"/>
    <n v="29.79"/>
    <x v="351"/>
    <n v="111"/>
    <n v="6"/>
    <n v="455173.80000000005"/>
    <n v="2731042.8000000003"/>
  </r>
  <r>
    <s v="INV0381"/>
    <s v="Male"/>
    <n v="21"/>
    <x v="0"/>
    <s v="Agriculture"/>
    <x v="2"/>
    <n v="280943"/>
    <n v="20.260000000000002"/>
    <n v="-4.41"/>
    <x v="352"/>
    <n v="235"/>
    <n v="2"/>
    <n v="28094.300000000003"/>
    <n v="56188.600000000006"/>
  </r>
  <r>
    <s v="INV0382"/>
    <s v="Female"/>
    <n v="61"/>
    <x v="2"/>
    <s v="Energy"/>
    <x v="1"/>
    <n v="3401455"/>
    <n v="18.11"/>
    <n v="25"/>
    <x v="353"/>
    <n v="329"/>
    <n v="6"/>
    <n v="340145.5"/>
    <n v="2040873"/>
  </r>
  <r>
    <s v="INV0383"/>
    <s v="Male"/>
    <n v="34"/>
    <x v="0"/>
    <s v="Healthcare"/>
    <x v="5"/>
    <n v="2357894"/>
    <n v="22.87"/>
    <n v="42.19"/>
    <x v="354"/>
    <n v="262"/>
    <n v="6"/>
    <n v="235789.40000000002"/>
    <n v="1414736.4000000001"/>
  </r>
  <r>
    <s v="INV0384"/>
    <s v="Male"/>
    <n v="46"/>
    <x v="4"/>
    <s v="Energy"/>
    <x v="4"/>
    <n v="1408149"/>
    <n v="9.86"/>
    <n v="10.62"/>
    <x v="355"/>
    <n v="95"/>
    <n v="3"/>
    <n v="140814.9"/>
    <n v="422444.69999999995"/>
  </r>
  <r>
    <s v="INV0385"/>
    <s v="Male"/>
    <n v="23"/>
    <x v="2"/>
    <s v="Consumer Goods"/>
    <x v="4"/>
    <n v="2013525"/>
    <n v="33.86"/>
    <n v="-9.4499999999999993"/>
    <x v="280"/>
    <n v="26"/>
    <n v="7"/>
    <n v="201352.5"/>
    <n v="1409467.5"/>
  </r>
  <r>
    <s v="INV0386"/>
    <s v="Male"/>
    <n v="59"/>
    <x v="4"/>
    <s v="Energy"/>
    <x v="5"/>
    <n v="2146298"/>
    <n v="5.24"/>
    <n v="12.94"/>
    <x v="356"/>
    <n v="141"/>
    <n v="5"/>
    <n v="214629.80000000002"/>
    <n v="1073149"/>
  </r>
  <r>
    <s v="INV0387"/>
    <s v="Male"/>
    <n v="29"/>
    <x v="1"/>
    <s v="Finance"/>
    <x v="4"/>
    <n v="2799061"/>
    <n v="14.41"/>
    <n v="10.41"/>
    <x v="357"/>
    <n v="275"/>
    <n v="2"/>
    <n v="279906.10000000003"/>
    <n v="559812.20000000007"/>
  </r>
  <r>
    <s v="INV0388"/>
    <s v="Female"/>
    <n v="58"/>
    <x v="4"/>
    <s v="Technology"/>
    <x v="4"/>
    <n v="1195769"/>
    <n v="18.27"/>
    <n v="21.65"/>
    <x v="358"/>
    <n v="276"/>
    <n v="4"/>
    <n v="119576.90000000001"/>
    <n v="478307.60000000003"/>
  </r>
  <r>
    <s v="INV0389"/>
    <s v="Male"/>
    <n v="42"/>
    <x v="0"/>
    <s v="Consumer Goods"/>
    <x v="3"/>
    <n v="1830432"/>
    <n v="30.35"/>
    <n v="7.65"/>
    <x v="359"/>
    <n v="232"/>
    <n v="4"/>
    <n v="183043.20000000001"/>
    <n v="732172.80000000005"/>
  </r>
  <r>
    <s v="INV0390"/>
    <s v="Male"/>
    <n v="61"/>
    <x v="3"/>
    <s v="Healthcare"/>
    <x v="5"/>
    <n v="4099922"/>
    <n v="27.07"/>
    <n v="13.3"/>
    <x v="278"/>
    <n v="331"/>
    <n v="2"/>
    <n v="409992.2"/>
    <n v="819984.4"/>
  </r>
  <r>
    <s v="INV0391"/>
    <s v="Female"/>
    <n v="62"/>
    <x v="4"/>
    <s v="Energy"/>
    <x v="1"/>
    <n v="4428808"/>
    <n v="12.28"/>
    <n v="18.02"/>
    <x v="360"/>
    <n v="80"/>
    <n v="3"/>
    <n v="442880.80000000005"/>
    <n v="1328642.4000000001"/>
  </r>
  <r>
    <s v="INV0392"/>
    <s v="Male"/>
    <n v="54"/>
    <x v="0"/>
    <s v="Finance"/>
    <x v="5"/>
    <n v="2552990"/>
    <n v="7.13"/>
    <n v="38.19"/>
    <x v="361"/>
    <n v="243"/>
    <n v="7"/>
    <n v="255299"/>
    <n v="1787093"/>
  </r>
  <r>
    <s v="INV0393"/>
    <s v="Male"/>
    <n v="43"/>
    <x v="0"/>
    <s v="Healthcare"/>
    <x v="0"/>
    <n v="177094"/>
    <n v="9.3800000000000008"/>
    <n v="31.24"/>
    <x v="362"/>
    <n v="12"/>
    <n v="6"/>
    <n v="17709.400000000001"/>
    <n v="106256.40000000001"/>
  </r>
  <r>
    <s v="INV0394"/>
    <s v="Female"/>
    <n v="43"/>
    <x v="4"/>
    <s v="Technology"/>
    <x v="2"/>
    <n v="3863414"/>
    <n v="32.04"/>
    <n v="25.74"/>
    <x v="363"/>
    <n v="212"/>
    <n v="6"/>
    <n v="386341.4"/>
    <n v="2318048.4000000004"/>
  </r>
  <r>
    <s v="INV0395"/>
    <s v="Female"/>
    <n v="28"/>
    <x v="2"/>
    <s v="Technology"/>
    <x v="5"/>
    <n v="4693454"/>
    <n v="12.48"/>
    <n v="0.33"/>
    <x v="364"/>
    <n v="214"/>
    <n v="3"/>
    <n v="469345.4"/>
    <n v="1408036.2000000002"/>
  </r>
  <r>
    <s v="INV0396"/>
    <s v="Male"/>
    <n v="39"/>
    <x v="1"/>
    <s v="Healthcare"/>
    <x v="3"/>
    <n v="4041370"/>
    <n v="21.7"/>
    <n v="21.21"/>
    <x v="365"/>
    <n v="339"/>
    <n v="8"/>
    <n v="404137"/>
    <n v="3233096"/>
  </r>
  <r>
    <s v="INV0397"/>
    <s v="Male"/>
    <n v="34"/>
    <x v="2"/>
    <s v="Agriculture"/>
    <x v="1"/>
    <n v="1550067"/>
    <n v="26.06"/>
    <n v="5.13"/>
    <x v="366"/>
    <n v="119"/>
    <n v="2"/>
    <n v="155006.70000000001"/>
    <n v="310013.40000000002"/>
  </r>
  <r>
    <s v="INV0398"/>
    <s v="Male"/>
    <n v="22"/>
    <x v="3"/>
    <s v="Agriculture"/>
    <x v="3"/>
    <n v="496281"/>
    <n v="30.39"/>
    <n v="37.08"/>
    <x v="367"/>
    <n v="66"/>
    <n v="3"/>
    <n v="49628.100000000006"/>
    <n v="148884.30000000002"/>
  </r>
  <r>
    <s v="INV0399"/>
    <s v="Male"/>
    <n v="59"/>
    <x v="0"/>
    <s v="Healthcare"/>
    <x v="3"/>
    <n v="2096975"/>
    <n v="14.1"/>
    <n v="28.96"/>
    <x v="159"/>
    <n v="198"/>
    <n v="3"/>
    <n v="209697.5"/>
    <n v="629092.5"/>
  </r>
  <r>
    <s v="INV0400"/>
    <s v="Female"/>
    <n v="29"/>
    <x v="1"/>
    <s v="Finance"/>
    <x v="5"/>
    <n v="1191908"/>
    <n v="8.41"/>
    <n v="22.73"/>
    <x v="368"/>
    <n v="41"/>
    <n v="7"/>
    <n v="119190.8"/>
    <n v="834335.6"/>
  </r>
  <r>
    <s v="INV0401"/>
    <s v="Female"/>
    <n v="54"/>
    <x v="0"/>
    <s v="Agriculture"/>
    <x v="3"/>
    <n v="567392"/>
    <n v="9.1199999999999992"/>
    <n v="-0.73"/>
    <x v="145"/>
    <n v="144"/>
    <n v="3"/>
    <n v="56739.200000000004"/>
    <n v="170217.60000000001"/>
  </r>
  <r>
    <s v="INV0402"/>
    <s v="Male"/>
    <n v="52"/>
    <x v="1"/>
    <s v="Finance"/>
    <x v="4"/>
    <n v="2615188"/>
    <n v="14.16"/>
    <n v="23.99"/>
    <x v="369"/>
    <n v="242"/>
    <n v="2"/>
    <n v="261518.80000000002"/>
    <n v="523037.60000000003"/>
  </r>
  <r>
    <s v="INV0403"/>
    <s v="Female"/>
    <n v="23"/>
    <x v="4"/>
    <s v="Technology"/>
    <x v="5"/>
    <n v="1454481"/>
    <n v="31.09"/>
    <n v="21.92"/>
    <x v="370"/>
    <n v="273"/>
    <n v="3"/>
    <n v="145448.1"/>
    <n v="436344.30000000005"/>
  </r>
  <r>
    <s v="INV0404"/>
    <s v="Female"/>
    <n v="27"/>
    <x v="3"/>
    <s v="Finance"/>
    <x v="0"/>
    <n v="1804138"/>
    <n v="24.36"/>
    <n v="21.12"/>
    <x v="371"/>
    <n v="65"/>
    <n v="3"/>
    <n v="180413.80000000002"/>
    <n v="541241.4"/>
  </r>
  <r>
    <s v="INV0405"/>
    <s v="Female"/>
    <n v="25"/>
    <x v="3"/>
    <s v="Consumer Goods"/>
    <x v="2"/>
    <n v="3098118"/>
    <n v="32.869999999999997"/>
    <n v="1.42"/>
    <x v="372"/>
    <n v="336"/>
    <n v="5"/>
    <n v="309811.8"/>
    <n v="1549059"/>
  </r>
  <r>
    <s v="INV0406"/>
    <s v="Male"/>
    <n v="40"/>
    <x v="1"/>
    <s v="Energy"/>
    <x v="4"/>
    <n v="4321178"/>
    <n v="32.130000000000003"/>
    <n v="-6.89"/>
    <x v="373"/>
    <n v="35"/>
    <n v="6"/>
    <n v="432117.80000000005"/>
    <n v="2592706.8000000003"/>
  </r>
  <r>
    <s v="INV0407"/>
    <s v="Male"/>
    <n v="30"/>
    <x v="4"/>
    <s v="Consumer Goods"/>
    <x v="1"/>
    <n v="4236657"/>
    <n v="29.79"/>
    <n v="43.21"/>
    <x v="374"/>
    <n v="204"/>
    <n v="2"/>
    <n v="423665.7"/>
    <n v="847331.4"/>
  </r>
  <r>
    <s v="INV0408"/>
    <s v="Female"/>
    <n v="54"/>
    <x v="0"/>
    <s v="Consumer Goods"/>
    <x v="0"/>
    <n v="2558276"/>
    <n v="16.46"/>
    <n v="26.56"/>
    <x v="375"/>
    <n v="341"/>
    <n v="3"/>
    <n v="255827.6"/>
    <n v="767482.8"/>
  </r>
  <r>
    <s v="INV0409"/>
    <s v="Female"/>
    <n v="39"/>
    <x v="2"/>
    <s v="Consumer Goods"/>
    <x v="5"/>
    <n v="3365493"/>
    <n v="12"/>
    <n v="32.75"/>
    <x v="376"/>
    <n v="21"/>
    <n v="7"/>
    <n v="336549.30000000005"/>
    <n v="2355845.1000000006"/>
  </r>
  <r>
    <s v="INV0410"/>
    <s v="Female"/>
    <n v="46"/>
    <x v="3"/>
    <s v="Technology"/>
    <x v="4"/>
    <n v="2192658"/>
    <n v="22.86"/>
    <n v="-8.24"/>
    <x v="377"/>
    <n v="37"/>
    <n v="5"/>
    <n v="219265.80000000002"/>
    <n v="1096329"/>
  </r>
  <r>
    <s v="INV0411"/>
    <s v="Male"/>
    <n v="51"/>
    <x v="2"/>
    <s v="Energy"/>
    <x v="5"/>
    <n v="4386827"/>
    <n v="14.4"/>
    <n v="37.53"/>
    <x v="372"/>
    <n v="216"/>
    <n v="5"/>
    <n v="438682.7"/>
    <n v="2193413.5"/>
  </r>
  <r>
    <s v="INV0412"/>
    <s v="Male"/>
    <n v="39"/>
    <x v="4"/>
    <s v="Energy"/>
    <x v="0"/>
    <n v="3295779"/>
    <n v="27.96"/>
    <n v="33.15"/>
    <x v="378"/>
    <n v="170"/>
    <n v="6"/>
    <n v="329577.90000000002"/>
    <n v="1977467.4000000001"/>
  </r>
  <r>
    <s v="INV0413"/>
    <s v="Female"/>
    <n v="54"/>
    <x v="3"/>
    <s v="Finance"/>
    <x v="4"/>
    <n v="237661"/>
    <n v="20.5"/>
    <n v="36.79"/>
    <x v="379"/>
    <n v="222"/>
    <n v="3"/>
    <n v="23766.100000000002"/>
    <n v="71298.3"/>
  </r>
  <r>
    <s v="INV0414"/>
    <s v="Male"/>
    <n v="54"/>
    <x v="4"/>
    <s v="Finance"/>
    <x v="4"/>
    <n v="2976983"/>
    <n v="17.59"/>
    <n v="25.69"/>
    <x v="380"/>
    <n v="28"/>
    <n v="5"/>
    <n v="297698.3"/>
    <n v="1488491.5"/>
  </r>
  <r>
    <s v="INV0415"/>
    <s v="Male"/>
    <n v="52"/>
    <x v="4"/>
    <s v="Consumer Goods"/>
    <x v="2"/>
    <n v="2731462"/>
    <n v="33.03"/>
    <n v="8.36"/>
    <x v="381"/>
    <n v="38"/>
    <n v="1"/>
    <n v="273146.2"/>
    <n v="273146.2"/>
  </r>
  <r>
    <s v="INV0416"/>
    <s v="Male"/>
    <n v="42"/>
    <x v="2"/>
    <s v="Consumer Goods"/>
    <x v="1"/>
    <n v="829978"/>
    <n v="34.43"/>
    <n v="17.25"/>
    <x v="382"/>
    <n v="190"/>
    <n v="3"/>
    <n v="82997.8"/>
    <n v="248993.40000000002"/>
  </r>
  <r>
    <s v="INV0417"/>
    <s v="Male"/>
    <n v="53"/>
    <x v="0"/>
    <s v="Finance"/>
    <x v="4"/>
    <n v="3545017"/>
    <n v="30.16"/>
    <n v="10.48"/>
    <x v="383"/>
    <n v="166"/>
    <n v="4"/>
    <n v="354501.7"/>
    <n v="1418006.8"/>
  </r>
  <r>
    <s v="INV0418"/>
    <s v="Female"/>
    <n v="65"/>
    <x v="3"/>
    <s v="Consumer Goods"/>
    <x v="5"/>
    <n v="1879311"/>
    <n v="10.01"/>
    <n v="43.89"/>
    <x v="384"/>
    <n v="293"/>
    <n v="1"/>
    <n v="187931.1"/>
    <n v="187931.1"/>
  </r>
  <r>
    <s v="INV0419"/>
    <s v="Male"/>
    <n v="33"/>
    <x v="2"/>
    <s v="Agriculture"/>
    <x v="4"/>
    <n v="1621981"/>
    <n v="6.74"/>
    <n v="19.579999999999998"/>
    <x v="385"/>
    <n v="249"/>
    <n v="2"/>
    <n v="162198.1"/>
    <n v="324396.2"/>
  </r>
  <r>
    <s v="INV0420"/>
    <s v="Female"/>
    <n v="53"/>
    <x v="0"/>
    <s v="Healthcare"/>
    <x v="3"/>
    <n v="2817853"/>
    <n v="27.26"/>
    <n v="34.590000000000003"/>
    <x v="386"/>
    <n v="215"/>
    <n v="2"/>
    <n v="281785.3"/>
    <n v="563570.6"/>
  </r>
  <r>
    <s v="INV0421"/>
    <s v="Female"/>
    <n v="38"/>
    <x v="4"/>
    <s v="Agriculture"/>
    <x v="2"/>
    <n v="4404107"/>
    <n v="26.04"/>
    <n v="11.59"/>
    <x v="387"/>
    <n v="332"/>
    <n v="2"/>
    <n v="440410.7"/>
    <n v="880821.4"/>
  </r>
  <r>
    <s v="INV0422"/>
    <s v="Female"/>
    <n v="25"/>
    <x v="1"/>
    <s v="Technology"/>
    <x v="5"/>
    <n v="1674429"/>
    <n v="14.19"/>
    <n v="42.1"/>
    <x v="107"/>
    <n v="98"/>
    <n v="3"/>
    <n v="167442.90000000002"/>
    <n v="502328.70000000007"/>
  </r>
  <r>
    <s v="INV0423"/>
    <s v="Female"/>
    <n v="33"/>
    <x v="1"/>
    <s v="Finance"/>
    <x v="1"/>
    <n v="56032"/>
    <n v="28.1"/>
    <n v="43.69"/>
    <x v="336"/>
    <n v="332"/>
    <n v="5"/>
    <n v="5603.2000000000007"/>
    <n v="28016.000000000004"/>
  </r>
  <r>
    <s v="INV0424"/>
    <s v="Female"/>
    <n v="42"/>
    <x v="4"/>
    <s v="Finance"/>
    <x v="5"/>
    <n v="2998416"/>
    <n v="17.86"/>
    <n v="40.340000000000003"/>
    <x v="388"/>
    <n v="330"/>
    <n v="1"/>
    <n v="299841.60000000003"/>
    <n v="299841.60000000003"/>
  </r>
  <r>
    <s v="INV0425"/>
    <s v="Male"/>
    <n v="27"/>
    <x v="0"/>
    <s v="Technology"/>
    <x v="1"/>
    <n v="1956860"/>
    <n v="17.3"/>
    <n v="10.39"/>
    <x v="75"/>
    <n v="156"/>
    <n v="5"/>
    <n v="195686"/>
    <n v="978430"/>
  </r>
  <r>
    <s v="INV0426"/>
    <s v="Female"/>
    <n v="34"/>
    <x v="1"/>
    <s v="Healthcare"/>
    <x v="4"/>
    <n v="1707058"/>
    <n v="14.91"/>
    <n v="-5.66"/>
    <x v="389"/>
    <n v="330"/>
    <n v="8"/>
    <n v="170705.80000000002"/>
    <n v="1365646.4000000001"/>
  </r>
  <r>
    <s v="INV0427"/>
    <s v="Male"/>
    <n v="54"/>
    <x v="2"/>
    <s v="Technology"/>
    <x v="4"/>
    <n v="3733978"/>
    <n v="6.52"/>
    <n v="-6.93"/>
    <x v="390"/>
    <n v="108"/>
    <n v="5"/>
    <n v="373397.80000000005"/>
    <n v="1866989.0000000002"/>
  </r>
  <r>
    <s v="INV0428"/>
    <s v="Male"/>
    <n v="47"/>
    <x v="1"/>
    <s v="Agriculture"/>
    <x v="4"/>
    <n v="2547385"/>
    <n v="24.73"/>
    <n v="6.66"/>
    <x v="391"/>
    <n v="273"/>
    <n v="5"/>
    <n v="254738.5"/>
    <n v="1273692.5"/>
  </r>
  <r>
    <s v="INV0429"/>
    <s v="Female"/>
    <n v="26"/>
    <x v="4"/>
    <s v="Consumer Goods"/>
    <x v="1"/>
    <n v="231613"/>
    <n v="10.92"/>
    <n v="35.24"/>
    <x v="392"/>
    <n v="92"/>
    <n v="5"/>
    <n v="23161.300000000003"/>
    <n v="115806.50000000001"/>
  </r>
  <r>
    <s v="INV0430"/>
    <s v="Female"/>
    <n v="60"/>
    <x v="3"/>
    <s v="Finance"/>
    <x v="2"/>
    <n v="2122436"/>
    <n v="20.23"/>
    <n v="39.25"/>
    <x v="393"/>
    <n v="362"/>
    <n v="2"/>
    <n v="212243.6"/>
    <n v="424487.2"/>
  </r>
  <r>
    <s v="INV0431"/>
    <s v="Male"/>
    <n v="53"/>
    <x v="0"/>
    <s v="Technology"/>
    <x v="0"/>
    <n v="4894450"/>
    <n v="14.71"/>
    <n v="24.35"/>
    <x v="394"/>
    <n v="151"/>
    <n v="3"/>
    <n v="489445"/>
    <n v="1468335"/>
  </r>
  <r>
    <s v="INV0432"/>
    <s v="Female"/>
    <n v="41"/>
    <x v="0"/>
    <s v="Agriculture"/>
    <x v="1"/>
    <n v="2507490"/>
    <n v="18.13"/>
    <n v="16.29"/>
    <x v="395"/>
    <n v="319"/>
    <n v="5"/>
    <n v="250749"/>
    <n v="1253745"/>
  </r>
  <r>
    <s v="INV0433"/>
    <s v="Female"/>
    <n v="48"/>
    <x v="3"/>
    <s v="Healthcare"/>
    <x v="1"/>
    <n v="459801"/>
    <n v="24.91"/>
    <n v="28.09"/>
    <x v="106"/>
    <n v="237"/>
    <n v="5"/>
    <n v="45980.100000000006"/>
    <n v="229900.50000000003"/>
  </r>
  <r>
    <s v="INV0434"/>
    <s v="Male"/>
    <n v="63"/>
    <x v="1"/>
    <s v="Agriculture"/>
    <x v="4"/>
    <n v="3273914"/>
    <n v="7.02"/>
    <n v="4.93"/>
    <x v="396"/>
    <n v="280"/>
    <n v="2"/>
    <n v="327391.40000000002"/>
    <n v="654782.80000000005"/>
  </r>
  <r>
    <s v="INV0435"/>
    <s v="Female"/>
    <n v="41"/>
    <x v="4"/>
    <s v="Finance"/>
    <x v="1"/>
    <n v="633933"/>
    <n v="19.71"/>
    <n v="12.31"/>
    <x v="247"/>
    <n v="121"/>
    <n v="4"/>
    <n v="63393.3"/>
    <n v="253573.2"/>
  </r>
  <r>
    <s v="INV0436"/>
    <s v="Male"/>
    <n v="36"/>
    <x v="0"/>
    <s v="Finance"/>
    <x v="4"/>
    <n v="2736159"/>
    <n v="13"/>
    <n v="43.2"/>
    <x v="397"/>
    <n v="336"/>
    <n v="3"/>
    <n v="273615.90000000002"/>
    <n v="820847.70000000007"/>
  </r>
  <r>
    <s v="INV0437"/>
    <s v="Female"/>
    <n v="24"/>
    <x v="0"/>
    <s v="Agriculture"/>
    <x v="2"/>
    <n v="2763799"/>
    <n v="25.8"/>
    <n v="26.46"/>
    <x v="398"/>
    <n v="91"/>
    <n v="4"/>
    <n v="276379.90000000002"/>
    <n v="1105519.6000000001"/>
  </r>
  <r>
    <s v="INV0438"/>
    <s v="Male"/>
    <n v="60"/>
    <x v="1"/>
    <s v="Healthcare"/>
    <x v="2"/>
    <n v="1042316"/>
    <n v="29.49"/>
    <n v="5.56"/>
    <x v="399"/>
    <n v="32"/>
    <n v="7"/>
    <n v="104231.6"/>
    <n v="729621.20000000007"/>
  </r>
  <r>
    <s v="INV0439"/>
    <s v="Male"/>
    <n v="35"/>
    <x v="3"/>
    <s v="Energy"/>
    <x v="0"/>
    <n v="3866600"/>
    <n v="17.89"/>
    <n v="25.55"/>
    <x v="400"/>
    <n v="149"/>
    <n v="2"/>
    <n v="386660"/>
    <n v="773320"/>
  </r>
  <r>
    <s v="INV0440"/>
    <s v="Female"/>
    <n v="53"/>
    <x v="3"/>
    <s v="Technology"/>
    <x v="3"/>
    <n v="277267"/>
    <n v="34.619999999999997"/>
    <n v="-1.1299999999999999"/>
    <x v="401"/>
    <n v="102"/>
    <n v="8"/>
    <n v="27726.7"/>
    <n v="221813.6"/>
  </r>
  <r>
    <s v="INV0441"/>
    <s v="Male"/>
    <n v="60"/>
    <x v="0"/>
    <s v="Healthcare"/>
    <x v="2"/>
    <n v="3855640"/>
    <n v="17.079999999999998"/>
    <n v="20.38"/>
    <x v="402"/>
    <n v="202"/>
    <n v="2"/>
    <n v="385564"/>
    <n v="771128"/>
  </r>
  <r>
    <s v="INV0442"/>
    <s v="Female"/>
    <n v="52"/>
    <x v="0"/>
    <s v="Technology"/>
    <x v="0"/>
    <n v="2766967"/>
    <n v="23.11"/>
    <n v="21.37"/>
    <x v="403"/>
    <n v="298"/>
    <n v="6"/>
    <n v="276696.7"/>
    <n v="1660180.2000000002"/>
  </r>
  <r>
    <s v="INV0443"/>
    <s v="Male"/>
    <n v="58"/>
    <x v="2"/>
    <s v="Technology"/>
    <x v="0"/>
    <n v="2232369"/>
    <n v="29.42"/>
    <n v="42.07"/>
    <x v="404"/>
    <n v="38"/>
    <n v="3"/>
    <n v="223236.90000000002"/>
    <n v="669710.70000000007"/>
  </r>
  <r>
    <s v="INV0444"/>
    <s v="Female"/>
    <n v="64"/>
    <x v="3"/>
    <s v="Energy"/>
    <x v="0"/>
    <n v="4534450"/>
    <n v="19.420000000000002"/>
    <n v="36.17"/>
    <x v="67"/>
    <n v="278"/>
    <n v="3"/>
    <n v="453445"/>
    <n v="1360335"/>
  </r>
  <r>
    <s v="INV0445"/>
    <s v="Male"/>
    <n v="41"/>
    <x v="4"/>
    <s v="Healthcare"/>
    <x v="5"/>
    <n v="3131575"/>
    <n v="9.85"/>
    <n v="15.39"/>
    <x v="405"/>
    <n v="361"/>
    <n v="6"/>
    <n v="313157.5"/>
    <n v="1878945"/>
  </r>
  <r>
    <s v="INV0446"/>
    <s v="Female"/>
    <n v="59"/>
    <x v="1"/>
    <s v="Energy"/>
    <x v="3"/>
    <n v="2720547"/>
    <n v="31.77"/>
    <n v="-1.5"/>
    <x v="406"/>
    <n v="55"/>
    <n v="7"/>
    <n v="272054.7"/>
    <n v="1904382.9000000001"/>
  </r>
  <r>
    <s v="INV0447"/>
    <s v="Female"/>
    <n v="64"/>
    <x v="2"/>
    <s v="Technology"/>
    <x v="2"/>
    <n v="546705"/>
    <n v="15.55"/>
    <n v="31.51"/>
    <x v="407"/>
    <n v="365"/>
    <n v="2"/>
    <n v="54670.5"/>
    <n v="109341"/>
  </r>
  <r>
    <s v="INV0448"/>
    <s v="Male"/>
    <n v="37"/>
    <x v="0"/>
    <s v="Energy"/>
    <x v="5"/>
    <n v="4242337"/>
    <n v="27.39"/>
    <n v="6.16"/>
    <x v="408"/>
    <n v="333"/>
    <n v="4"/>
    <n v="424233.7"/>
    <n v="1696934.8"/>
  </r>
  <r>
    <s v="INV0449"/>
    <s v="Male"/>
    <n v="30"/>
    <x v="3"/>
    <s v="Consumer Goods"/>
    <x v="1"/>
    <n v="4379024"/>
    <n v="5.91"/>
    <n v="5.86"/>
    <x v="409"/>
    <n v="260"/>
    <n v="4"/>
    <n v="437902.4"/>
    <n v="1751609.6"/>
  </r>
  <r>
    <s v="INV0450"/>
    <s v="Female"/>
    <n v="53"/>
    <x v="0"/>
    <s v="Finance"/>
    <x v="5"/>
    <n v="2343358"/>
    <n v="15.03"/>
    <n v="25.9"/>
    <x v="410"/>
    <n v="332"/>
    <n v="5"/>
    <n v="234335.80000000002"/>
    <n v="1171679"/>
  </r>
  <r>
    <s v="INV0451"/>
    <s v="Female"/>
    <n v="63"/>
    <x v="2"/>
    <s v="Consumer Goods"/>
    <x v="4"/>
    <n v="2395112"/>
    <n v="32.020000000000003"/>
    <n v="1.6"/>
    <x v="411"/>
    <n v="66"/>
    <n v="7"/>
    <n v="239511.2"/>
    <n v="1676578.4000000001"/>
  </r>
  <r>
    <s v="INV0452"/>
    <s v="Male"/>
    <n v="44"/>
    <x v="0"/>
    <s v="Healthcare"/>
    <x v="0"/>
    <n v="4031968"/>
    <n v="22.77"/>
    <n v="41.58"/>
    <x v="412"/>
    <n v="76"/>
    <n v="5"/>
    <n v="403196.80000000005"/>
    <n v="2015984.0000000002"/>
  </r>
  <r>
    <s v="INV0453"/>
    <s v="Male"/>
    <n v="44"/>
    <x v="0"/>
    <s v="Agriculture"/>
    <x v="1"/>
    <n v="682376"/>
    <n v="16.899999999999999"/>
    <n v="29.99"/>
    <x v="413"/>
    <n v="155"/>
    <n v="6"/>
    <n v="68237.600000000006"/>
    <n v="409425.60000000003"/>
  </r>
  <r>
    <s v="INV0454"/>
    <s v="Male"/>
    <n v="47"/>
    <x v="1"/>
    <s v="Agriculture"/>
    <x v="3"/>
    <n v="4847536"/>
    <n v="14.87"/>
    <n v="20.09"/>
    <x v="414"/>
    <n v="42"/>
    <n v="5"/>
    <n v="484753.60000000003"/>
    <n v="2423768"/>
  </r>
  <r>
    <s v="INV0455"/>
    <s v="Male"/>
    <n v="61"/>
    <x v="4"/>
    <s v="Finance"/>
    <x v="2"/>
    <n v="2641784"/>
    <n v="8.34"/>
    <n v="41.14"/>
    <x v="415"/>
    <n v="73"/>
    <n v="1"/>
    <n v="264178.40000000002"/>
    <n v="264178.40000000002"/>
  </r>
  <r>
    <s v="INV0456"/>
    <s v="Female"/>
    <n v="54"/>
    <x v="3"/>
    <s v="Agriculture"/>
    <x v="2"/>
    <n v="2048635"/>
    <n v="17.93"/>
    <n v="12.47"/>
    <x v="124"/>
    <n v="160"/>
    <n v="5"/>
    <n v="204863.5"/>
    <n v="1024317.5"/>
  </r>
  <r>
    <s v="INV0457"/>
    <s v="Female"/>
    <n v="25"/>
    <x v="3"/>
    <s v="Energy"/>
    <x v="1"/>
    <n v="921492"/>
    <n v="6.28"/>
    <n v="18.32"/>
    <x v="416"/>
    <n v="351"/>
    <n v="4"/>
    <n v="92149.200000000012"/>
    <n v="368596.80000000005"/>
  </r>
  <r>
    <s v="INV0458"/>
    <s v="Female"/>
    <n v="33"/>
    <x v="4"/>
    <s v="Finance"/>
    <x v="2"/>
    <n v="4286266"/>
    <n v="32.57"/>
    <n v="28.72"/>
    <x v="417"/>
    <n v="332"/>
    <n v="8"/>
    <n v="428626.60000000003"/>
    <n v="3429012.8000000003"/>
  </r>
  <r>
    <s v="INV0459"/>
    <s v="Male"/>
    <n v="50"/>
    <x v="3"/>
    <s v="Agriculture"/>
    <x v="5"/>
    <n v="4928607"/>
    <n v="9.4700000000000006"/>
    <n v="44.93"/>
    <x v="418"/>
    <n v="94"/>
    <n v="4"/>
    <n v="492860.7"/>
    <n v="1971442.8"/>
  </r>
  <r>
    <s v="INV0460"/>
    <s v="Female"/>
    <n v="24"/>
    <x v="2"/>
    <s v="Consumer Goods"/>
    <x v="3"/>
    <n v="4627814"/>
    <n v="8.56"/>
    <n v="5.32"/>
    <x v="419"/>
    <n v="195"/>
    <n v="2"/>
    <n v="462781.4"/>
    <n v="925562.8"/>
  </r>
  <r>
    <s v="INV0461"/>
    <s v="Male"/>
    <n v="25"/>
    <x v="0"/>
    <s v="Healthcare"/>
    <x v="2"/>
    <n v="204632"/>
    <n v="7.62"/>
    <n v="5.9"/>
    <x v="420"/>
    <n v="117"/>
    <n v="4"/>
    <n v="20463.2"/>
    <n v="81852.800000000003"/>
  </r>
  <r>
    <s v="INV0462"/>
    <s v="Male"/>
    <n v="56"/>
    <x v="3"/>
    <s v="Technology"/>
    <x v="4"/>
    <n v="2974151"/>
    <n v="10.28"/>
    <n v="27.23"/>
    <x v="421"/>
    <n v="84"/>
    <n v="7"/>
    <n v="297415.10000000003"/>
    <n v="2081905.7000000002"/>
  </r>
  <r>
    <s v="INV0463"/>
    <s v="Female"/>
    <n v="55"/>
    <x v="4"/>
    <s v="Consumer Goods"/>
    <x v="4"/>
    <n v="1802914"/>
    <n v="25.93"/>
    <n v="11.93"/>
    <x v="422"/>
    <n v="159"/>
    <n v="4"/>
    <n v="180291.40000000002"/>
    <n v="721165.60000000009"/>
  </r>
  <r>
    <s v="INV0464"/>
    <s v="Male"/>
    <n v="40"/>
    <x v="0"/>
    <s v="Energy"/>
    <x v="0"/>
    <n v="808165"/>
    <n v="13.99"/>
    <n v="-5.15"/>
    <x v="423"/>
    <n v="76"/>
    <n v="1"/>
    <n v="80816.5"/>
    <n v="80816.5"/>
  </r>
  <r>
    <s v="INV0465"/>
    <s v="Female"/>
    <n v="60"/>
    <x v="2"/>
    <s v="Agriculture"/>
    <x v="2"/>
    <n v="3206026"/>
    <n v="19.739999999999998"/>
    <n v="1.97"/>
    <x v="424"/>
    <n v="85"/>
    <n v="1"/>
    <n v="320602.60000000003"/>
    <n v="320602.60000000003"/>
  </r>
  <r>
    <s v="INV0466"/>
    <s v="Female"/>
    <n v="41"/>
    <x v="4"/>
    <s v="Technology"/>
    <x v="1"/>
    <n v="4938652"/>
    <n v="23.71"/>
    <n v="3.04"/>
    <x v="425"/>
    <n v="173"/>
    <n v="3"/>
    <n v="493865.2"/>
    <n v="1481595.6"/>
  </r>
  <r>
    <s v="INV0467"/>
    <s v="Male"/>
    <n v="26"/>
    <x v="4"/>
    <s v="Consumer Goods"/>
    <x v="2"/>
    <n v="2349472"/>
    <n v="19.96"/>
    <n v="36.36"/>
    <x v="426"/>
    <n v="42"/>
    <n v="5"/>
    <n v="234947.20000000001"/>
    <n v="1174736"/>
  </r>
  <r>
    <s v="INV0468"/>
    <s v="Female"/>
    <n v="33"/>
    <x v="0"/>
    <s v="Agriculture"/>
    <x v="3"/>
    <n v="4269660"/>
    <n v="7.21"/>
    <n v="2.59"/>
    <x v="427"/>
    <n v="140"/>
    <n v="6"/>
    <n v="426966"/>
    <n v="2561796"/>
  </r>
  <r>
    <s v="INV0469"/>
    <s v="Female"/>
    <n v="22"/>
    <x v="0"/>
    <s v="Healthcare"/>
    <x v="3"/>
    <n v="4159437"/>
    <n v="22.33"/>
    <n v="29.16"/>
    <x v="428"/>
    <n v="267"/>
    <n v="5"/>
    <n v="415943.7"/>
    <n v="2079718.5"/>
  </r>
  <r>
    <s v="INV0470"/>
    <s v="Female"/>
    <n v="59"/>
    <x v="2"/>
    <s v="Consumer Goods"/>
    <x v="2"/>
    <n v="4528640"/>
    <n v="20.94"/>
    <n v="16.47"/>
    <x v="284"/>
    <n v="183"/>
    <n v="6"/>
    <n v="452864"/>
    <n v="2717184"/>
  </r>
  <r>
    <s v="INV0471"/>
    <s v="Male"/>
    <n v="63"/>
    <x v="3"/>
    <s v="Technology"/>
    <x v="5"/>
    <n v="3270605"/>
    <n v="23.93"/>
    <n v="-2.27"/>
    <x v="429"/>
    <n v="172"/>
    <n v="7"/>
    <n v="327060.5"/>
    <n v="2289423.5"/>
  </r>
  <r>
    <s v="INV0472"/>
    <s v="Female"/>
    <n v="27"/>
    <x v="2"/>
    <s v="Finance"/>
    <x v="5"/>
    <n v="3979757"/>
    <n v="11.46"/>
    <n v="20.77"/>
    <x v="430"/>
    <n v="84"/>
    <n v="6"/>
    <n v="397975.7"/>
    <n v="2387854.2000000002"/>
  </r>
  <r>
    <s v="INV0473"/>
    <s v="Female"/>
    <n v="23"/>
    <x v="4"/>
    <s v="Agriculture"/>
    <x v="4"/>
    <n v="3568943"/>
    <n v="15.08"/>
    <n v="17.88"/>
    <x v="431"/>
    <n v="17"/>
    <n v="4"/>
    <n v="356894.30000000005"/>
    <n v="1427577.2000000002"/>
  </r>
  <r>
    <s v="INV0474"/>
    <s v="Male"/>
    <n v="30"/>
    <x v="3"/>
    <s v="Technology"/>
    <x v="0"/>
    <n v="637323"/>
    <n v="21.92"/>
    <n v="-6.78"/>
    <x v="432"/>
    <n v="136"/>
    <n v="8"/>
    <n v="63732.3"/>
    <n v="509858.4"/>
  </r>
  <r>
    <s v="INV0475"/>
    <s v="Male"/>
    <n v="28"/>
    <x v="3"/>
    <s v="Consumer Goods"/>
    <x v="1"/>
    <n v="2247831"/>
    <n v="34.26"/>
    <n v="15.48"/>
    <x v="433"/>
    <n v="342"/>
    <n v="3"/>
    <n v="224783.1"/>
    <n v="674349.3"/>
  </r>
  <r>
    <s v="INV0476"/>
    <s v="Male"/>
    <n v="49"/>
    <x v="2"/>
    <s v="Healthcare"/>
    <x v="4"/>
    <n v="636721"/>
    <n v="18.75"/>
    <n v="29.29"/>
    <x v="230"/>
    <n v="89"/>
    <n v="4"/>
    <n v="63672.100000000006"/>
    <n v="254688.40000000002"/>
  </r>
  <r>
    <s v="INV0477"/>
    <s v="Female"/>
    <n v="52"/>
    <x v="4"/>
    <s v="Finance"/>
    <x v="1"/>
    <n v="4183596"/>
    <n v="12.15"/>
    <n v="15.91"/>
    <x v="434"/>
    <n v="108"/>
    <n v="7"/>
    <n v="418359.60000000003"/>
    <n v="2928517.2"/>
  </r>
  <r>
    <s v="INV0478"/>
    <s v="Male"/>
    <n v="51"/>
    <x v="3"/>
    <s v="Energy"/>
    <x v="4"/>
    <n v="1185697"/>
    <n v="20.11"/>
    <n v="36.6"/>
    <x v="435"/>
    <n v="20"/>
    <n v="8"/>
    <n v="118569.70000000001"/>
    <n v="948557.60000000009"/>
  </r>
  <r>
    <s v="INV0479"/>
    <s v="Male"/>
    <n v="63"/>
    <x v="1"/>
    <s v="Finance"/>
    <x v="3"/>
    <n v="3562372"/>
    <n v="33.950000000000003"/>
    <n v="-1.89"/>
    <x v="436"/>
    <n v="65"/>
    <n v="6"/>
    <n v="356237.2"/>
    <n v="2137423.2000000002"/>
  </r>
  <r>
    <s v="INV0480"/>
    <s v="Female"/>
    <n v="58"/>
    <x v="1"/>
    <s v="Finance"/>
    <x v="0"/>
    <n v="4202753"/>
    <n v="7.84"/>
    <n v="-7.56"/>
    <x v="437"/>
    <n v="114"/>
    <n v="4"/>
    <n v="420275.30000000005"/>
    <n v="1681101.2000000002"/>
  </r>
  <r>
    <s v="INV0481"/>
    <s v="Female"/>
    <n v="51"/>
    <x v="2"/>
    <s v="Agriculture"/>
    <x v="5"/>
    <n v="2095006"/>
    <n v="14.46"/>
    <n v="-1.38"/>
    <x v="438"/>
    <n v="33"/>
    <n v="6"/>
    <n v="209500.6"/>
    <n v="1257003.6000000001"/>
  </r>
  <r>
    <s v="INV0482"/>
    <s v="Female"/>
    <n v="25"/>
    <x v="2"/>
    <s v="Healthcare"/>
    <x v="3"/>
    <n v="3578639"/>
    <n v="28.71"/>
    <n v="44.62"/>
    <x v="439"/>
    <n v="152"/>
    <n v="3"/>
    <n v="357863.9"/>
    <n v="1073591.7000000002"/>
  </r>
  <r>
    <s v="INV0483"/>
    <s v="Male"/>
    <n v="63"/>
    <x v="2"/>
    <s v="Healthcare"/>
    <x v="3"/>
    <n v="1127606"/>
    <n v="8.89"/>
    <n v="2.08"/>
    <x v="440"/>
    <n v="304"/>
    <n v="2"/>
    <n v="112760.6"/>
    <n v="225521.2"/>
  </r>
  <r>
    <s v="INV0484"/>
    <s v="Female"/>
    <n v="26"/>
    <x v="3"/>
    <s v="Energy"/>
    <x v="5"/>
    <n v="2244682"/>
    <n v="14.45"/>
    <n v="-8.19"/>
    <x v="441"/>
    <n v="200"/>
    <n v="6"/>
    <n v="224468.2"/>
    <n v="1346809.2000000002"/>
  </r>
  <r>
    <s v="INV0485"/>
    <s v="Male"/>
    <n v="34"/>
    <x v="1"/>
    <s v="Consumer Goods"/>
    <x v="4"/>
    <n v="4250353"/>
    <n v="9.35"/>
    <n v="29.55"/>
    <x v="442"/>
    <n v="252"/>
    <n v="7"/>
    <n v="425035.30000000005"/>
    <n v="2975247.1000000006"/>
  </r>
  <r>
    <s v="INV0486"/>
    <s v="Female"/>
    <n v="24"/>
    <x v="0"/>
    <s v="Consumer Goods"/>
    <x v="1"/>
    <n v="3587485"/>
    <n v="11.31"/>
    <n v="41"/>
    <x v="443"/>
    <n v="111"/>
    <n v="2"/>
    <n v="358748.5"/>
    <n v="717497"/>
  </r>
  <r>
    <s v="INV0487"/>
    <s v="Female"/>
    <n v="41"/>
    <x v="3"/>
    <s v="Healthcare"/>
    <x v="2"/>
    <n v="1304052"/>
    <n v="23.29"/>
    <n v="-1.93"/>
    <x v="444"/>
    <n v="283"/>
    <n v="3"/>
    <n v="130405.20000000001"/>
    <n v="391215.60000000003"/>
  </r>
  <r>
    <s v="INV0488"/>
    <s v="Male"/>
    <n v="61"/>
    <x v="1"/>
    <s v="Finance"/>
    <x v="4"/>
    <n v="923680"/>
    <n v="31.16"/>
    <n v="37.01"/>
    <x v="445"/>
    <n v="290"/>
    <n v="4"/>
    <n v="92368"/>
    <n v="369472"/>
  </r>
  <r>
    <s v="INV0489"/>
    <s v="Female"/>
    <n v="49"/>
    <x v="0"/>
    <s v="Consumer Goods"/>
    <x v="1"/>
    <n v="3617916"/>
    <n v="17"/>
    <n v="5.97"/>
    <x v="446"/>
    <n v="133"/>
    <n v="1"/>
    <n v="361791.60000000003"/>
    <n v="361791.60000000003"/>
  </r>
  <r>
    <s v="INV0490"/>
    <s v="Female"/>
    <n v="27"/>
    <x v="3"/>
    <s v="Healthcare"/>
    <x v="0"/>
    <n v="4780418"/>
    <n v="24.91"/>
    <n v="-6.65"/>
    <x v="169"/>
    <n v="164"/>
    <n v="8"/>
    <n v="478041.80000000005"/>
    <n v="3824334.4000000004"/>
  </r>
  <r>
    <s v="INV0491"/>
    <s v="Female"/>
    <n v="53"/>
    <x v="1"/>
    <s v="Consumer Goods"/>
    <x v="1"/>
    <n v="3316019"/>
    <n v="7.83"/>
    <n v="-9.75"/>
    <x v="447"/>
    <n v="72"/>
    <n v="5"/>
    <n v="331601.90000000002"/>
    <n v="1658009.5"/>
  </r>
  <r>
    <s v="INV0492"/>
    <s v="Male"/>
    <n v="61"/>
    <x v="3"/>
    <s v="Agriculture"/>
    <x v="2"/>
    <n v="3391202"/>
    <n v="29.66"/>
    <n v="29.67"/>
    <x v="448"/>
    <n v="130"/>
    <n v="2"/>
    <n v="339120.2"/>
    <n v="678240.4"/>
  </r>
  <r>
    <s v="INV0493"/>
    <s v="Male"/>
    <n v="56"/>
    <x v="1"/>
    <s v="Energy"/>
    <x v="5"/>
    <n v="204814"/>
    <n v="26.47"/>
    <n v="-7.51"/>
    <x v="449"/>
    <n v="109"/>
    <n v="5"/>
    <n v="20481.400000000001"/>
    <n v="102407"/>
  </r>
  <r>
    <s v="INV0494"/>
    <s v="Female"/>
    <n v="36"/>
    <x v="0"/>
    <s v="Consumer Goods"/>
    <x v="4"/>
    <n v="1847047"/>
    <n v="5.34"/>
    <n v="3.91"/>
    <x v="450"/>
    <n v="365"/>
    <n v="3"/>
    <n v="184704.7"/>
    <n v="554114.10000000009"/>
  </r>
  <r>
    <s v="INV0495"/>
    <s v="Male"/>
    <n v="49"/>
    <x v="2"/>
    <s v="Energy"/>
    <x v="2"/>
    <n v="963644"/>
    <n v="34.11"/>
    <n v="12.92"/>
    <x v="451"/>
    <n v="86"/>
    <n v="6"/>
    <n v="96364.400000000009"/>
    <n v="578186.4"/>
  </r>
  <r>
    <s v="INV0496"/>
    <s v="Female"/>
    <n v="65"/>
    <x v="2"/>
    <s v="Consumer Goods"/>
    <x v="1"/>
    <n v="2813164"/>
    <n v="16.760000000000002"/>
    <n v="29.73"/>
    <x v="452"/>
    <n v="189"/>
    <n v="8"/>
    <n v="281316.40000000002"/>
    <n v="2250531.2000000002"/>
  </r>
  <r>
    <s v="INV0497"/>
    <s v="Female"/>
    <n v="52"/>
    <x v="0"/>
    <s v="Agriculture"/>
    <x v="4"/>
    <n v="203375"/>
    <n v="7.77"/>
    <n v="9.49"/>
    <x v="248"/>
    <n v="270"/>
    <n v="7"/>
    <n v="20337.5"/>
    <n v="142362.5"/>
  </r>
  <r>
    <s v="INV0498"/>
    <s v="Female"/>
    <n v="46"/>
    <x v="2"/>
    <s v="Agriculture"/>
    <x v="4"/>
    <n v="2426201"/>
    <n v="24.11"/>
    <n v="-5.21"/>
    <x v="453"/>
    <n v="99"/>
    <n v="4"/>
    <n v="242620.1"/>
    <n v="970480.4"/>
  </r>
  <r>
    <s v="INV0499"/>
    <s v="Female"/>
    <n v="55"/>
    <x v="1"/>
    <s v="Energy"/>
    <x v="4"/>
    <n v="4150352"/>
    <n v="28.95"/>
    <n v="38.75"/>
    <x v="454"/>
    <n v="259"/>
    <n v="4"/>
    <n v="415035.2"/>
    <n v="1660140.8"/>
  </r>
  <r>
    <s v="INV0500"/>
    <s v="Female"/>
    <n v="32"/>
    <x v="0"/>
    <s v="Consumer Goods"/>
    <x v="0"/>
    <n v="1151215"/>
    <n v="27.92"/>
    <n v="9.06"/>
    <x v="455"/>
    <n v="272"/>
    <n v="8"/>
    <n v="115121.5"/>
    <n v="920972"/>
  </r>
  <r>
    <s v="INV0501"/>
    <s v="Female"/>
    <n v="34"/>
    <x v="4"/>
    <s v="Finance"/>
    <x v="5"/>
    <n v="3329580"/>
    <n v="10.19"/>
    <n v="-7.4"/>
    <x v="456"/>
    <n v="278"/>
    <n v="3"/>
    <n v="332958"/>
    <n v="998874"/>
  </r>
  <r>
    <s v="INV0502"/>
    <s v="Male"/>
    <n v="24"/>
    <x v="0"/>
    <s v="Consumer Goods"/>
    <x v="2"/>
    <n v="791301"/>
    <n v="8.06"/>
    <n v="30.15"/>
    <x v="457"/>
    <n v="311"/>
    <n v="5"/>
    <n v="79130.100000000006"/>
    <n v="395650.5"/>
  </r>
  <r>
    <s v="INV0503"/>
    <s v="Male"/>
    <n v="43"/>
    <x v="4"/>
    <s v="Healthcare"/>
    <x v="3"/>
    <n v="1866966"/>
    <n v="26.16"/>
    <n v="-8.4600000000000009"/>
    <x v="458"/>
    <n v="101"/>
    <n v="6"/>
    <n v="186696.6"/>
    <n v="1120179.6000000001"/>
  </r>
  <r>
    <s v="INV0504"/>
    <s v="Male"/>
    <n v="63"/>
    <x v="4"/>
    <s v="Healthcare"/>
    <x v="2"/>
    <n v="4375339"/>
    <n v="16.87"/>
    <n v="35.979999999999997"/>
    <x v="459"/>
    <n v="248"/>
    <n v="4"/>
    <n v="437533.9"/>
    <n v="1750135.6"/>
  </r>
  <r>
    <s v="INV0505"/>
    <s v="Female"/>
    <n v="51"/>
    <x v="4"/>
    <s v="Finance"/>
    <x v="4"/>
    <n v="1568055"/>
    <n v="6.56"/>
    <n v="-8.56"/>
    <x v="349"/>
    <n v="339"/>
    <n v="3"/>
    <n v="156805.5"/>
    <n v="470416.5"/>
  </r>
  <r>
    <s v="INV0506"/>
    <s v="Male"/>
    <n v="40"/>
    <x v="0"/>
    <s v="Finance"/>
    <x v="1"/>
    <n v="1712243"/>
    <n v="32.15"/>
    <n v="28.85"/>
    <x v="460"/>
    <n v="214"/>
    <n v="5"/>
    <n v="171224.30000000002"/>
    <n v="856121.50000000012"/>
  </r>
  <r>
    <s v="INV0507"/>
    <s v="Male"/>
    <n v="25"/>
    <x v="4"/>
    <s v="Finance"/>
    <x v="1"/>
    <n v="4550409"/>
    <n v="17.760000000000002"/>
    <n v="5.59"/>
    <x v="461"/>
    <n v="77"/>
    <n v="1"/>
    <n v="455040.9"/>
    <n v="455040.9"/>
  </r>
  <r>
    <s v="INV0508"/>
    <s v="Female"/>
    <n v="59"/>
    <x v="1"/>
    <s v="Agriculture"/>
    <x v="1"/>
    <n v="761347"/>
    <n v="12.71"/>
    <n v="32.86"/>
    <x v="107"/>
    <n v="89"/>
    <n v="3"/>
    <n v="76134.7"/>
    <n v="228404.09999999998"/>
  </r>
  <r>
    <s v="INV0509"/>
    <s v="Female"/>
    <n v="54"/>
    <x v="4"/>
    <s v="Consumer Goods"/>
    <x v="3"/>
    <n v="3466370"/>
    <n v="12.91"/>
    <n v="29.99"/>
    <x v="462"/>
    <n v="224"/>
    <n v="5"/>
    <n v="346637"/>
    <n v="1733185"/>
  </r>
  <r>
    <s v="INV0510"/>
    <s v="Male"/>
    <n v="30"/>
    <x v="1"/>
    <s v="Agriculture"/>
    <x v="4"/>
    <n v="4343851"/>
    <n v="16.21"/>
    <n v="28.72"/>
    <x v="125"/>
    <n v="300"/>
    <n v="5"/>
    <n v="434385.10000000003"/>
    <n v="2171925.5"/>
  </r>
  <r>
    <s v="INV0511"/>
    <s v="Female"/>
    <n v="37"/>
    <x v="4"/>
    <s v="Healthcare"/>
    <x v="3"/>
    <n v="4323803"/>
    <n v="18.559999999999999"/>
    <n v="2.75"/>
    <x v="463"/>
    <n v="248"/>
    <n v="2"/>
    <n v="432380.30000000005"/>
    <n v="864760.60000000009"/>
  </r>
  <r>
    <s v="INV0512"/>
    <s v="Male"/>
    <n v="59"/>
    <x v="3"/>
    <s v="Consumer Goods"/>
    <x v="4"/>
    <n v="2858370"/>
    <n v="13.62"/>
    <n v="18.600000000000001"/>
    <x v="464"/>
    <n v="192"/>
    <n v="8"/>
    <n v="285837"/>
    <n v="2286696"/>
  </r>
  <r>
    <s v="INV0513"/>
    <s v="Male"/>
    <n v="53"/>
    <x v="1"/>
    <s v="Consumer Goods"/>
    <x v="3"/>
    <n v="3622025"/>
    <n v="21.7"/>
    <n v="29.54"/>
    <x v="465"/>
    <n v="128"/>
    <n v="5"/>
    <n v="362202.5"/>
    <n v="1811012.5"/>
  </r>
  <r>
    <s v="INV0514"/>
    <s v="Male"/>
    <n v="53"/>
    <x v="2"/>
    <s v="Energy"/>
    <x v="3"/>
    <n v="611287"/>
    <n v="32.99"/>
    <n v="17.440000000000001"/>
    <x v="466"/>
    <n v="303"/>
    <n v="2"/>
    <n v="61128.700000000004"/>
    <n v="122257.40000000001"/>
  </r>
  <r>
    <s v="INV0515"/>
    <s v="Female"/>
    <n v="34"/>
    <x v="4"/>
    <s v="Technology"/>
    <x v="5"/>
    <n v="2059089"/>
    <n v="7.92"/>
    <n v="20.5"/>
    <x v="467"/>
    <n v="110"/>
    <n v="6"/>
    <n v="205908.90000000002"/>
    <n v="1235453.4000000001"/>
  </r>
  <r>
    <s v="INV0516"/>
    <s v="Female"/>
    <n v="57"/>
    <x v="0"/>
    <s v="Technology"/>
    <x v="4"/>
    <n v="1347305"/>
    <n v="31.7"/>
    <n v="0.84"/>
    <x v="468"/>
    <n v="10"/>
    <n v="2"/>
    <n v="134730.5"/>
    <n v="269461"/>
  </r>
  <r>
    <s v="INV0517"/>
    <s v="Female"/>
    <n v="65"/>
    <x v="4"/>
    <s v="Technology"/>
    <x v="0"/>
    <n v="468378"/>
    <n v="9.92"/>
    <n v="44.65"/>
    <x v="469"/>
    <n v="66"/>
    <n v="2"/>
    <n v="46837.8"/>
    <n v="93675.6"/>
  </r>
  <r>
    <s v="INV0518"/>
    <s v="Female"/>
    <n v="37"/>
    <x v="2"/>
    <s v="Finance"/>
    <x v="4"/>
    <n v="3006576"/>
    <n v="15.4"/>
    <n v="44.77"/>
    <x v="470"/>
    <n v="287"/>
    <n v="8"/>
    <n v="300657.60000000003"/>
    <n v="2405260.8000000003"/>
  </r>
  <r>
    <s v="INV0519"/>
    <s v="Male"/>
    <n v="50"/>
    <x v="2"/>
    <s v="Technology"/>
    <x v="4"/>
    <n v="3283907"/>
    <n v="12.93"/>
    <n v="33.340000000000003"/>
    <x v="471"/>
    <n v="141"/>
    <n v="3"/>
    <n v="328390.7"/>
    <n v="985172.10000000009"/>
  </r>
  <r>
    <s v="INV0520"/>
    <s v="Male"/>
    <n v="32"/>
    <x v="4"/>
    <s v="Healthcare"/>
    <x v="4"/>
    <n v="3842014"/>
    <n v="24.32"/>
    <n v="38.18"/>
    <x v="472"/>
    <n v="204"/>
    <n v="6"/>
    <n v="384201.4"/>
    <n v="2305208.4000000004"/>
  </r>
  <r>
    <s v="INV0521"/>
    <s v="Female"/>
    <n v="59"/>
    <x v="3"/>
    <s v="Agriculture"/>
    <x v="5"/>
    <n v="2476680"/>
    <n v="9.16"/>
    <n v="9.5500000000000007"/>
    <x v="473"/>
    <n v="102"/>
    <n v="4"/>
    <n v="247668"/>
    <n v="990672"/>
  </r>
  <r>
    <s v="INV0522"/>
    <s v="Male"/>
    <n v="51"/>
    <x v="4"/>
    <s v="Healthcare"/>
    <x v="0"/>
    <n v="830124"/>
    <n v="17.059999999999999"/>
    <n v="16.850000000000001"/>
    <x v="474"/>
    <n v="30"/>
    <n v="6"/>
    <n v="83012.400000000009"/>
    <n v="498074.4"/>
  </r>
  <r>
    <s v="INV0523"/>
    <s v="Male"/>
    <n v="46"/>
    <x v="0"/>
    <s v="Healthcare"/>
    <x v="0"/>
    <n v="1377316"/>
    <n v="22.01"/>
    <n v="6.53"/>
    <x v="475"/>
    <n v="88"/>
    <n v="7"/>
    <n v="137731.6"/>
    <n v="964121.20000000007"/>
  </r>
  <r>
    <s v="INV0524"/>
    <s v="Male"/>
    <n v="32"/>
    <x v="1"/>
    <s v="Healthcare"/>
    <x v="3"/>
    <n v="980153"/>
    <n v="29.08"/>
    <n v="-9.94"/>
    <x v="59"/>
    <n v="97"/>
    <n v="5"/>
    <n v="98015.3"/>
    <n v="490076.5"/>
  </r>
  <r>
    <s v="INV0525"/>
    <s v="Female"/>
    <n v="24"/>
    <x v="4"/>
    <s v="Finance"/>
    <x v="0"/>
    <n v="3368375"/>
    <n v="32.380000000000003"/>
    <n v="26.91"/>
    <x v="476"/>
    <n v="318"/>
    <n v="6"/>
    <n v="336837.5"/>
    <n v="2021025"/>
  </r>
  <r>
    <s v="INV0526"/>
    <s v="Male"/>
    <n v="40"/>
    <x v="4"/>
    <s v="Finance"/>
    <x v="3"/>
    <n v="1525024"/>
    <n v="12.45"/>
    <n v="28.98"/>
    <x v="477"/>
    <n v="336"/>
    <n v="4"/>
    <n v="152502.39999999999"/>
    <n v="610009.59999999998"/>
  </r>
  <r>
    <s v="INV0527"/>
    <s v="Male"/>
    <n v="52"/>
    <x v="0"/>
    <s v="Finance"/>
    <x v="3"/>
    <n v="2591795"/>
    <n v="33.6"/>
    <n v="1.78"/>
    <x v="478"/>
    <n v="26"/>
    <n v="4"/>
    <n v="259179.5"/>
    <n v="1036718"/>
  </r>
  <r>
    <s v="INV0528"/>
    <s v="Female"/>
    <n v="56"/>
    <x v="0"/>
    <s v="Energy"/>
    <x v="2"/>
    <n v="2979888"/>
    <n v="24.45"/>
    <n v="24.66"/>
    <x v="479"/>
    <n v="362"/>
    <n v="5"/>
    <n v="297988.8"/>
    <n v="1489944"/>
  </r>
  <r>
    <s v="INV0529"/>
    <s v="Female"/>
    <n v="60"/>
    <x v="2"/>
    <s v="Agriculture"/>
    <x v="1"/>
    <n v="3730488"/>
    <n v="15.98"/>
    <n v="-1.5"/>
    <x v="480"/>
    <n v="272"/>
    <n v="3"/>
    <n v="373048.80000000005"/>
    <n v="1119146.4000000001"/>
  </r>
  <r>
    <s v="INV0530"/>
    <s v="Male"/>
    <n v="25"/>
    <x v="1"/>
    <s v="Consumer Goods"/>
    <x v="4"/>
    <n v="2790538"/>
    <n v="32.630000000000003"/>
    <n v="39.18"/>
    <x v="481"/>
    <n v="220"/>
    <n v="3"/>
    <n v="279053.8"/>
    <n v="837161.39999999991"/>
  </r>
  <r>
    <s v="INV0531"/>
    <s v="Male"/>
    <n v="55"/>
    <x v="4"/>
    <s v="Healthcare"/>
    <x v="5"/>
    <n v="4144205"/>
    <n v="9.4"/>
    <n v="13.69"/>
    <x v="482"/>
    <n v="155"/>
    <n v="6"/>
    <n v="414420.5"/>
    <n v="2486523"/>
  </r>
  <r>
    <s v="INV0532"/>
    <s v="Male"/>
    <n v="60"/>
    <x v="0"/>
    <s v="Technology"/>
    <x v="1"/>
    <n v="3599472"/>
    <n v="32.74"/>
    <n v="12.04"/>
    <x v="55"/>
    <n v="170"/>
    <n v="5"/>
    <n v="359947.2"/>
    <n v="1799736"/>
  </r>
  <r>
    <s v="INV0533"/>
    <s v="Male"/>
    <n v="26"/>
    <x v="2"/>
    <s v="Agriculture"/>
    <x v="5"/>
    <n v="2030228"/>
    <n v="5.96"/>
    <n v="38.07"/>
    <x v="483"/>
    <n v="99"/>
    <n v="5"/>
    <n v="203022.80000000002"/>
    <n v="1015114.0000000001"/>
  </r>
  <r>
    <s v="INV0534"/>
    <s v="Male"/>
    <n v="44"/>
    <x v="1"/>
    <s v="Healthcare"/>
    <x v="1"/>
    <n v="3543797"/>
    <n v="20.62"/>
    <n v="9.44"/>
    <x v="86"/>
    <n v="128"/>
    <n v="7"/>
    <n v="354379.7"/>
    <n v="2480657.9"/>
  </r>
  <r>
    <s v="INV0535"/>
    <s v="Male"/>
    <n v="57"/>
    <x v="0"/>
    <s v="Healthcare"/>
    <x v="3"/>
    <n v="290361"/>
    <n v="32.72"/>
    <n v="5.81"/>
    <x v="41"/>
    <n v="43"/>
    <n v="6"/>
    <n v="29036.100000000002"/>
    <n v="174216.6"/>
  </r>
  <r>
    <s v="INV0536"/>
    <s v="Male"/>
    <n v="24"/>
    <x v="1"/>
    <s v="Healthcare"/>
    <x v="3"/>
    <n v="3627499"/>
    <n v="29.03"/>
    <n v="38.76"/>
    <x v="8"/>
    <n v="60"/>
    <n v="3"/>
    <n v="362749.9"/>
    <n v="1088249.7000000002"/>
  </r>
  <r>
    <s v="INV0537"/>
    <s v="Male"/>
    <n v="50"/>
    <x v="3"/>
    <s v="Energy"/>
    <x v="2"/>
    <n v="793565"/>
    <n v="26.61"/>
    <n v="12.38"/>
    <x v="484"/>
    <n v="257"/>
    <n v="8"/>
    <n v="79356.5"/>
    <n v="634852"/>
  </r>
  <r>
    <s v="INV0538"/>
    <s v="Male"/>
    <n v="27"/>
    <x v="4"/>
    <s v="Agriculture"/>
    <x v="4"/>
    <n v="4126605"/>
    <n v="14.95"/>
    <n v="31.61"/>
    <x v="485"/>
    <n v="325"/>
    <n v="7"/>
    <n v="412660.5"/>
    <n v="2888623.5"/>
  </r>
  <r>
    <s v="INV0539"/>
    <s v="Female"/>
    <n v="32"/>
    <x v="1"/>
    <s v="Technology"/>
    <x v="3"/>
    <n v="3425960"/>
    <n v="22.24"/>
    <n v="41.55"/>
    <x v="486"/>
    <n v="270"/>
    <n v="7"/>
    <n v="342596"/>
    <n v="2398172"/>
  </r>
  <r>
    <s v="INV0540"/>
    <s v="Female"/>
    <n v="22"/>
    <x v="2"/>
    <s v="Healthcare"/>
    <x v="4"/>
    <n v="2510472"/>
    <n v="17.399999999999999"/>
    <n v="41.85"/>
    <x v="487"/>
    <n v="43"/>
    <n v="2"/>
    <n v="251047.2"/>
    <n v="502094.4"/>
  </r>
  <r>
    <s v="INV0541"/>
    <s v="Female"/>
    <n v="47"/>
    <x v="4"/>
    <s v="Healthcare"/>
    <x v="1"/>
    <n v="918457"/>
    <n v="19.72"/>
    <n v="15.24"/>
    <x v="488"/>
    <n v="153"/>
    <n v="5"/>
    <n v="91845.700000000012"/>
    <n v="459228.50000000006"/>
  </r>
  <r>
    <s v="INV0542"/>
    <s v="Female"/>
    <n v="29"/>
    <x v="1"/>
    <s v="Energy"/>
    <x v="4"/>
    <n v="4153711"/>
    <n v="9"/>
    <n v="-1.39"/>
    <x v="489"/>
    <n v="363"/>
    <n v="2"/>
    <n v="415371.10000000003"/>
    <n v="830742.20000000007"/>
  </r>
  <r>
    <s v="INV0543"/>
    <s v="Male"/>
    <n v="24"/>
    <x v="3"/>
    <s v="Finance"/>
    <x v="5"/>
    <n v="1581390"/>
    <n v="5.37"/>
    <n v="33.5"/>
    <x v="467"/>
    <n v="185"/>
    <n v="6"/>
    <n v="158139"/>
    <n v="948834"/>
  </r>
  <r>
    <s v="INV0544"/>
    <s v="Female"/>
    <n v="50"/>
    <x v="4"/>
    <s v="Finance"/>
    <x v="1"/>
    <n v="4520925"/>
    <n v="27.1"/>
    <n v="13.18"/>
    <x v="490"/>
    <n v="315"/>
    <n v="5"/>
    <n v="452092.5"/>
    <n v="2260462.5"/>
  </r>
  <r>
    <s v="INV0545"/>
    <s v="Male"/>
    <n v="35"/>
    <x v="0"/>
    <s v="Technology"/>
    <x v="2"/>
    <n v="4932168"/>
    <n v="6.22"/>
    <n v="18.920000000000002"/>
    <x v="136"/>
    <n v="111"/>
    <n v="6"/>
    <n v="493216.80000000005"/>
    <n v="2959300.8000000003"/>
  </r>
  <r>
    <s v="INV0546"/>
    <s v="Male"/>
    <n v="55"/>
    <x v="3"/>
    <s v="Technology"/>
    <x v="5"/>
    <n v="3231475"/>
    <n v="17.22"/>
    <n v="-3.77"/>
    <x v="405"/>
    <n v="148"/>
    <n v="6"/>
    <n v="323147.5"/>
    <n v="1938885"/>
  </r>
  <r>
    <s v="INV0547"/>
    <s v="Male"/>
    <n v="62"/>
    <x v="4"/>
    <s v="Healthcare"/>
    <x v="2"/>
    <n v="2417468"/>
    <n v="34.79"/>
    <n v="8.81"/>
    <x v="482"/>
    <n v="48"/>
    <n v="6"/>
    <n v="241746.80000000002"/>
    <n v="1450480.8"/>
  </r>
  <r>
    <s v="INV0548"/>
    <s v="Male"/>
    <n v="39"/>
    <x v="0"/>
    <s v="Finance"/>
    <x v="5"/>
    <n v="253393"/>
    <n v="7.77"/>
    <n v="30.03"/>
    <x v="491"/>
    <n v="332"/>
    <n v="6"/>
    <n v="25339.300000000003"/>
    <n v="152035.80000000002"/>
  </r>
  <r>
    <s v="INV0549"/>
    <s v="Female"/>
    <n v="52"/>
    <x v="4"/>
    <s v="Agriculture"/>
    <x v="2"/>
    <n v="2747997"/>
    <n v="19.670000000000002"/>
    <n v="15.32"/>
    <x v="492"/>
    <n v="194"/>
    <n v="3"/>
    <n v="274799.7"/>
    <n v="824399.10000000009"/>
  </r>
  <r>
    <s v="INV0550"/>
    <s v="Female"/>
    <n v="25"/>
    <x v="0"/>
    <s v="Consumer Goods"/>
    <x v="1"/>
    <n v="304681"/>
    <n v="34.75"/>
    <n v="44.31"/>
    <x v="493"/>
    <n v="183"/>
    <n v="1"/>
    <n v="30468.100000000002"/>
    <n v="30468.100000000002"/>
  </r>
  <r>
    <s v="INV0551"/>
    <s v="Female"/>
    <n v="39"/>
    <x v="1"/>
    <s v="Consumer Goods"/>
    <x v="5"/>
    <n v="540837"/>
    <n v="19.38"/>
    <n v="44.01"/>
    <x v="494"/>
    <n v="103"/>
    <n v="8"/>
    <n v="54083.700000000004"/>
    <n v="432669.60000000003"/>
  </r>
  <r>
    <s v="INV0552"/>
    <s v="Male"/>
    <n v="47"/>
    <x v="0"/>
    <s v="Energy"/>
    <x v="0"/>
    <n v="550241"/>
    <n v="5.0999999999999996"/>
    <n v="-7.98"/>
    <x v="495"/>
    <n v="126"/>
    <n v="6"/>
    <n v="55024.100000000006"/>
    <n v="330144.60000000003"/>
  </r>
  <r>
    <s v="INV0553"/>
    <s v="Female"/>
    <n v="47"/>
    <x v="1"/>
    <s v="Agriculture"/>
    <x v="3"/>
    <n v="2666851"/>
    <n v="5.62"/>
    <n v="31.25"/>
    <x v="496"/>
    <n v="84"/>
    <n v="3"/>
    <n v="266685.10000000003"/>
    <n v="800055.3"/>
  </r>
  <r>
    <s v="INV0554"/>
    <s v="Male"/>
    <n v="47"/>
    <x v="2"/>
    <s v="Healthcare"/>
    <x v="1"/>
    <n v="1302336"/>
    <n v="29.88"/>
    <n v="25.52"/>
    <x v="497"/>
    <n v="66"/>
    <n v="6"/>
    <n v="130233.60000000001"/>
    <n v="781401.60000000009"/>
  </r>
  <r>
    <s v="INV0555"/>
    <s v="Female"/>
    <n v="38"/>
    <x v="4"/>
    <s v="Consumer Goods"/>
    <x v="5"/>
    <n v="2925123"/>
    <n v="24.87"/>
    <n v="6.75"/>
    <x v="498"/>
    <n v="103"/>
    <n v="3"/>
    <n v="292512.3"/>
    <n v="877536.89999999991"/>
  </r>
  <r>
    <s v="INV0556"/>
    <s v="Male"/>
    <n v="64"/>
    <x v="1"/>
    <s v="Energy"/>
    <x v="4"/>
    <n v="4402585"/>
    <n v="32.590000000000003"/>
    <n v="-9.39"/>
    <x v="499"/>
    <n v="38"/>
    <n v="7"/>
    <n v="440258.5"/>
    <n v="3081809.5"/>
  </r>
  <r>
    <s v="INV0557"/>
    <s v="Female"/>
    <n v="64"/>
    <x v="1"/>
    <s v="Energy"/>
    <x v="0"/>
    <n v="4624713"/>
    <n v="10.41"/>
    <n v="-8.36"/>
    <x v="500"/>
    <n v="122"/>
    <n v="3"/>
    <n v="462471.30000000005"/>
    <n v="1387413.9000000001"/>
  </r>
  <r>
    <s v="INV0558"/>
    <s v="Female"/>
    <n v="27"/>
    <x v="4"/>
    <s v="Agriculture"/>
    <x v="3"/>
    <n v="1325728"/>
    <n v="9.31"/>
    <n v="33.96"/>
    <x v="501"/>
    <n v="309"/>
    <n v="2"/>
    <n v="132572.80000000002"/>
    <n v="265145.60000000003"/>
  </r>
  <r>
    <s v="INV0559"/>
    <s v="Male"/>
    <n v="27"/>
    <x v="4"/>
    <s v="Healthcare"/>
    <x v="4"/>
    <n v="1653499"/>
    <n v="9.86"/>
    <n v="-3.54"/>
    <x v="502"/>
    <n v="53"/>
    <n v="4"/>
    <n v="165349.90000000002"/>
    <n v="661399.60000000009"/>
  </r>
  <r>
    <s v="INV0560"/>
    <s v="Male"/>
    <n v="36"/>
    <x v="0"/>
    <s v="Agriculture"/>
    <x v="4"/>
    <n v="856334"/>
    <n v="30.79"/>
    <n v="3.74"/>
    <x v="72"/>
    <n v="327"/>
    <n v="6"/>
    <n v="85633.400000000009"/>
    <n v="513800.4"/>
  </r>
  <r>
    <s v="INV0561"/>
    <s v="Male"/>
    <n v="41"/>
    <x v="1"/>
    <s v="Finance"/>
    <x v="5"/>
    <n v="3399617"/>
    <n v="28.62"/>
    <n v="5.75"/>
    <x v="503"/>
    <n v="120"/>
    <n v="3"/>
    <n v="339961.7"/>
    <n v="1019885.1000000001"/>
  </r>
  <r>
    <s v="INV0562"/>
    <s v="Female"/>
    <n v="40"/>
    <x v="1"/>
    <s v="Finance"/>
    <x v="2"/>
    <n v="3672766"/>
    <n v="11.95"/>
    <n v="-3.84"/>
    <x v="504"/>
    <n v="9"/>
    <n v="2"/>
    <n v="367276.60000000003"/>
    <n v="734553.20000000007"/>
  </r>
  <r>
    <s v="INV0563"/>
    <s v="Male"/>
    <n v="62"/>
    <x v="4"/>
    <s v="Consumer Goods"/>
    <x v="1"/>
    <n v="1877421"/>
    <n v="27.46"/>
    <n v="-3.92"/>
    <x v="2"/>
    <n v="32"/>
    <n v="8"/>
    <n v="187742.1"/>
    <n v="1501936.8"/>
  </r>
  <r>
    <s v="INV0564"/>
    <s v="Female"/>
    <n v="61"/>
    <x v="3"/>
    <s v="Finance"/>
    <x v="3"/>
    <n v="1998500"/>
    <n v="34.33"/>
    <n v="29.15"/>
    <x v="34"/>
    <n v="94"/>
    <n v="5"/>
    <n v="199850"/>
    <n v="999250"/>
  </r>
  <r>
    <s v="INV0565"/>
    <s v="Female"/>
    <n v="30"/>
    <x v="3"/>
    <s v="Healthcare"/>
    <x v="0"/>
    <n v="816194"/>
    <n v="26.91"/>
    <n v="39.450000000000003"/>
    <x v="505"/>
    <n v="248"/>
    <n v="3"/>
    <n v="81619.400000000009"/>
    <n v="244858.2"/>
  </r>
  <r>
    <s v="INV0566"/>
    <s v="Female"/>
    <n v="60"/>
    <x v="2"/>
    <s v="Finance"/>
    <x v="2"/>
    <n v="3101840"/>
    <n v="26.43"/>
    <n v="39.729999999999997"/>
    <x v="506"/>
    <n v="49"/>
    <n v="5"/>
    <n v="310184"/>
    <n v="1550920"/>
  </r>
  <r>
    <s v="INV0567"/>
    <s v="Male"/>
    <n v="49"/>
    <x v="1"/>
    <s v="Energy"/>
    <x v="5"/>
    <n v="1637292"/>
    <n v="26.03"/>
    <n v="35.86"/>
    <x v="507"/>
    <n v="163"/>
    <n v="5"/>
    <n v="163729.20000000001"/>
    <n v="818646"/>
  </r>
  <r>
    <s v="INV0568"/>
    <s v="Female"/>
    <n v="32"/>
    <x v="3"/>
    <s v="Healthcare"/>
    <x v="3"/>
    <n v="3804259"/>
    <n v="7.75"/>
    <n v="5.55"/>
    <x v="508"/>
    <n v="333"/>
    <n v="2"/>
    <n v="380425.9"/>
    <n v="760851.8"/>
  </r>
  <r>
    <s v="INV0569"/>
    <s v="Male"/>
    <n v="50"/>
    <x v="3"/>
    <s v="Energy"/>
    <x v="3"/>
    <n v="4219427"/>
    <n v="31.31"/>
    <n v="8.65"/>
    <x v="509"/>
    <n v="133"/>
    <n v="6"/>
    <n v="421942.7"/>
    <n v="2531656.2000000002"/>
  </r>
  <r>
    <s v="INV0570"/>
    <s v="Male"/>
    <n v="45"/>
    <x v="3"/>
    <s v="Consumer Goods"/>
    <x v="5"/>
    <n v="3874528"/>
    <n v="17.54"/>
    <n v="19.86"/>
    <x v="175"/>
    <n v="293"/>
    <n v="3"/>
    <n v="387452.80000000005"/>
    <n v="1162358.4000000001"/>
  </r>
  <r>
    <s v="INV0571"/>
    <s v="Female"/>
    <n v="62"/>
    <x v="3"/>
    <s v="Energy"/>
    <x v="5"/>
    <n v="109740"/>
    <n v="23.48"/>
    <n v="20.77"/>
    <x v="510"/>
    <n v="144"/>
    <n v="7"/>
    <n v="10974"/>
    <n v="76818"/>
  </r>
  <r>
    <s v="INV0572"/>
    <s v="Female"/>
    <n v="33"/>
    <x v="4"/>
    <s v="Consumer Goods"/>
    <x v="5"/>
    <n v="1954018"/>
    <n v="23.76"/>
    <n v="3.19"/>
    <x v="200"/>
    <n v="28"/>
    <n v="6"/>
    <n v="195401.80000000002"/>
    <n v="1172410.8"/>
  </r>
  <r>
    <s v="INV0573"/>
    <s v="Male"/>
    <n v="38"/>
    <x v="4"/>
    <s v="Energy"/>
    <x v="1"/>
    <n v="2650246"/>
    <n v="22.28"/>
    <n v="1.29"/>
    <x v="511"/>
    <n v="351"/>
    <n v="2"/>
    <n v="265024.60000000003"/>
    <n v="530049.20000000007"/>
  </r>
  <r>
    <s v="INV0574"/>
    <s v="Female"/>
    <n v="47"/>
    <x v="3"/>
    <s v="Technology"/>
    <x v="1"/>
    <n v="2625434"/>
    <n v="15.85"/>
    <n v="4.78"/>
    <x v="512"/>
    <n v="150"/>
    <n v="3"/>
    <n v="262543.40000000002"/>
    <n v="787630.20000000007"/>
  </r>
  <r>
    <s v="INV0575"/>
    <s v="Male"/>
    <n v="21"/>
    <x v="2"/>
    <s v="Finance"/>
    <x v="3"/>
    <n v="1246552"/>
    <n v="28.77"/>
    <n v="40.44"/>
    <x v="324"/>
    <n v="263"/>
    <n v="4"/>
    <n v="124655.20000000001"/>
    <n v="498620.80000000005"/>
  </r>
  <r>
    <s v="INV0576"/>
    <s v="Female"/>
    <n v="46"/>
    <x v="3"/>
    <s v="Finance"/>
    <x v="2"/>
    <n v="4516143"/>
    <n v="9.3000000000000007"/>
    <n v="32.76"/>
    <x v="513"/>
    <n v="341"/>
    <n v="6"/>
    <n v="451614.30000000005"/>
    <n v="2709685.8000000003"/>
  </r>
  <r>
    <s v="INV0577"/>
    <s v="Female"/>
    <n v="47"/>
    <x v="3"/>
    <s v="Healthcare"/>
    <x v="3"/>
    <n v="880870"/>
    <n v="13.88"/>
    <n v="41.46"/>
    <x v="457"/>
    <n v="325"/>
    <n v="5"/>
    <n v="88087"/>
    <n v="440435"/>
  </r>
  <r>
    <s v="INV0578"/>
    <s v="Female"/>
    <n v="51"/>
    <x v="2"/>
    <s v="Consumer Goods"/>
    <x v="5"/>
    <n v="3489115"/>
    <n v="24.37"/>
    <n v="2.75"/>
    <x v="514"/>
    <n v="198"/>
    <n v="2"/>
    <n v="348911.5"/>
    <n v="697823"/>
  </r>
  <r>
    <s v="INV0579"/>
    <s v="Male"/>
    <n v="52"/>
    <x v="2"/>
    <s v="Healthcare"/>
    <x v="2"/>
    <n v="3215897"/>
    <n v="23.94"/>
    <n v="19.309999999999999"/>
    <x v="515"/>
    <n v="115"/>
    <n v="2"/>
    <n v="321589.7"/>
    <n v="643179.4"/>
  </r>
  <r>
    <s v="INV0580"/>
    <s v="Female"/>
    <n v="29"/>
    <x v="1"/>
    <s v="Agriculture"/>
    <x v="4"/>
    <n v="1488338"/>
    <n v="6.7"/>
    <n v="26.74"/>
    <x v="516"/>
    <n v="77"/>
    <n v="1"/>
    <n v="148833.80000000002"/>
    <n v="148833.80000000002"/>
  </r>
  <r>
    <s v="INV0581"/>
    <s v="Male"/>
    <n v="32"/>
    <x v="2"/>
    <s v="Finance"/>
    <x v="2"/>
    <n v="1602297"/>
    <n v="19.63"/>
    <n v="13.97"/>
    <x v="172"/>
    <n v="87"/>
    <n v="5"/>
    <n v="160229.70000000001"/>
    <n v="801148.5"/>
  </r>
  <r>
    <s v="INV0582"/>
    <s v="Female"/>
    <n v="43"/>
    <x v="1"/>
    <s v="Agriculture"/>
    <x v="4"/>
    <n v="2790672"/>
    <n v="34.18"/>
    <n v="15.27"/>
    <x v="517"/>
    <n v="117"/>
    <n v="3"/>
    <n v="279067.2"/>
    <n v="837201.60000000009"/>
  </r>
  <r>
    <s v="INV0583"/>
    <s v="Male"/>
    <n v="42"/>
    <x v="2"/>
    <s v="Agriculture"/>
    <x v="4"/>
    <n v="2229780"/>
    <n v="9.11"/>
    <n v="23.43"/>
    <x v="518"/>
    <n v="113"/>
    <n v="5"/>
    <n v="222978"/>
    <n v="1114890"/>
  </r>
  <r>
    <s v="INV0584"/>
    <s v="Female"/>
    <n v="41"/>
    <x v="4"/>
    <s v="Healthcare"/>
    <x v="5"/>
    <n v="2935722"/>
    <n v="34.380000000000003"/>
    <n v="7.82"/>
    <x v="430"/>
    <n v="337"/>
    <n v="6"/>
    <n v="293572.2"/>
    <n v="1761433.2000000002"/>
  </r>
  <r>
    <s v="INV0585"/>
    <s v="Female"/>
    <n v="26"/>
    <x v="2"/>
    <s v="Agriculture"/>
    <x v="0"/>
    <n v="3917956"/>
    <n v="34.83"/>
    <n v="35.96"/>
    <x v="519"/>
    <n v="153"/>
    <n v="5"/>
    <n v="391795.60000000003"/>
    <n v="1958978.0000000002"/>
  </r>
  <r>
    <s v="INV0586"/>
    <s v="Male"/>
    <n v="48"/>
    <x v="3"/>
    <s v="Consumer Goods"/>
    <x v="0"/>
    <n v="2569361"/>
    <n v="6.07"/>
    <n v="6.03"/>
    <x v="520"/>
    <n v="172"/>
    <n v="8"/>
    <n v="256936.1"/>
    <n v="2055488.8"/>
  </r>
  <r>
    <s v="INV0587"/>
    <s v="Female"/>
    <n v="41"/>
    <x v="1"/>
    <s v="Consumer Goods"/>
    <x v="0"/>
    <n v="3540552"/>
    <n v="27.63"/>
    <n v="-7.11"/>
    <x v="519"/>
    <n v="172"/>
    <n v="5"/>
    <n v="354055.2"/>
    <n v="1770276"/>
  </r>
  <r>
    <s v="INV0588"/>
    <s v="Male"/>
    <n v="44"/>
    <x v="3"/>
    <s v="Consumer Goods"/>
    <x v="1"/>
    <n v="4847007"/>
    <n v="34.11"/>
    <n v="30.83"/>
    <x v="521"/>
    <n v="238"/>
    <n v="3"/>
    <n v="484700.7"/>
    <n v="1454102.1"/>
  </r>
  <r>
    <s v="INV0589"/>
    <s v="Male"/>
    <n v="32"/>
    <x v="3"/>
    <s v="Technology"/>
    <x v="3"/>
    <n v="1529913"/>
    <n v="31.25"/>
    <n v="5.6"/>
    <x v="522"/>
    <n v="351"/>
    <n v="3"/>
    <n v="152991.30000000002"/>
    <n v="458973.9"/>
  </r>
  <r>
    <s v="INV0590"/>
    <s v="Male"/>
    <n v="63"/>
    <x v="4"/>
    <s v="Technology"/>
    <x v="2"/>
    <n v="4962174"/>
    <n v="18.34"/>
    <n v="-7.57"/>
    <x v="67"/>
    <n v="166"/>
    <n v="3"/>
    <n v="496217.4"/>
    <n v="1488652.2000000002"/>
  </r>
  <r>
    <s v="INV0591"/>
    <s v="Male"/>
    <n v="43"/>
    <x v="0"/>
    <s v="Technology"/>
    <x v="1"/>
    <n v="3548900"/>
    <n v="12.31"/>
    <n v="1.18"/>
    <x v="523"/>
    <n v="355"/>
    <n v="7"/>
    <n v="354890"/>
    <n v="2484230"/>
  </r>
  <r>
    <s v="INV0592"/>
    <s v="Male"/>
    <n v="59"/>
    <x v="1"/>
    <s v="Agriculture"/>
    <x v="4"/>
    <n v="2416548"/>
    <n v="24.38"/>
    <n v="7.92"/>
    <x v="172"/>
    <n v="149"/>
    <n v="5"/>
    <n v="241654.80000000002"/>
    <n v="1208274"/>
  </r>
  <r>
    <s v="INV0593"/>
    <s v="Male"/>
    <n v="62"/>
    <x v="0"/>
    <s v="Finance"/>
    <x v="2"/>
    <n v="914622"/>
    <n v="6.46"/>
    <n v="23.92"/>
    <x v="524"/>
    <n v="279"/>
    <n v="2"/>
    <n v="91462.200000000012"/>
    <n v="182924.40000000002"/>
  </r>
  <r>
    <s v="INV0594"/>
    <s v="Male"/>
    <n v="38"/>
    <x v="2"/>
    <s v="Consumer Goods"/>
    <x v="2"/>
    <n v="1950310"/>
    <n v="12.9"/>
    <n v="16.18"/>
    <x v="525"/>
    <n v="72"/>
    <n v="7"/>
    <n v="195031"/>
    <n v="1365217"/>
  </r>
  <r>
    <s v="INV0595"/>
    <s v="Female"/>
    <n v="49"/>
    <x v="3"/>
    <s v="Finance"/>
    <x v="3"/>
    <n v="1155906"/>
    <n v="5.03"/>
    <n v="11.99"/>
    <x v="76"/>
    <n v="65"/>
    <n v="1"/>
    <n v="115590.6"/>
    <n v="115590.6"/>
  </r>
  <r>
    <s v="INV0596"/>
    <s v="Male"/>
    <n v="46"/>
    <x v="3"/>
    <s v="Healthcare"/>
    <x v="0"/>
    <n v="4564834"/>
    <n v="16.13"/>
    <n v="20.82"/>
    <x v="526"/>
    <n v="316"/>
    <n v="5"/>
    <n v="456483.4"/>
    <n v="2282417"/>
  </r>
  <r>
    <s v="INV0597"/>
    <s v="Male"/>
    <n v="28"/>
    <x v="0"/>
    <s v="Finance"/>
    <x v="5"/>
    <n v="827798"/>
    <n v="31.99"/>
    <n v="27.92"/>
    <x v="527"/>
    <n v="207"/>
    <n v="7"/>
    <n v="82779.8"/>
    <n v="579458.6"/>
  </r>
  <r>
    <s v="INV0598"/>
    <s v="Male"/>
    <n v="60"/>
    <x v="3"/>
    <s v="Agriculture"/>
    <x v="5"/>
    <n v="3863352"/>
    <n v="7.4"/>
    <n v="44.66"/>
    <x v="336"/>
    <n v="282"/>
    <n v="5"/>
    <n v="386335.2"/>
    <n v="1931676"/>
  </r>
  <r>
    <s v="INV0599"/>
    <s v="Female"/>
    <n v="22"/>
    <x v="4"/>
    <s v="Agriculture"/>
    <x v="4"/>
    <n v="3435843"/>
    <n v="16.850000000000001"/>
    <n v="10.87"/>
    <x v="528"/>
    <n v="215"/>
    <n v="4"/>
    <n v="343584.30000000005"/>
    <n v="1374337.2000000002"/>
  </r>
  <r>
    <s v="INV0600"/>
    <s v="Female"/>
    <n v="58"/>
    <x v="0"/>
    <s v="Consumer Goods"/>
    <x v="5"/>
    <n v="4610261"/>
    <n v="19.48"/>
    <n v="28.49"/>
    <x v="226"/>
    <n v="85"/>
    <n v="5"/>
    <n v="461026.10000000003"/>
    <n v="2305130.5"/>
  </r>
  <r>
    <s v="INV0601"/>
    <s v="Male"/>
    <n v="41"/>
    <x v="1"/>
    <s v="Agriculture"/>
    <x v="4"/>
    <n v="2081153"/>
    <n v="15.45"/>
    <n v="31.64"/>
    <x v="529"/>
    <n v="112"/>
    <n v="1"/>
    <n v="208115.30000000002"/>
    <n v="208115.30000000002"/>
  </r>
  <r>
    <s v="INV0602"/>
    <s v="Male"/>
    <n v="56"/>
    <x v="2"/>
    <s v="Technology"/>
    <x v="2"/>
    <n v="4447018"/>
    <n v="22.32"/>
    <n v="21.51"/>
    <x v="530"/>
    <n v="82"/>
    <n v="8"/>
    <n v="444701.80000000005"/>
    <n v="3557614.4000000004"/>
  </r>
  <r>
    <s v="INV0603"/>
    <s v="Male"/>
    <n v="24"/>
    <x v="0"/>
    <s v="Energy"/>
    <x v="0"/>
    <n v="4360156"/>
    <n v="5.43"/>
    <n v="-9.2899999999999991"/>
    <x v="531"/>
    <n v="271"/>
    <n v="6"/>
    <n v="436015.60000000003"/>
    <n v="2616093.6"/>
  </r>
  <r>
    <s v="INV0604"/>
    <s v="Male"/>
    <n v="54"/>
    <x v="1"/>
    <s v="Energy"/>
    <x v="0"/>
    <n v="4238534"/>
    <n v="29.46"/>
    <n v="35.159999999999997"/>
    <x v="532"/>
    <n v="90"/>
    <n v="6"/>
    <n v="423853.4"/>
    <n v="2543120.4000000004"/>
  </r>
  <r>
    <s v="INV0605"/>
    <s v="Female"/>
    <n v="50"/>
    <x v="3"/>
    <s v="Consumer Goods"/>
    <x v="0"/>
    <n v="3698038"/>
    <n v="11.25"/>
    <n v="32.479999999999997"/>
    <x v="85"/>
    <n v="310"/>
    <n v="8"/>
    <n v="369803.80000000005"/>
    <n v="2958430.4000000004"/>
  </r>
  <r>
    <s v="INV0606"/>
    <s v="Female"/>
    <n v="64"/>
    <x v="0"/>
    <s v="Finance"/>
    <x v="0"/>
    <n v="2312821"/>
    <n v="14.78"/>
    <n v="37.83"/>
    <x v="533"/>
    <n v="45"/>
    <n v="4"/>
    <n v="231282.1"/>
    <n v="925128.4"/>
  </r>
  <r>
    <s v="INV0607"/>
    <s v="Female"/>
    <n v="59"/>
    <x v="0"/>
    <s v="Energy"/>
    <x v="1"/>
    <n v="4838704"/>
    <n v="14.59"/>
    <n v="39.619999999999997"/>
    <x v="534"/>
    <n v="132"/>
    <n v="6"/>
    <n v="483870.4"/>
    <n v="2903222.4000000004"/>
  </r>
  <r>
    <s v="INV0608"/>
    <s v="Female"/>
    <n v="23"/>
    <x v="4"/>
    <s v="Agriculture"/>
    <x v="3"/>
    <n v="4785623"/>
    <n v="6.96"/>
    <n v="-8.98"/>
    <x v="101"/>
    <n v="272"/>
    <n v="7"/>
    <n v="478562.30000000005"/>
    <n v="3349936.1000000006"/>
  </r>
  <r>
    <s v="INV0609"/>
    <s v="Female"/>
    <n v="65"/>
    <x v="1"/>
    <s v="Agriculture"/>
    <x v="2"/>
    <n v="741873"/>
    <n v="16.010000000000002"/>
    <n v="26.8"/>
    <x v="535"/>
    <n v="73"/>
    <n v="7"/>
    <n v="74187.3"/>
    <n v="519311.10000000003"/>
  </r>
  <r>
    <s v="INV0610"/>
    <s v="Female"/>
    <n v="38"/>
    <x v="1"/>
    <s v="Finance"/>
    <x v="1"/>
    <n v="246894"/>
    <n v="32.86"/>
    <n v="5.36"/>
    <x v="536"/>
    <n v="253"/>
    <n v="4"/>
    <n v="24689.4"/>
    <n v="98757.6"/>
  </r>
  <r>
    <s v="INV0611"/>
    <s v="Female"/>
    <n v="29"/>
    <x v="3"/>
    <s v="Healthcare"/>
    <x v="1"/>
    <n v="3770116"/>
    <n v="31.11"/>
    <n v="27.43"/>
    <x v="537"/>
    <n v="192"/>
    <n v="7"/>
    <n v="377011.60000000003"/>
    <n v="2639081.2000000002"/>
  </r>
  <r>
    <s v="INV0612"/>
    <s v="Male"/>
    <n v="32"/>
    <x v="1"/>
    <s v="Agriculture"/>
    <x v="2"/>
    <n v="734150"/>
    <n v="28.85"/>
    <n v="-8.1199999999999992"/>
    <x v="503"/>
    <n v="9"/>
    <n v="3"/>
    <n v="73415"/>
    <n v="220245"/>
  </r>
  <r>
    <s v="INV0613"/>
    <s v="Female"/>
    <n v="28"/>
    <x v="3"/>
    <s v="Consumer Goods"/>
    <x v="3"/>
    <n v="2948049"/>
    <n v="21.32"/>
    <n v="-9.89"/>
    <x v="538"/>
    <n v="336"/>
    <n v="7"/>
    <n v="294804.90000000002"/>
    <n v="2063634.3000000003"/>
  </r>
  <r>
    <s v="INV0614"/>
    <s v="Female"/>
    <n v="35"/>
    <x v="1"/>
    <s v="Consumer Goods"/>
    <x v="2"/>
    <n v="1571612"/>
    <n v="16.04"/>
    <n v="-7.39"/>
    <x v="539"/>
    <n v="340"/>
    <n v="5"/>
    <n v="157161.20000000001"/>
    <n v="785806"/>
  </r>
  <r>
    <s v="INV0615"/>
    <s v="Male"/>
    <n v="45"/>
    <x v="0"/>
    <s v="Technology"/>
    <x v="2"/>
    <n v="3809302"/>
    <n v="10.94"/>
    <n v="15.92"/>
    <x v="540"/>
    <n v="56"/>
    <n v="8"/>
    <n v="380930.2"/>
    <n v="3047441.6"/>
  </r>
  <r>
    <s v="INV0616"/>
    <s v="Female"/>
    <n v="25"/>
    <x v="0"/>
    <s v="Consumer Goods"/>
    <x v="0"/>
    <n v="2599892"/>
    <n v="13.65"/>
    <n v="31.29"/>
    <x v="541"/>
    <n v="234"/>
    <n v="3"/>
    <n v="259989.2"/>
    <n v="779967.60000000009"/>
  </r>
  <r>
    <s v="INV0617"/>
    <s v="Female"/>
    <n v="56"/>
    <x v="0"/>
    <s v="Consumer Goods"/>
    <x v="0"/>
    <n v="278154"/>
    <n v="10.62"/>
    <n v="-1.58"/>
    <x v="542"/>
    <n v="69"/>
    <n v="7"/>
    <n v="27815.4"/>
    <n v="194707.80000000002"/>
  </r>
  <r>
    <s v="INV0618"/>
    <s v="Female"/>
    <n v="55"/>
    <x v="2"/>
    <s v="Healthcare"/>
    <x v="5"/>
    <n v="922136"/>
    <n v="26.95"/>
    <n v="22.34"/>
    <x v="2"/>
    <n v="209"/>
    <n v="8"/>
    <n v="92213.6"/>
    <n v="737708.8"/>
  </r>
  <r>
    <s v="INV0619"/>
    <s v="Male"/>
    <n v="33"/>
    <x v="4"/>
    <s v="Consumer Goods"/>
    <x v="3"/>
    <n v="287150"/>
    <n v="9.34"/>
    <n v="29.53"/>
    <x v="476"/>
    <n v="196"/>
    <n v="6"/>
    <n v="28715"/>
    <n v="172290"/>
  </r>
  <r>
    <s v="INV0620"/>
    <s v="Female"/>
    <n v="33"/>
    <x v="0"/>
    <s v="Energy"/>
    <x v="1"/>
    <n v="1892745"/>
    <n v="18.64"/>
    <n v="-6.41"/>
    <x v="543"/>
    <n v="53"/>
    <n v="1"/>
    <n v="189274.5"/>
    <n v="189274.5"/>
  </r>
  <r>
    <s v="INV0621"/>
    <s v="Female"/>
    <n v="64"/>
    <x v="3"/>
    <s v="Consumer Goods"/>
    <x v="1"/>
    <n v="67406"/>
    <n v="32.85"/>
    <n v="-8.4"/>
    <x v="544"/>
    <n v="116"/>
    <n v="2"/>
    <n v="6740.6"/>
    <n v="13481.2"/>
  </r>
  <r>
    <s v="INV0622"/>
    <s v="Male"/>
    <n v="53"/>
    <x v="0"/>
    <s v="Healthcare"/>
    <x v="4"/>
    <n v="2240475"/>
    <n v="24.09"/>
    <n v="33.53"/>
    <x v="545"/>
    <n v="67"/>
    <n v="1"/>
    <n v="224047.5"/>
    <n v="224047.5"/>
  </r>
  <r>
    <s v="INV0623"/>
    <s v="Female"/>
    <n v="26"/>
    <x v="3"/>
    <s v="Technology"/>
    <x v="4"/>
    <n v="4374674"/>
    <n v="20.49"/>
    <n v="28.02"/>
    <x v="546"/>
    <n v="8"/>
    <n v="6"/>
    <n v="437467.4"/>
    <n v="2624804.4000000004"/>
  </r>
  <r>
    <s v="INV0624"/>
    <s v="Male"/>
    <n v="49"/>
    <x v="0"/>
    <s v="Healthcare"/>
    <x v="1"/>
    <n v="3533722"/>
    <n v="26.09"/>
    <n v="34.840000000000003"/>
    <x v="547"/>
    <n v="13"/>
    <n v="2"/>
    <n v="353372.2"/>
    <n v="706744.4"/>
  </r>
  <r>
    <s v="INV0625"/>
    <s v="Male"/>
    <n v="42"/>
    <x v="4"/>
    <s v="Consumer Goods"/>
    <x v="2"/>
    <n v="4406529"/>
    <n v="28.75"/>
    <n v="-1.99"/>
    <x v="548"/>
    <n v="15"/>
    <n v="2"/>
    <n v="440652.9"/>
    <n v="881305.8"/>
  </r>
  <r>
    <s v="INV0626"/>
    <s v="Female"/>
    <n v="21"/>
    <x v="3"/>
    <s v="Consumer Goods"/>
    <x v="5"/>
    <n v="177997"/>
    <n v="33.29"/>
    <n v="41.88"/>
    <x v="549"/>
    <n v="224"/>
    <n v="4"/>
    <n v="17799.7"/>
    <n v="71198.8"/>
  </r>
  <r>
    <s v="INV0627"/>
    <s v="Female"/>
    <n v="56"/>
    <x v="1"/>
    <s v="Agriculture"/>
    <x v="4"/>
    <n v="1858854"/>
    <n v="9.26"/>
    <n v="22.07"/>
    <x v="131"/>
    <n v="207"/>
    <n v="6"/>
    <n v="185885.40000000002"/>
    <n v="1115312.4000000001"/>
  </r>
  <r>
    <s v="INV0628"/>
    <s v="Male"/>
    <n v="58"/>
    <x v="4"/>
    <s v="Consumer Goods"/>
    <x v="4"/>
    <n v="1575249"/>
    <n v="8.93"/>
    <n v="32.18"/>
    <x v="550"/>
    <n v="62"/>
    <n v="6"/>
    <n v="157524.90000000002"/>
    <n v="945149.40000000014"/>
  </r>
  <r>
    <s v="INV0629"/>
    <s v="Male"/>
    <n v="29"/>
    <x v="3"/>
    <s v="Energy"/>
    <x v="0"/>
    <n v="1064212"/>
    <n v="7.19"/>
    <n v="40.56"/>
    <x v="551"/>
    <n v="321"/>
    <n v="7"/>
    <n v="106421.20000000001"/>
    <n v="744948.40000000014"/>
  </r>
  <r>
    <s v="INV0630"/>
    <s v="Male"/>
    <n v="56"/>
    <x v="0"/>
    <s v="Healthcare"/>
    <x v="5"/>
    <n v="3996860"/>
    <n v="27.05"/>
    <n v="-9.58"/>
    <x v="552"/>
    <n v="96"/>
    <n v="5"/>
    <n v="399686"/>
    <n v="1998430"/>
  </r>
  <r>
    <s v="INV0631"/>
    <s v="Female"/>
    <n v="37"/>
    <x v="1"/>
    <s v="Consumer Goods"/>
    <x v="0"/>
    <n v="3389545"/>
    <n v="23"/>
    <n v="3.71"/>
    <x v="109"/>
    <n v="342"/>
    <n v="2"/>
    <n v="338954.5"/>
    <n v="677909"/>
  </r>
  <r>
    <s v="INV0632"/>
    <s v="Male"/>
    <n v="25"/>
    <x v="0"/>
    <s v="Technology"/>
    <x v="0"/>
    <n v="837716"/>
    <n v="14.18"/>
    <n v="0.4"/>
    <x v="553"/>
    <n v="283"/>
    <n v="8"/>
    <n v="83771.600000000006"/>
    <n v="670172.80000000005"/>
  </r>
  <r>
    <s v="INV0633"/>
    <s v="Female"/>
    <n v="54"/>
    <x v="1"/>
    <s v="Agriculture"/>
    <x v="2"/>
    <n v="1388829"/>
    <n v="10.91"/>
    <n v="17.010000000000002"/>
    <x v="554"/>
    <n v="300"/>
    <n v="7"/>
    <n v="138882.9"/>
    <n v="972180.29999999993"/>
  </r>
  <r>
    <s v="INV0634"/>
    <s v="Male"/>
    <n v="23"/>
    <x v="3"/>
    <s v="Technology"/>
    <x v="3"/>
    <n v="695990"/>
    <n v="12.4"/>
    <n v="41.24"/>
    <x v="555"/>
    <n v="26"/>
    <n v="6"/>
    <n v="69599"/>
    <n v="417594"/>
  </r>
  <r>
    <s v="INV0635"/>
    <s v="Female"/>
    <n v="44"/>
    <x v="3"/>
    <s v="Energy"/>
    <x v="4"/>
    <n v="3031768"/>
    <n v="18.68"/>
    <n v="0.9"/>
    <x v="556"/>
    <n v="285"/>
    <n v="3"/>
    <n v="303176.8"/>
    <n v="909530.39999999991"/>
  </r>
  <r>
    <s v="INV0636"/>
    <s v="Male"/>
    <n v="45"/>
    <x v="3"/>
    <s v="Agriculture"/>
    <x v="5"/>
    <n v="2384096"/>
    <n v="22.59"/>
    <n v="14.13"/>
    <x v="557"/>
    <n v="241"/>
    <n v="5"/>
    <n v="238409.60000000001"/>
    <n v="1192048"/>
  </r>
  <r>
    <s v="INV0637"/>
    <s v="Male"/>
    <n v="25"/>
    <x v="1"/>
    <s v="Agriculture"/>
    <x v="4"/>
    <n v="3263923"/>
    <n v="27.56"/>
    <n v="40.729999999999997"/>
    <x v="558"/>
    <n v="271"/>
    <n v="2"/>
    <n v="326392.30000000005"/>
    <n v="652784.60000000009"/>
  </r>
  <r>
    <s v="INV0638"/>
    <s v="Female"/>
    <n v="47"/>
    <x v="3"/>
    <s v="Consumer Goods"/>
    <x v="2"/>
    <n v="1730352"/>
    <n v="18.739999999999998"/>
    <n v="34.450000000000003"/>
    <x v="373"/>
    <n v="277"/>
    <n v="6"/>
    <n v="173035.2"/>
    <n v="1038211.2000000001"/>
  </r>
  <r>
    <s v="INV0639"/>
    <s v="Female"/>
    <n v="39"/>
    <x v="0"/>
    <s v="Finance"/>
    <x v="1"/>
    <n v="2841460"/>
    <n v="10.34"/>
    <n v="3.08"/>
    <x v="272"/>
    <n v="107"/>
    <n v="4"/>
    <n v="284146"/>
    <n v="1136584"/>
  </r>
  <r>
    <s v="INV0640"/>
    <s v="Female"/>
    <n v="47"/>
    <x v="1"/>
    <s v="Finance"/>
    <x v="5"/>
    <n v="3679256"/>
    <n v="19.010000000000002"/>
    <n v="42.81"/>
    <x v="391"/>
    <n v="30"/>
    <n v="5"/>
    <n v="367925.60000000003"/>
    <n v="1839628.0000000002"/>
  </r>
  <r>
    <s v="INV0641"/>
    <s v="Female"/>
    <n v="37"/>
    <x v="2"/>
    <s v="Energy"/>
    <x v="1"/>
    <n v="1880295"/>
    <n v="27.78"/>
    <n v="38.369999999999997"/>
    <x v="559"/>
    <n v="238"/>
    <n v="5"/>
    <n v="188029.5"/>
    <n v="940147.5"/>
  </r>
  <r>
    <s v="INV0642"/>
    <s v="Female"/>
    <n v="61"/>
    <x v="2"/>
    <s v="Consumer Goods"/>
    <x v="5"/>
    <n v="3175144"/>
    <n v="17.09"/>
    <n v="36.159999999999997"/>
    <x v="560"/>
    <n v="50"/>
    <n v="8"/>
    <n v="317514.40000000002"/>
    <n v="2540115.2000000002"/>
  </r>
  <r>
    <s v="INV0643"/>
    <s v="Male"/>
    <n v="24"/>
    <x v="1"/>
    <s v="Finance"/>
    <x v="1"/>
    <n v="1055504"/>
    <n v="5.27"/>
    <n v="-6.08"/>
    <x v="561"/>
    <n v="127"/>
    <n v="2"/>
    <n v="105550.40000000001"/>
    <n v="211100.80000000002"/>
  </r>
  <r>
    <s v="INV0644"/>
    <s v="Female"/>
    <n v="43"/>
    <x v="1"/>
    <s v="Consumer Goods"/>
    <x v="3"/>
    <n v="4856339"/>
    <n v="10.84"/>
    <n v="-2.72"/>
    <x v="562"/>
    <n v="105"/>
    <n v="1"/>
    <n v="485633.9"/>
    <n v="485633.9"/>
  </r>
  <r>
    <s v="INV0645"/>
    <s v="Female"/>
    <n v="64"/>
    <x v="1"/>
    <s v="Energy"/>
    <x v="3"/>
    <n v="1227269"/>
    <n v="8.36"/>
    <n v="-3.73"/>
    <x v="563"/>
    <n v="65"/>
    <n v="3"/>
    <n v="122726.90000000001"/>
    <n v="368180.7"/>
  </r>
  <r>
    <s v="INV0646"/>
    <s v="Female"/>
    <n v="50"/>
    <x v="4"/>
    <s v="Consumer Goods"/>
    <x v="0"/>
    <n v="3429064"/>
    <n v="6.52"/>
    <n v="19.760000000000002"/>
    <x v="564"/>
    <n v="299"/>
    <n v="6"/>
    <n v="342906.4"/>
    <n v="2057438.4000000001"/>
  </r>
  <r>
    <s v="INV0647"/>
    <s v="Female"/>
    <n v="65"/>
    <x v="1"/>
    <s v="Consumer Goods"/>
    <x v="5"/>
    <n v="3055677"/>
    <n v="34.93"/>
    <n v="8.8000000000000007"/>
    <x v="565"/>
    <n v="157"/>
    <n v="4"/>
    <n v="305567.7"/>
    <n v="1222270.8"/>
  </r>
  <r>
    <s v="INV0648"/>
    <s v="Female"/>
    <n v="27"/>
    <x v="2"/>
    <s v="Finance"/>
    <x v="4"/>
    <n v="4385122"/>
    <n v="12.84"/>
    <n v="11.67"/>
    <x v="566"/>
    <n v="146"/>
    <n v="1"/>
    <n v="438512.2"/>
    <n v="438512.2"/>
  </r>
  <r>
    <s v="INV0649"/>
    <s v="Female"/>
    <n v="44"/>
    <x v="0"/>
    <s v="Consumer Goods"/>
    <x v="3"/>
    <n v="2317308"/>
    <n v="26.68"/>
    <n v="29.17"/>
    <x v="321"/>
    <n v="111"/>
    <n v="6"/>
    <n v="231730.80000000002"/>
    <n v="1390384.8"/>
  </r>
  <r>
    <s v="INV0650"/>
    <s v="Female"/>
    <n v="58"/>
    <x v="4"/>
    <s v="Technology"/>
    <x v="4"/>
    <n v="448275"/>
    <n v="16.100000000000001"/>
    <n v="-4.38"/>
    <x v="567"/>
    <n v="85"/>
    <n v="3"/>
    <n v="44827.5"/>
    <n v="134482.5"/>
  </r>
  <r>
    <s v="INV0651"/>
    <s v="Female"/>
    <n v="30"/>
    <x v="4"/>
    <s v="Agriculture"/>
    <x v="3"/>
    <n v="2986613"/>
    <n v="10.62"/>
    <n v="29.89"/>
    <x v="568"/>
    <n v="278"/>
    <n v="1"/>
    <n v="298661.3"/>
    <n v="298661.3"/>
  </r>
  <r>
    <s v="INV0652"/>
    <s v="Female"/>
    <n v="64"/>
    <x v="0"/>
    <s v="Healthcare"/>
    <x v="1"/>
    <n v="1007105"/>
    <n v="27.67"/>
    <n v="31.95"/>
    <x v="569"/>
    <n v="247"/>
    <n v="2"/>
    <n v="100710.5"/>
    <n v="201421"/>
  </r>
  <r>
    <s v="INV0653"/>
    <s v="Female"/>
    <n v="24"/>
    <x v="4"/>
    <s v="Healthcare"/>
    <x v="4"/>
    <n v="909840"/>
    <n v="24.84"/>
    <n v="35.479999999999997"/>
    <x v="570"/>
    <n v="113"/>
    <n v="5"/>
    <n v="90984"/>
    <n v="454920"/>
  </r>
  <r>
    <s v="INV0654"/>
    <s v="Male"/>
    <n v="21"/>
    <x v="4"/>
    <s v="Finance"/>
    <x v="5"/>
    <n v="2781804"/>
    <n v="30.29"/>
    <n v="28.29"/>
    <x v="571"/>
    <n v="108"/>
    <n v="7"/>
    <n v="278180.40000000002"/>
    <n v="1947262.8000000003"/>
  </r>
  <r>
    <s v="INV0655"/>
    <s v="Male"/>
    <n v="30"/>
    <x v="2"/>
    <s v="Energy"/>
    <x v="4"/>
    <n v="3837200"/>
    <n v="29.06"/>
    <n v="14.74"/>
    <x v="572"/>
    <n v="30"/>
    <n v="5"/>
    <n v="383720"/>
    <n v="1918600"/>
  </r>
  <r>
    <s v="INV0656"/>
    <s v="Male"/>
    <n v="53"/>
    <x v="2"/>
    <s v="Consumer Goods"/>
    <x v="1"/>
    <n v="87713"/>
    <n v="21.55"/>
    <n v="29.53"/>
    <x v="573"/>
    <n v="71"/>
    <n v="2"/>
    <n v="8771.3000000000011"/>
    <n v="17542.600000000002"/>
  </r>
  <r>
    <s v="INV0657"/>
    <s v="Male"/>
    <n v="65"/>
    <x v="3"/>
    <s v="Finance"/>
    <x v="4"/>
    <n v="4793868"/>
    <n v="10.82"/>
    <n v="-1.39"/>
    <x v="513"/>
    <n v="215"/>
    <n v="6"/>
    <n v="479386.80000000005"/>
    <n v="2876320.8000000003"/>
  </r>
  <r>
    <s v="INV0658"/>
    <s v="Female"/>
    <n v="64"/>
    <x v="3"/>
    <s v="Agriculture"/>
    <x v="3"/>
    <n v="2162163"/>
    <n v="10.96"/>
    <n v="30.94"/>
    <x v="311"/>
    <n v="197"/>
    <n v="4"/>
    <n v="216216.30000000002"/>
    <n v="864865.20000000007"/>
  </r>
  <r>
    <s v="INV0659"/>
    <s v="Male"/>
    <n v="40"/>
    <x v="4"/>
    <s v="Finance"/>
    <x v="0"/>
    <n v="2127613"/>
    <n v="32.68"/>
    <n v="-2.5"/>
    <x v="5"/>
    <n v="281"/>
    <n v="6"/>
    <n v="212761.30000000002"/>
    <n v="1276567.8"/>
  </r>
  <r>
    <s v="INV0660"/>
    <s v="Male"/>
    <n v="23"/>
    <x v="4"/>
    <s v="Consumer Goods"/>
    <x v="5"/>
    <n v="2491101"/>
    <n v="20.59"/>
    <n v="42.58"/>
    <x v="574"/>
    <n v="187"/>
    <n v="2"/>
    <n v="249110.1"/>
    <n v="498220.2"/>
  </r>
  <r>
    <s v="INV0661"/>
    <s v="Male"/>
    <n v="35"/>
    <x v="0"/>
    <s v="Technology"/>
    <x v="5"/>
    <n v="3386913"/>
    <n v="27.68"/>
    <n v="-6.07"/>
    <x v="575"/>
    <n v="362"/>
    <n v="4"/>
    <n v="338691.30000000005"/>
    <n v="1354765.2000000002"/>
  </r>
  <r>
    <s v="INV0662"/>
    <s v="Male"/>
    <n v="32"/>
    <x v="2"/>
    <s v="Energy"/>
    <x v="3"/>
    <n v="666794"/>
    <n v="17.399999999999999"/>
    <n v="3.84"/>
    <x v="485"/>
    <n v="72"/>
    <n v="7"/>
    <n v="66679.400000000009"/>
    <n v="466755.80000000005"/>
  </r>
  <r>
    <s v="INV0663"/>
    <s v="Male"/>
    <n v="23"/>
    <x v="0"/>
    <s v="Agriculture"/>
    <x v="2"/>
    <n v="1383734"/>
    <n v="5.4"/>
    <n v="-9.98"/>
    <x v="481"/>
    <n v="168"/>
    <n v="3"/>
    <n v="138373.4"/>
    <n v="415120.19999999995"/>
  </r>
  <r>
    <s v="INV0664"/>
    <s v="Female"/>
    <n v="34"/>
    <x v="3"/>
    <s v="Technology"/>
    <x v="4"/>
    <n v="4417412"/>
    <n v="11.77"/>
    <n v="4.99"/>
    <x v="576"/>
    <n v="103"/>
    <n v="7"/>
    <n v="441741.2"/>
    <n v="3092188.4"/>
  </r>
  <r>
    <s v="INV0665"/>
    <s v="Male"/>
    <n v="38"/>
    <x v="4"/>
    <s v="Finance"/>
    <x v="1"/>
    <n v="579837"/>
    <n v="15.73"/>
    <n v="5.23"/>
    <x v="577"/>
    <n v="266"/>
    <n v="7"/>
    <n v="57983.700000000004"/>
    <n v="405885.9"/>
  </r>
  <r>
    <s v="INV0666"/>
    <s v="Male"/>
    <n v="37"/>
    <x v="1"/>
    <s v="Technology"/>
    <x v="5"/>
    <n v="2565996"/>
    <n v="23.99"/>
    <n v="18.07"/>
    <x v="578"/>
    <n v="226"/>
    <n v="5"/>
    <n v="256599.6"/>
    <n v="1282998"/>
  </r>
  <r>
    <s v="INV0667"/>
    <s v="Female"/>
    <n v="27"/>
    <x v="0"/>
    <s v="Technology"/>
    <x v="3"/>
    <n v="3967006"/>
    <n v="28.23"/>
    <n v="28.41"/>
    <x v="579"/>
    <n v="364"/>
    <n v="6"/>
    <n v="396700.60000000003"/>
    <n v="2380203.6"/>
  </r>
  <r>
    <s v="INV0668"/>
    <s v="Female"/>
    <n v="63"/>
    <x v="1"/>
    <s v="Energy"/>
    <x v="1"/>
    <n v="4325587"/>
    <n v="8.08"/>
    <n v="22.97"/>
    <x v="91"/>
    <n v="319"/>
    <n v="7"/>
    <n v="432558.7"/>
    <n v="3027910.9"/>
  </r>
  <r>
    <s v="INV0669"/>
    <s v="Male"/>
    <n v="35"/>
    <x v="4"/>
    <s v="Energy"/>
    <x v="4"/>
    <n v="4623849"/>
    <n v="15.17"/>
    <n v="2.4"/>
    <x v="580"/>
    <n v="248"/>
    <n v="7"/>
    <n v="462384.9"/>
    <n v="3236694.3000000003"/>
  </r>
  <r>
    <s v="INV0670"/>
    <s v="Male"/>
    <n v="54"/>
    <x v="2"/>
    <s v="Energy"/>
    <x v="3"/>
    <n v="4401851"/>
    <n v="11.63"/>
    <n v="-7.01"/>
    <x v="581"/>
    <n v="29"/>
    <n v="7"/>
    <n v="440185.10000000003"/>
    <n v="3081295.7"/>
  </r>
  <r>
    <s v="INV0671"/>
    <s v="Male"/>
    <n v="22"/>
    <x v="4"/>
    <s v="Consumer Goods"/>
    <x v="1"/>
    <n v="3922414"/>
    <n v="9.33"/>
    <n v="7.87"/>
    <x v="582"/>
    <n v="361"/>
    <n v="4"/>
    <n v="392241.4"/>
    <n v="1568965.6"/>
  </r>
  <r>
    <s v="INV0672"/>
    <s v="Female"/>
    <n v="56"/>
    <x v="4"/>
    <s v="Technology"/>
    <x v="3"/>
    <n v="897615"/>
    <n v="20.11"/>
    <n v="24.43"/>
    <x v="583"/>
    <n v="275"/>
    <n v="7"/>
    <n v="89761.5"/>
    <n v="628330.5"/>
  </r>
  <r>
    <s v="INV0673"/>
    <s v="Female"/>
    <n v="54"/>
    <x v="3"/>
    <s v="Energy"/>
    <x v="1"/>
    <n v="103103"/>
    <n v="8.6300000000000008"/>
    <n v="23.92"/>
    <x v="584"/>
    <n v="187"/>
    <n v="1"/>
    <n v="10310.300000000001"/>
    <n v="10310.300000000001"/>
  </r>
  <r>
    <s v="INV0674"/>
    <s v="Female"/>
    <n v="26"/>
    <x v="3"/>
    <s v="Energy"/>
    <x v="3"/>
    <n v="1254071"/>
    <n v="25.94"/>
    <n v="17.5"/>
    <x v="441"/>
    <n v="105"/>
    <n v="6"/>
    <n v="125407.1"/>
    <n v="752442.60000000009"/>
  </r>
  <r>
    <s v="INV0675"/>
    <s v="Male"/>
    <n v="37"/>
    <x v="3"/>
    <s v="Consumer Goods"/>
    <x v="3"/>
    <n v="3316216"/>
    <n v="27.13"/>
    <n v="1.99"/>
    <x v="585"/>
    <n v="12"/>
    <n v="3"/>
    <n v="331621.60000000003"/>
    <n v="994864.8"/>
  </r>
  <r>
    <s v="INV0676"/>
    <s v="Male"/>
    <n v="44"/>
    <x v="2"/>
    <s v="Technology"/>
    <x v="3"/>
    <n v="1983711"/>
    <n v="13.38"/>
    <n v="42.58"/>
    <x v="210"/>
    <n v="245"/>
    <n v="2"/>
    <n v="198371.1"/>
    <n v="396742.2"/>
  </r>
  <r>
    <s v="INV0677"/>
    <s v="Female"/>
    <n v="38"/>
    <x v="4"/>
    <s v="Technology"/>
    <x v="0"/>
    <n v="86043"/>
    <n v="21.5"/>
    <n v="-1.31"/>
    <x v="586"/>
    <n v="297"/>
    <n v="5"/>
    <n v="8604.3000000000011"/>
    <n v="43021.500000000007"/>
  </r>
  <r>
    <s v="INV0678"/>
    <s v="Female"/>
    <n v="36"/>
    <x v="2"/>
    <s v="Agriculture"/>
    <x v="2"/>
    <n v="4656840"/>
    <n v="33.950000000000003"/>
    <n v="31.64"/>
    <x v="587"/>
    <n v="291"/>
    <n v="6"/>
    <n v="465684"/>
    <n v="2794104"/>
  </r>
  <r>
    <s v="INV0679"/>
    <s v="Male"/>
    <n v="30"/>
    <x v="0"/>
    <s v="Energy"/>
    <x v="4"/>
    <n v="3869445"/>
    <n v="18.8"/>
    <n v="22.67"/>
    <x v="588"/>
    <n v="182"/>
    <n v="2"/>
    <n v="386944.5"/>
    <n v="773889"/>
  </r>
  <r>
    <s v="INV0680"/>
    <s v="Female"/>
    <n v="48"/>
    <x v="4"/>
    <s v="Technology"/>
    <x v="3"/>
    <n v="740201"/>
    <n v="28.07"/>
    <n v="4.26"/>
    <x v="1"/>
    <n v="19"/>
    <n v="6"/>
    <n v="74020.100000000006"/>
    <n v="444120.60000000003"/>
  </r>
  <r>
    <s v="INV0681"/>
    <s v="Male"/>
    <n v="45"/>
    <x v="1"/>
    <s v="Consumer Goods"/>
    <x v="3"/>
    <n v="2596682"/>
    <n v="24.31"/>
    <n v="34.18"/>
    <x v="238"/>
    <n v="213"/>
    <n v="3"/>
    <n v="259668.2"/>
    <n v="779004.60000000009"/>
  </r>
  <r>
    <s v="INV0682"/>
    <s v="Male"/>
    <n v="31"/>
    <x v="0"/>
    <s v="Energy"/>
    <x v="1"/>
    <n v="1344396"/>
    <n v="33.6"/>
    <n v="-1.36"/>
    <x v="589"/>
    <n v="210"/>
    <n v="5"/>
    <n v="134439.6"/>
    <n v="672198"/>
  </r>
  <r>
    <s v="INV0683"/>
    <s v="Female"/>
    <n v="24"/>
    <x v="2"/>
    <s v="Technology"/>
    <x v="4"/>
    <n v="1473450"/>
    <n v="23.74"/>
    <n v="36.42"/>
    <x v="590"/>
    <n v="138"/>
    <n v="5"/>
    <n v="147345"/>
    <n v="736725"/>
  </r>
  <r>
    <s v="INV0684"/>
    <s v="Female"/>
    <n v="31"/>
    <x v="0"/>
    <s v="Consumer Goods"/>
    <x v="0"/>
    <n v="849728"/>
    <n v="23.79"/>
    <n v="11.86"/>
    <x v="24"/>
    <n v="357"/>
    <n v="2"/>
    <n v="84972.800000000003"/>
    <n v="169945.60000000001"/>
  </r>
  <r>
    <s v="INV0685"/>
    <s v="Female"/>
    <n v="60"/>
    <x v="0"/>
    <s v="Finance"/>
    <x v="0"/>
    <n v="201061"/>
    <n v="19.04"/>
    <n v="-2.69"/>
    <x v="591"/>
    <n v="138"/>
    <n v="7"/>
    <n v="20106.100000000002"/>
    <n v="140742.70000000001"/>
  </r>
  <r>
    <s v="INV0686"/>
    <s v="Male"/>
    <n v="56"/>
    <x v="0"/>
    <s v="Technology"/>
    <x v="0"/>
    <n v="1116643"/>
    <n v="12.74"/>
    <n v="8.1199999999999992"/>
    <x v="592"/>
    <n v="96"/>
    <n v="5"/>
    <n v="111664.3"/>
    <n v="558321.5"/>
  </r>
  <r>
    <s v="INV0687"/>
    <s v="Male"/>
    <n v="28"/>
    <x v="0"/>
    <s v="Energy"/>
    <x v="0"/>
    <n v="4005681"/>
    <n v="9.2799999999999994"/>
    <n v="13.87"/>
    <x v="593"/>
    <n v="180"/>
    <n v="6"/>
    <n v="400568.10000000003"/>
    <n v="2403408.6"/>
  </r>
  <r>
    <s v="INV0688"/>
    <s v="Male"/>
    <n v="32"/>
    <x v="4"/>
    <s v="Finance"/>
    <x v="4"/>
    <n v="633961"/>
    <n v="17.28"/>
    <n v="42.13"/>
    <x v="594"/>
    <n v="21"/>
    <n v="8"/>
    <n v="63396.100000000006"/>
    <n v="507168.80000000005"/>
  </r>
  <r>
    <s v="INV0689"/>
    <s v="Male"/>
    <n v="31"/>
    <x v="4"/>
    <s v="Finance"/>
    <x v="1"/>
    <n v="4956620"/>
    <n v="32.74"/>
    <n v="35.76"/>
    <x v="595"/>
    <n v="102"/>
    <n v="3"/>
    <n v="495662"/>
    <n v="1486986"/>
  </r>
  <r>
    <s v="INV0690"/>
    <s v="Male"/>
    <n v="56"/>
    <x v="2"/>
    <s v="Energy"/>
    <x v="1"/>
    <n v="233054"/>
    <n v="22.43"/>
    <n v="16.05"/>
    <x v="596"/>
    <n v="103"/>
    <n v="3"/>
    <n v="23305.4"/>
    <n v="69916.200000000012"/>
  </r>
  <r>
    <s v="INV0691"/>
    <s v="Female"/>
    <n v="52"/>
    <x v="3"/>
    <s v="Finance"/>
    <x v="3"/>
    <n v="1620974"/>
    <n v="21.78"/>
    <n v="36.68"/>
    <x v="597"/>
    <n v="225"/>
    <n v="2"/>
    <n v="162097.40000000002"/>
    <n v="324194.80000000005"/>
  </r>
  <r>
    <s v="INV0692"/>
    <s v="Male"/>
    <n v="38"/>
    <x v="4"/>
    <s v="Agriculture"/>
    <x v="1"/>
    <n v="532942"/>
    <n v="22.59"/>
    <n v="2.4"/>
    <x v="598"/>
    <n v="151"/>
    <n v="7"/>
    <n v="53294.200000000004"/>
    <n v="373059.4"/>
  </r>
  <r>
    <s v="INV0693"/>
    <s v="Female"/>
    <n v="30"/>
    <x v="4"/>
    <s v="Technology"/>
    <x v="2"/>
    <n v="2522505"/>
    <n v="23.93"/>
    <n v="5.75"/>
    <x v="521"/>
    <n v="294"/>
    <n v="3"/>
    <n v="252250.5"/>
    <n v="756751.5"/>
  </r>
  <r>
    <s v="INV0694"/>
    <s v="Male"/>
    <n v="33"/>
    <x v="1"/>
    <s v="Finance"/>
    <x v="3"/>
    <n v="2747966"/>
    <n v="21.53"/>
    <n v="37.130000000000003"/>
    <x v="599"/>
    <n v="69"/>
    <n v="6"/>
    <n v="274796.60000000003"/>
    <n v="1648779.6"/>
  </r>
  <r>
    <s v="INV0695"/>
    <s v="Female"/>
    <n v="59"/>
    <x v="2"/>
    <s v="Healthcare"/>
    <x v="3"/>
    <n v="4782664"/>
    <n v="11.67"/>
    <n v="3.88"/>
    <x v="20"/>
    <n v="270"/>
    <n v="7"/>
    <n v="478266.4"/>
    <n v="3347864.8000000003"/>
  </r>
  <r>
    <s v="INV0696"/>
    <s v="Male"/>
    <n v="47"/>
    <x v="0"/>
    <s v="Finance"/>
    <x v="2"/>
    <n v="4000484"/>
    <n v="12.31"/>
    <n v="34.270000000000003"/>
    <x v="600"/>
    <n v="329"/>
    <n v="3"/>
    <n v="400048.4"/>
    <n v="1200145.2000000002"/>
  </r>
  <r>
    <s v="INV0697"/>
    <s v="Female"/>
    <n v="35"/>
    <x v="0"/>
    <s v="Finance"/>
    <x v="4"/>
    <n v="241953"/>
    <n v="6.95"/>
    <n v="9.48"/>
    <x v="601"/>
    <n v="105"/>
    <n v="8"/>
    <n v="24195.300000000003"/>
    <n v="193562.40000000002"/>
  </r>
  <r>
    <s v="INV0698"/>
    <s v="Female"/>
    <n v="28"/>
    <x v="2"/>
    <s v="Healthcare"/>
    <x v="1"/>
    <n v="3950101"/>
    <n v="34.17"/>
    <n v="30.21"/>
    <x v="602"/>
    <n v="128"/>
    <n v="2"/>
    <n v="395010.10000000003"/>
    <n v="790020.20000000007"/>
  </r>
  <r>
    <s v="INV0699"/>
    <s v="Male"/>
    <n v="40"/>
    <x v="2"/>
    <s v="Finance"/>
    <x v="5"/>
    <n v="3873032"/>
    <n v="18.98"/>
    <n v="-4.1100000000000003"/>
    <x v="603"/>
    <n v="14"/>
    <n v="3"/>
    <n v="387303.2"/>
    <n v="1161909.6000000001"/>
  </r>
  <r>
    <s v="INV0700"/>
    <s v="Male"/>
    <n v="47"/>
    <x v="3"/>
    <s v="Consumer Goods"/>
    <x v="0"/>
    <n v="2271365"/>
    <n v="19.64"/>
    <n v="-2.48"/>
    <x v="604"/>
    <n v="326"/>
    <n v="7"/>
    <n v="227136.5"/>
    <n v="1589955.5"/>
  </r>
  <r>
    <s v="INV0701"/>
    <s v="Female"/>
    <n v="65"/>
    <x v="4"/>
    <s v="Consumer Goods"/>
    <x v="5"/>
    <n v="1887173"/>
    <n v="16.91"/>
    <n v="19.190000000000001"/>
    <x v="521"/>
    <n v="84"/>
    <n v="3"/>
    <n v="188717.30000000002"/>
    <n v="566151.9"/>
  </r>
  <r>
    <s v="INV0702"/>
    <s v="Male"/>
    <n v="54"/>
    <x v="0"/>
    <s v="Technology"/>
    <x v="4"/>
    <n v="1708504"/>
    <n v="14.71"/>
    <n v="5.84"/>
    <x v="605"/>
    <n v="32"/>
    <n v="6"/>
    <n v="170850.40000000002"/>
    <n v="1025102.4000000001"/>
  </r>
  <r>
    <s v="INV0703"/>
    <s v="Male"/>
    <n v="36"/>
    <x v="3"/>
    <s v="Agriculture"/>
    <x v="3"/>
    <n v="3141401"/>
    <n v="22.35"/>
    <n v="13.14"/>
    <x v="544"/>
    <n v="26"/>
    <n v="2"/>
    <n v="314140.10000000003"/>
    <n v="628280.20000000007"/>
  </r>
  <r>
    <s v="INV0704"/>
    <s v="Male"/>
    <n v="38"/>
    <x v="2"/>
    <s v="Energy"/>
    <x v="2"/>
    <n v="962213"/>
    <n v="29.78"/>
    <n v="42.32"/>
    <x v="606"/>
    <n v="49"/>
    <n v="6"/>
    <n v="96221.3"/>
    <n v="577327.80000000005"/>
  </r>
  <r>
    <s v="INV0705"/>
    <s v="Female"/>
    <n v="63"/>
    <x v="4"/>
    <s v="Finance"/>
    <x v="0"/>
    <n v="1770643"/>
    <n v="5.81"/>
    <n v="23.48"/>
    <x v="607"/>
    <n v="54"/>
    <n v="5"/>
    <n v="177064.30000000002"/>
    <n v="885321.50000000012"/>
  </r>
  <r>
    <s v="INV0706"/>
    <s v="Male"/>
    <n v="56"/>
    <x v="4"/>
    <s v="Consumer Goods"/>
    <x v="0"/>
    <n v="4862856"/>
    <n v="5.16"/>
    <n v="-4.96"/>
    <x v="608"/>
    <n v="358"/>
    <n v="2"/>
    <n v="486285.60000000003"/>
    <n v="972571.20000000007"/>
  </r>
  <r>
    <s v="INV0707"/>
    <s v="Male"/>
    <n v="24"/>
    <x v="3"/>
    <s v="Consumer Goods"/>
    <x v="0"/>
    <n v="2305415"/>
    <n v="26.18"/>
    <n v="2.61"/>
    <x v="609"/>
    <n v="31"/>
    <n v="6"/>
    <n v="230541.5"/>
    <n v="1383249"/>
  </r>
  <r>
    <s v="INV0708"/>
    <s v="Male"/>
    <n v="61"/>
    <x v="3"/>
    <s v="Energy"/>
    <x v="2"/>
    <n v="984840"/>
    <n v="10.28"/>
    <n v="19.760000000000002"/>
    <x v="610"/>
    <n v="271"/>
    <n v="8"/>
    <n v="98484"/>
    <n v="787872"/>
  </r>
  <r>
    <s v="INV0709"/>
    <s v="Male"/>
    <n v="25"/>
    <x v="2"/>
    <s v="Consumer Goods"/>
    <x v="1"/>
    <n v="2399554"/>
    <n v="27.39"/>
    <n v="43.78"/>
    <x v="611"/>
    <n v="303"/>
    <n v="4"/>
    <n v="239955.40000000002"/>
    <n v="959821.60000000009"/>
  </r>
  <r>
    <s v="INV0710"/>
    <s v="Male"/>
    <n v="40"/>
    <x v="0"/>
    <s v="Finance"/>
    <x v="2"/>
    <n v="2374424"/>
    <n v="22.52"/>
    <n v="35.29"/>
    <x v="612"/>
    <n v="185"/>
    <n v="6"/>
    <n v="237442.40000000002"/>
    <n v="1424654.4000000001"/>
  </r>
  <r>
    <s v="INV0711"/>
    <s v="Male"/>
    <n v="45"/>
    <x v="2"/>
    <s v="Energy"/>
    <x v="4"/>
    <n v="373328"/>
    <n v="21.87"/>
    <n v="-2.63"/>
    <x v="613"/>
    <n v="199"/>
    <n v="2"/>
    <n v="37332.800000000003"/>
    <n v="74665.600000000006"/>
  </r>
  <r>
    <s v="INV0712"/>
    <s v="Male"/>
    <n v="32"/>
    <x v="1"/>
    <s v="Finance"/>
    <x v="4"/>
    <n v="3900272"/>
    <n v="19.5"/>
    <n v="21.86"/>
    <x v="614"/>
    <n v="157"/>
    <n v="4"/>
    <n v="390027.2"/>
    <n v="1560108.8"/>
  </r>
  <r>
    <s v="INV0713"/>
    <s v="Female"/>
    <n v="49"/>
    <x v="3"/>
    <s v="Technology"/>
    <x v="0"/>
    <n v="3432511"/>
    <n v="28.87"/>
    <n v="16.09"/>
    <x v="615"/>
    <n v="152"/>
    <n v="7"/>
    <n v="343251.10000000003"/>
    <n v="2402757.7000000002"/>
  </r>
  <r>
    <s v="INV0714"/>
    <s v="Female"/>
    <n v="22"/>
    <x v="3"/>
    <s v="Technology"/>
    <x v="5"/>
    <n v="2180825"/>
    <n v="25.72"/>
    <n v="8.81"/>
    <x v="616"/>
    <n v="130"/>
    <n v="3"/>
    <n v="218082.5"/>
    <n v="654247.5"/>
  </r>
  <r>
    <s v="INV0715"/>
    <s v="Female"/>
    <n v="23"/>
    <x v="0"/>
    <s v="Finance"/>
    <x v="5"/>
    <n v="4971000"/>
    <n v="27.48"/>
    <n v="44.1"/>
    <x v="617"/>
    <n v="188"/>
    <n v="7"/>
    <n v="497100"/>
    <n v="3479700"/>
  </r>
  <r>
    <s v="INV0716"/>
    <s v="Male"/>
    <n v="58"/>
    <x v="2"/>
    <s v="Finance"/>
    <x v="5"/>
    <n v="1714720"/>
    <n v="11.54"/>
    <n v="39.590000000000003"/>
    <x v="262"/>
    <n v="344"/>
    <n v="2"/>
    <n v="171472"/>
    <n v="342944"/>
  </r>
  <r>
    <s v="INV0717"/>
    <s v="Female"/>
    <n v="38"/>
    <x v="2"/>
    <s v="Technology"/>
    <x v="5"/>
    <n v="687393"/>
    <n v="23.74"/>
    <n v="41.69"/>
    <x v="618"/>
    <n v="139"/>
    <n v="8"/>
    <n v="68739.3"/>
    <n v="549914.4"/>
  </r>
  <r>
    <s v="INV0718"/>
    <s v="Male"/>
    <n v="32"/>
    <x v="4"/>
    <s v="Technology"/>
    <x v="4"/>
    <n v="280770"/>
    <n v="30.09"/>
    <n v="28.72"/>
    <x v="619"/>
    <n v="262"/>
    <n v="8"/>
    <n v="28077"/>
    <n v="224616"/>
  </r>
  <r>
    <s v="INV0719"/>
    <s v="Male"/>
    <n v="24"/>
    <x v="2"/>
    <s v="Technology"/>
    <x v="5"/>
    <n v="3408817"/>
    <n v="32.9"/>
    <n v="17.260000000000002"/>
    <x v="212"/>
    <n v="329"/>
    <n v="3"/>
    <n v="340881.7"/>
    <n v="1022645.1000000001"/>
  </r>
  <r>
    <s v="INV0720"/>
    <s v="Female"/>
    <n v="29"/>
    <x v="3"/>
    <s v="Healthcare"/>
    <x v="3"/>
    <n v="220487"/>
    <n v="26.9"/>
    <n v="10.6"/>
    <x v="620"/>
    <n v="131"/>
    <n v="3"/>
    <n v="22048.7"/>
    <n v="66146.100000000006"/>
  </r>
  <r>
    <s v="INV0721"/>
    <s v="Male"/>
    <n v="36"/>
    <x v="3"/>
    <s v="Healthcare"/>
    <x v="3"/>
    <n v="4623231"/>
    <n v="27.46"/>
    <n v="17.79"/>
    <x v="621"/>
    <n v="289"/>
    <n v="2"/>
    <n v="462323.10000000003"/>
    <n v="924646.20000000007"/>
  </r>
  <r>
    <s v="INV0722"/>
    <s v="Female"/>
    <n v="25"/>
    <x v="4"/>
    <s v="Energy"/>
    <x v="1"/>
    <n v="1309422"/>
    <n v="11.94"/>
    <n v="13.54"/>
    <x v="622"/>
    <n v="155"/>
    <n v="3"/>
    <n v="130942.20000000001"/>
    <n v="392826.60000000003"/>
  </r>
  <r>
    <s v="INV0723"/>
    <s v="Female"/>
    <n v="38"/>
    <x v="2"/>
    <s v="Agriculture"/>
    <x v="5"/>
    <n v="1290238"/>
    <n v="8.5500000000000007"/>
    <n v="21.61"/>
    <x v="623"/>
    <n v="44"/>
    <n v="4"/>
    <n v="129023.8"/>
    <n v="516095.2"/>
  </r>
  <r>
    <s v="INV0724"/>
    <s v="Female"/>
    <n v="29"/>
    <x v="3"/>
    <s v="Healthcare"/>
    <x v="3"/>
    <n v="3506004"/>
    <n v="33.47"/>
    <n v="23.2"/>
    <x v="624"/>
    <n v="225"/>
    <n v="2"/>
    <n v="350600.4"/>
    <n v="701200.8"/>
  </r>
  <r>
    <s v="INV0725"/>
    <s v="Male"/>
    <n v="42"/>
    <x v="2"/>
    <s v="Healthcare"/>
    <x v="2"/>
    <n v="4331268"/>
    <n v="34.770000000000003"/>
    <n v="17.21"/>
    <x v="261"/>
    <n v="263"/>
    <n v="8"/>
    <n v="433126.80000000005"/>
    <n v="3465014.4000000004"/>
  </r>
  <r>
    <s v="INV0726"/>
    <s v="Male"/>
    <n v="62"/>
    <x v="0"/>
    <s v="Energy"/>
    <x v="2"/>
    <n v="1124107"/>
    <n v="16.329999999999998"/>
    <n v="32.14"/>
    <x v="174"/>
    <n v="148"/>
    <n v="4"/>
    <n v="112410.70000000001"/>
    <n v="449642.80000000005"/>
  </r>
  <r>
    <s v="INV0727"/>
    <s v="Male"/>
    <n v="49"/>
    <x v="2"/>
    <s v="Finance"/>
    <x v="4"/>
    <n v="3724564"/>
    <n v="21.53"/>
    <n v="3.52"/>
    <x v="625"/>
    <n v="171"/>
    <n v="4"/>
    <n v="372456.4"/>
    <n v="1489825.6"/>
  </r>
  <r>
    <s v="INV0728"/>
    <s v="Male"/>
    <n v="52"/>
    <x v="4"/>
    <s v="Finance"/>
    <x v="0"/>
    <n v="322496"/>
    <n v="18.760000000000002"/>
    <n v="27.81"/>
    <x v="626"/>
    <n v="135"/>
    <n v="7"/>
    <n v="32249.600000000002"/>
    <n v="225747.20000000001"/>
  </r>
  <r>
    <s v="INV0729"/>
    <s v="Male"/>
    <n v="46"/>
    <x v="4"/>
    <s v="Technology"/>
    <x v="4"/>
    <n v="1052970"/>
    <n v="28.17"/>
    <n v="15.62"/>
    <x v="627"/>
    <n v="294"/>
    <n v="4"/>
    <n v="105297"/>
    <n v="421188"/>
  </r>
  <r>
    <s v="INV0730"/>
    <s v="Female"/>
    <n v="43"/>
    <x v="4"/>
    <s v="Finance"/>
    <x v="1"/>
    <n v="4071943"/>
    <n v="29.97"/>
    <n v="9.7100000000000009"/>
    <x v="628"/>
    <n v="208"/>
    <n v="5"/>
    <n v="407194.30000000005"/>
    <n v="2035971.5000000002"/>
  </r>
  <r>
    <s v="INV0731"/>
    <s v="Male"/>
    <n v="47"/>
    <x v="0"/>
    <s v="Healthcare"/>
    <x v="2"/>
    <n v="2649219"/>
    <n v="29.02"/>
    <n v="42.89"/>
    <x v="94"/>
    <n v="188"/>
    <n v="4"/>
    <n v="264921.90000000002"/>
    <n v="1059687.6000000001"/>
  </r>
  <r>
    <s v="INV0732"/>
    <s v="Female"/>
    <n v="49"/>
    <x v="0"/>
    <s v="Agriculture"/>
    <x v="0"/>
    <n v="829757"/>
    <n v="25.21"/>
    <n v="4.79"/>
    <x v="189"/>
    <n v="302"/>
    <n v="7"/>
    <n v="82975.700000000012"/>
    <n v="580829.90000000014"/>
  </r>
  <r>
    <s v="INV0733"/>
    <s v="Female"/>
    <n v="51"/>
    <x v="2"/>
    <s v="Technology"/>
    <x v="0"/>
    <n v="3041634"/>
    <n v="17.350000000000001"/>
    <n v="29.18"/>
    <x v="629"/>
    <n v="121"/>
    <n v="3"/>
    <n v="304163.40000000002"/>
    <n v="912490.20000000007"/>
  </r>
  <r>
    <s v="INV0734"/>
    <s v="Male"/>
    <n v="42"/>
    <x v="2"/>
    <s v="Finance"/>
    <x v="0"/>
    <n v="595959"/>
    <n v="16.89"/>
    <n v="11.29"/>
    <x v="630"/>
    <n v="133"/>
    <n v="4"/>
    <n v="59595.9"/>
    <n v="238383.6"/>
  </r>
  <r>
    <s v="INV0735"/>
    <s v="Male"/>
    <n v="26"/>
    <x v="3"/>
    <s v="Energy"/>
    <x v="1"/>
    <n v="3947200"/>
    <n v="13.82"/>
    <n v="31.57"/>
    <x v="631"/>
    <n v="115"/>
    <n v="6"/>
    <n v="394720"/>
    <n v="2368320"/>
  </r>
  <r>
    <s v="INV0736"/>
    <s v="Female"/>
    <n v="56"/>
    <x v="3"/>
    <s v="Healthcare"/>
    <x v="3"/>
    <n v="1491429"/>
    <n v="24.75"/>
    <n v="21.5"/>
    <x v="632"/>
    <n v="15"/>
    <n v="8"/>
    <n v="149142.9"/>
    <n v="1193143.2"/>
  </r>
  <r>
    <s v="INV0737"/>
    <s v="Male"/>
    <n v="63"/>
    <x v="2"/>
    <s v="Technology"/>
    <x v="0"/>
    <n v="1415363"/>
    <n v="19.78"/>
    <n v="6.71"/>
    <x v="124"/>
    <n v="68"/>
    <n v="5"/>
    <n v="141536.30000000002"/>
    <n v="707681.50000000012"/>
  </r>
  <r>
    <s v="INV0738"/>
    <s v="Male"/>
    <n v="41"/>
    <x v="3"/>
    <s v="Consumer Goods"/>
    <x v="2"/>
    <n v="1856954"/>
    <n v="23.18"/>
    <n v="-8.5399999999999991"/>
    <x v="601"/>
    <n v="355"/>
    <n v="8"/>
    <n v="185695.40000000002"/>
    <n v="1485563.2000000002"/>
  </r>
  <r>
    <s v="INV0739"/>
    <s v="Male"/>
    <n v="37"/>
    <x v="3"/>
    <s v="Energy"/>
    <x v="2"/>
    <n v="4455611"/>
    <n v="21.17"/>
    <n v="13.28"/>
    <x v="633"/>
    <n v="114"/>
    <n v="7"/>
    <n v="445561.10000000003"/>
    <n v="3118927.7"/>
  </r>
  <r>
    <s v="INV0740"/>
    <s v="Male"/>
    <n v="58"/>
    <x v="4"/>
    <s v="Technology"/>
    <x v="3"/>
    <n v="4627987"/>
    <n v="14.38"/>
    <n v="30.84"/>
    <x v="625"/>
    <n v="33"/>
    <n v="4"/>
    <n v="462798.7"/>
    <n v="1851194.8"/>
  </r>
  <r>
    <s v="INV0741"/>
    <s v="Female"/>
    <n v="27"/>
    <x v="2"/>
    <s v="Consumer Goods"/>
    <x v="3"/>
    <n v="2740355"/>
    <n v="30.95"/>
    <n v="-0.61"/>
    <x v="634"/>
    <n v="266"/>
    <n v="5"/>
    <n v="274035.5"/>
    <n v="1370177.5"/>
  </r>
  <r>
    <s v="INV0742"/>
    <s v="Female"/>
    <n v="35"/>
    <x v="1"/>
    <s v="Technology"/>
    <x v="4"/>
    <n v="2189186"/>
    <n v="24.82"/>
    <n v="23.8"/>
    <x v="635"/>
    <n v="30"/>
    <n v="2"/>
    <n v="218918.6"/>
    <n v="437837.2"/>
  </r>
  <r>
    <s v="INV0743"/>
    <s v="Male"/>
    <n v="31"/>
    <x v="4"/>
    <s v="Finance"/>
    <x v="0"/>
    <n v="3658738"/>
    <n v="6.4"/>
    <n v="21.78"/>
    <x v="636"/>
    <n v="37"/>
    <n v="2"/>
    <n v="365873.80000000005"/>
    <n v="731747.60000000009"/>
  </r>
  <r>
    <s v="INV0744"/>
    <s v="Male"/>
    <n v="28"/>
    <x v="3"/>
    <s v="Finance"/>
    <x v="1"/>
    <n v="3382437"/>
    <n v="8.64"/>
    <n v="24.06"/>
    <x v="637"/>
    <n v="131"/>
    <n v="3"/>
    <n v="338243.7"/>
    <n v="1014731.1000000001"/>
  </r>
  <r>
    <s v="INV0745"/>
    <s v="Male"/>
    <n v="54"/>
    <x v="0"/>
    <s v="Technology"/>
    <x v="3"/>
    <n v="3524546"/>
    <n v="33.57"/>
    <n v="5.82"/>
    <x v="638"/>
    <n v="218"/>
    <n v="1"/>
    <n v="352454.60000000003"/>
    <n v="352454.60000000003"/>
  </r>
  <r>
    <s v="INV0746"/>
    <s v="Male"/>
    <n v="23"/>
    <x v="1"/>
    <s v="Healthcare"/>
    <x v="3"/>
    <n v="825656"/>
    <n v="8.02"/>
    <n v="24.81"/>
    <x v="164"/>
    <n v="135"/>
    <n v="7"/>
    <n v="82565.600000000006"/>
    <n v="577959.20000000007"/>
  </r>
  <r>
    <s v="INV0747"/>
    <s v="Female"/>
    <n v="30"/>
    <x v="3"/>
    <s v="Healthcare"/>
    <x v="1"/>
    <n v="55103"/>
    <n v="33.99"/>
    <n v="2.98"/>
    <x v="639"/>
    <n v="286"/>
    <n v="5"/>
    <n v="5510.3"/>
    <n v="27551.5"/>
  </r>
  <r>
    <s v="INV0748"/>
    <s v="Female"/>
    <n v="63"/>
    <x v="2"/>
    <s v="Healthcare"/>
    <x v="3"/>
    <n v="2200034"/>
    <n v="27.55"/>
    <n v="38.369999999999997"/>
    <x v="640"/>
    <n v="220"/>
    <n v="5"/>
    <n v="220003.40000000002"/>
    <n v="1100017"/>
  </r>
  <r>
    <s v="INV0749"/>
    <s v="Female"/>
    <n v="43"/>
    <x v="4"/>
    <s v="Finance"/>
    <x v="3"/>
    <n v="103377"/>
    <n v="23.26"/>
    <n v="40.21"/>
    <x v="569"/>
    <n v="259"/>
    <n v="2"/>
    <n v="10337.700000000001"/>
    <n v="20675.400000000001"/>
  </r>
  <r>
    <s v="INV0750"/>
    <s v="Male"/>
    <n v="30"/>
    <x v="3"/>
    <s v="Healthcare"/>
    <x v="5"/>
    <n v="3552187"/>
    <n v="26.36"/>
    <n v="23.61"/>
    <x v="641"/>
    <n v="26"/>
    <n v="5"/>
    <n v="355218.7"/>
    <n v="1776093.5"/>
  </r>
  <r>
    <s v="INV0751"/>
    <s v="Female"/>
    <n v="26"/>
    <x v="1"/>
    <s v="Healthcare"/>
    <x v="3"/>
    <n v="1061564"/>
    <n v="17.3"/>
    <n v="0.26"/>
    <x v="642"/>
    <n v="211"/>
    <n v="6"/>
    <n v="106156.40000000001"/>
    <n v="636938.4"/>
  </r>
  <r>
    <s v="INV0752"/>
    <s v="Female"/>
    <n v="61"/>
    <x v="4"/>
    <s v="Agriculture"/>
    <x v="3"/>
    <n v="1469805"/>
    <n v="13.06"/>
    <n v="18.52"/>
    <x v="452"/>
    <n v="120"/>
    <n v="8"/>
    <n v="146980.5"/>
    <n v="1175844"/>
  </r>
  <r>
    <s v="INV0753"/>
    <s v="Female"/>
    <n v="22"/>
    <x v="3"/>
    <s v="Finance"/>
    <x v="1"/>
    <n v="2918307"/>
    <n v="31.61"/>
    <n v="8.2100000000000009"/>
    <x v="643"/>
    <n v="299"/>
    <n v="4"/>
    <n v="291830.7"/>
    <n v="1167322.8"/>
  </r>
  <r>
    <s v="INV0754"/>
    <s v="Male"/>
    <n v="22"/>
    <x v="2"/>
    <s v="Energy"/>
    <x v="5"/>
    <n v="3491151"/>
    <n v="19.43"/>
    <n v="42.1"/>
    <x v="644"/>
    <n v="46"/>
    <n v="8"/>
    <n v="349115.10000000003"/>
    <n v="2792920.8000000003"/>
  </r>
  <r>
    <s v="INV0755"/>
    <s v="Female"/>
    <n v="51"/>
    <x v="0"/>
    <s v="Technology"/>
    <x v="0"/>
    <n v="939414"/>
    <n v="16.38"/>
    <n v="-5.66"/>
    <x v="645"/>
    <n v="280"/>
    <n v="5"/>
    <n v="93941.400000000009"/>
    <n v="469707.00000000006"/>
  </r>
  <r>
    <s v="INV0756"/>
    <s v="Male"/>
    <n v="64"/>
    <x v="4"/>
    <s v="Consumer Goods"/>
    <x v="5"/>
    <n v="1540792"/>
    <n v="23.77"/>
    <n v="29.36"/>
    <x v="646"/>
    <n v="52"/>
    <n v="6"/>
    <n v="154079.20000000001"/>
    <n v="924475.20000000007"/>
  </r>
  <r>
    <s v="INV0757"/>
    <s v="Male"/>
    <n v="37"/>
    <x v="2"/>
    <s v="Technology"/>
    <x v="1"/>
    <n v="1694202"/>
    <n v="21.93"/>
    <n v="-0.09"/>
    <x v="647"/>
    <n v="22"/>
    <n v="4"/>
    <n v="169420.2"/>
    <n v="677680.8"/>
  </r>
  <r>
    <s v="INV0758"/>
    <s v="Female"/>
    <n v="43"/>
    <x v="0"/>
    <s v="Agriculture"/>
    <x v="5"/>
    <n v="642476"/>
    <n v="27.27"/>
    <n v="20.9"/>
    <x v="648"/>
    <n v="109"/>
    <n v="5"/>
    <n v="64247.600000000006"/>
    <n v="321238"/>
  </r>
  <r>
    <s v="INV0759"/>
    <s v="Male"/>
    <n v="61"/>
    <x v="4"/>
    <s v="Technology"/>
    <x v="1"/>
    <n v="4094784"/>
    <n v="23.74"/>
    <n v="32.75"/>
    <x v="232"/>
    <n v="115"/>
    <n v="5"/>
    <n v="409478.40000000002"/>
    <n v="2047392"/>
  </r>
  <r>
    <s v="INV0760"/>
    <s v="Female"/>
    <n v="37"/>
    <x v="0"/>
    <s v="Energy"/>
    <x v="5"/>
    <n v="3437388"/>
    <n v="32.549999999999997"/>
    <n v="2.69"/>
    <x v="649"/>
    <n v="330"/>
    <n v="2"/>
    <n v="343738.80000000005"/>
    <n v="687477.60000000009"/>
  </r>
  <r>
    <s v="INV0761"/>
    <s v="Female"/>
    <n v="59"/>
    <x v="0"/>
    <s v="Agriculture"/>
    <x v="4"/>
    <n v="323182"/>
    <n v="20.79"/>
    <n v="36.97"/>
    <x v="650"/>
    <n v="91"/>
    <n v="2"/>
    <n v="32318.2"/>
    <n v="64636.4"/>
  </r>
  <r>
    <s v="INV0762"/>
    <s v="Female"/>
    <n v="63"/>
    <x v="2"/>
    <s v="Technology"/>
    <x v="0"/>
    <n v="864407"/>
    <n v="9.89"/>
    <n v="-0.21"/>
    <x v="651"/>
    <n v="343"/>
    <n v="2"/>
    <n v="86440.700000000012"/>
    <n v="172881.40000000002"/>
  </r>
  <r>
    <s v="INV0763"/>
    <s v="Female"/>
    <n v="59"/>
    <x v="4"/>
    <s v="Technology"/>
    <x v="2"/>
    <n v="4863873"/>
    <n v="29.15"/>
    <n v="-5.25"/>
    <x v="115"/>
    <n v="301"/>
    <n v="3"/>
    <n v="486387.30000000005"/>
    <n v="1459161.9000000001"/>
  </r>
  <r>
    <s v="INV0764"/>
    <s v="Male"/>
    <n v="57"/>
    <x v="4"/>
    <s v="Energy"/>
    <x v="2"/>
    <n v="1721130"/>
    <n v="26.09"/>
    <n v="15.32"/>
    <x v="652"/>
    <n v="266"/>
    <n v="7"/>
    <n v="172113"/>
    <n v="1204791"/>
  </r>
  <r>
    <s v="INV0765"/>
    <s v="Female"/>
    <n v="24"/>
    <x v="2"/>
    <s v="Finance"/>
    <x v="0"/>
    <n v="201496"/>
    <n v="21.21"/>
    <n v="15.25"/>
    <x v="653"/>
    <n v="71"/>
    <n v="5"/>
    <n v="20149.600000000002"/>
    <n v="100748.00000000001"/>
  </r>
  <r>
    <s v="INV0766"/>
    <s v="Female"/>
    <n v="57"/>
    <x v="4"/>
    <s v="Finance"/>
    <x v="3"/>
    <n v="2724321"/>
    <n v="28.82"/>
    <n v="30"/>
    <x v="654"/>
    <n v="286"/>
    <n v="5"/>
    <n v="272432.10000000003"/>
    <n v="1362160.5000000002"/>
  </r>
  <r>
    <s v="INV0767"/>
    <s v="Male"/>
    <n v="25"/>
    <x v="1"/>
    <s v="Finance"/>
    <x v="0"/>
    <n v="1290912"/>
    <n v="16.22"/>
    <n v="24.73"/>
    <x v="655"/>
    <n v="91"/>
    <n v="2"/>
    <n v="129091.20000000001"/>
    <n v="258182.40000000002"/>
  </r>
  <r>
    <s v="INV0768"/>
    <s v="Female"/>
    <n v="43"/>
    <x v="4"/>
    <s v="Energy"/>
    <x v="0"/>
    <n v="1116994"/>
    <n v="18.899999999999999"/>
    <n v="5.37"/>
    <x v="656"/>
    <n v="198"/>
    <n v="7"/>
    <n v="111699.40000000001"/>
    <n v="781895.8"/>
  </r>
  <r>
    <s v="INV0769"/>
    <s v="Female"/>
    <n v="64"/>
    <x v="4"/>
    <s v="Energy"/>
    <x v="3"/>
    <n v="146645"/>
    <n v="34.29"/>
    <n v="36.89"/>
    <x v="657"/>
    <n v="275"/>
    <n v="8"/>
    <n v="14664.5"/>
    <n v="117316"/>
  </r>
  <r>
    <s v="INV0770"/>
    <s v="Male"/>
    <n v="63"/>
    <x v="1"/>
    <s v="Finance"/>
    <x v="5"/>
    <n v="3517318"/>
    <n v="29.48"/>
    <n v="-2.52"/>
    <x v="658"/>
    <n v="267"/>
    <n v="1"/>
    <n v="351731.80000000005"/>
    <n v="351731.80000000005"/>
  </r>
  <r>
    <s v="INV0771"/>
    <s v="Male"/>
    <n v="25"/>
    <x v="4"/>
    <s v="Healthcare"/>
    <x v="3"/>
    <n v="4793838"/>
    <n v="11.42"/>
    <n v="31.22"/>
    <x v="659"/>
    <n v="96"/>
    <n v="6"/>
    <n v="479383.80000000005"/>
    <n v="2876302.8000000003"/>
  </r>
  <r>
    <s v="INV0772"/>
    <s v="Female"/>
    <n v="39"/>
    <x v="0"/>
    <s v="Agriculture"/>
    <x v="2"/>
    <n v="3183595"/>
    <n v="22.13"/>
    <n v="37.76"/>
    <x v="660"/>
    <n v="291"/>
    <n v="7"/>
    <n v="318359.5"/>
    <n v="2228516.5"/>
  </r>
  <r>
    <s v="INV0773"/>
    <s v="Male"/>
    <n v="22"/>
    <x v="0"/>
    <s v="Consumer Goods"/>
    <x v="3"/>
    <n v="4031009"/>
    <n v="18.61"/>
    <n v="-0.94"/>
    <x v="661"/>
    <n v="101"/>
    <n v="2"/>
    <n v="403100.9"/>
    <n v="806201.8"/>
  </r>
  <r>
    <s v="INV0774"/>
    <s v="Male"/>
    <n v="22"/>
    <x v="1"/>
    <s v="Energy"/>
    <x v="1"/>
    <n v="3752496"/>
    <n v="30.4"/>
    <n v="37.92"/>
    <x v="475"/>
    <n v="229"/>
    <n v="7"/>
    <n v="375249.60000000003"/>
    <n v="2626747.2000000002"/>
  </r>
  <r>
    <s v="INV0775"/>
    <s v="Female"/>
    <n v="49"/>
    <x v="0"/>
    <s v="Energy"/>
    <x v="2"/>
    <n v="2291477"/>
    <n v="23.92"/>
    <n v="-5.36"/>
    <x v="662"/>
    <n v="77"/>
    <n v="7"/>
    <n v="229147.7"/>
    <n v="1604033.9000000001"/>
  </r>
  <r>
    <s v="INV0776"/>
    <s v="Male"/>
    <n v="65"/>
    <x v="3"/>
    <s v="Energy"/>
    <x v="1"/>
    <n v="2016163"/>
    <n v="27.14"/>
    <n v="-7.36"/>
    <x v="663"/>
    <n v="350"/>
    <n v="3"/>
    <n v="201616.30000000002"/>
    <n v="604848.9"/>
  </r>
  <r>
    <s v="INV0777"/>
    <s v="Female"/>
    <n v="49"/>
    <x v="2"/>
    <s v="Agriculture"/>
    <x v="5"/>
    <n v="4391653"/>
    <n v="31.75"/>
    <n v="-2.19"/>
    <x v="144"/>
    <n v="33"/>
    <n v="4"/>
    <n v="439165.30000000005"/>
    <n v="1756661.2000000002"/>
  </r>
  <r>
    <s v="INV0778"/>
    <s v="Male"/>
    <n v="24"/>
    <x v="4"/>
    <s v="Energy"/>
    <x v="5"/>
    <n v="497662"/>
    <n v="28.15"/>
    <n v="-8.98"/>
    <x v="664"/>
    <n v="103"/>
    <n v="6"/>
    <n v="49766.200000000004"/>
    <n v="298597.2"/>
  </r>
  <r>
    <s v="INV0779"/>
    <s v="Female"/>
    <n v="21"/>
    <x v="2"/>
    <s v="Consumer Goods"/>
    <x v="3"/>
    <n v="3391695"/>
    <n v="17.95"/>
    <n v="26.87"/>
    <x v="665"/>
    <n v="62"/>
    <n v="7"/>
    <n v="339169.5"/>
    <n v="2374186.5"/>
  </r>
  <r>
    <s v="INV0780"/>
    <s v="Female"/>
    <n v="53"/>
    <x v="3"/>
    <s v="Agriculture"/>
    <x v="3"/>
    <n v="3074876"/>
    <n v="11.38"/>
    <n v="42.86"/>
    <x v="666"/>
    <n v="289"/>
    <n v="7"/>
    <n v="307487.60000000003"/>
    <n v="2152413.2000000002"/>
  </r>
  <r>
    <s v="INV0781"/>
    <s v="Male"/>
    <n v="24"/>
    <x v="0"/>
    <s v="Energy"/>
    <x v="2"/>
    <n v="3785531"/>
    <n v="27.49"/>
    <n v="42.57"/>
    <x v="667"/>
    <n v="240"/>
    <n v="2"/>
    <n v="378553.10000000003"/>
    <n v="757106.20000000007"/>
  </r>
  <r>
    <s v="INV0782"/>
    <s v="Male"/>
    <n v="55"/>
    <x v="0"/>
    <s v="Finance"/>
    <x v="2"/>
    <n v="627822"/>
    <n v="32.68"/>
    <n v="0.39"/>
    <x v="668"/>
    <n v="94"/>
    <n v="2"/>
    <n v="62782.200000000004"/>
    <n v="125564.40000000001"/>
  </r>
  <r>
    <s v="INV0783"/>
    <s v="Male"/>
    <n v="29"/>
    <x v="2"/>
    <s v="Agriculture"/>
    <x v="1"/>
    <n v="1814434"/>
    <n v="26.18"/>
    <n v="2.0099999999999998"/>
    <x v="669"/>
    <n v="106"/>
    <n v="5"/>
    <n v="181443.40000000002"/>
    <n v="907217.00000000012"/>
  </r>
  <r>
    <s v="INV0784"/>
    <s v="Male"/>
    <n v="46"/>
    <x v="0"/>
    <s v="Healthcare"/>
    <x v="1"/>
    <n v="4328832"/>
    <n v="28.17"/>
    <n v="-7.03"/>
    <x v="670"/>
    <n v="212"/>
    <n v="2"/>
    <n v="432883.20000000001"/>
    <n v="865766.40000000002"/>
  </r>
  <r>
    <s v="INV0785"/>
    <s v="Female"/>
    <n v="42"/>
    <x v="4"/>
    <s v="Energy"/>
    <x v="0"/>
    <n v="3097765"/>
    <n v="16.03"/>
    <n v="0.2"/>
    <x v="671"/>
    <n v="23"/>
    <n v="3"/>
    <n v="309776.5"/>
    <n v="929329.5"/>
  </r>
  <r>
    <s v="INV0786"/>
    <s v="Male"/>
    <n v="32"/>
    <x v="2"/>
    <s v="Energy"/>
    <x v="5"/>
    <n v="1917451"/>
    <n v="34.06"/>
    <n v="30.71"/>
    <x v="672"/>
    <n v="32"/>
    <n v="6"/>
    <n v="191745.1"/>
    <n v="1150470.6000000001"/>
  </r>
  <r>
    <s v="INV0787"/>
    <s v="Female"/>
    <n v="65"/>
    <x v="4"/>
    <s v="Agriculture"/>
    <x v="1"/>
    <n v="728977"/>
    <n v="29.94"/>
    <n v="-5.33"/>
    <x v="673"/>
    <n v="21"/>
    <n v="4"/>
    <n v="72897.7"/>
    <n v="291590.8"/>
  </r>
  <r>
    <s v="INV0788"/>
    <s v="Female"/>
    <n v="28"/>
    <x v="4"/>
    <s v="Energy"/>
    <x v="0"/>
    <n v="4318796"/>
    <n v="18.3"/>
    <n v="4.58"/>
    <x v="639"/>
    <n v="125"/>
    <n v="5"/>
    <n v="431879.60000000003"/>
    <n v="2159398"/>
  </r>
  <r>
    <s v="INV0789"/>
    <s v="Female"/>
    <n v="36"/>
    <x v="0"/>
    <s v="Energy"/>
    <x v="2"/>
    <n v="639383"/>
    <n v="6.15"/>
    <n v="-4.4000000000000004"/>
    <x v="674"/>
    <n v="136"/>
    <n v="2"/>
    <n v="63938.3"/>
    <n v="127876.6"/>
  </r>
  <r>
    <s v="INV0790"/>
    <s v="Female"/>
    <n v="56"/>
    <x v="2"/>
    <s v="Finance"/>
    <x v="0"/>
    <n v="3809487"/>
    <n v="11.3"/>
    <n v="44.24"/>
    <x v="624"/>
    <n v="69"/>
    <n v="2"/>
    <n v="380948.7"/>
    <n v="761897.4"/>
  </r>
  <r>
    <s v="INV0791"/>
    <s v="Female"/>
    <n v="47"/>
    <x v="2"/>
    <s v="Agriculture"/>
    <x v="5"/>
    <n v="3794067"/>
    <n v="9.73"/>
    <n v="32.619999999999997"/>
    <x v="675"/>
    <n v="143"/>
    <n v="7"/>
    <n v="379406.7"/>
    <n v="2655846.9"/>
  </r>
  <r>
    <s v="INV0792"/>
    <s v="Female"/>
    <n v="26"/>
    <x v="3"/>
    <s v="Energy"/>
    <x v="5"/>
    <n v="2348038"/>
    <n v="12.54"/>
    <n v="23.91"/>
    <x v="676"/>
    <n v="24"/>
    <n v="5"/>
    <n v="234803.80000000002"/>
    <n v="1174019"/>
  </r>
  <r>
    <s v="INV0793"/>
    <s v="Female"/>
    <n v="23"/>
    <x v="4"/>
    <s v="Energy"/>
    <x v="1"/>
    <n v="3216003"/>
    <n v="23.62"/>
    <n v="14.64"/>
    <x v="677"/>
    <n v="180"/>
    <n v="5"/>
    <n v="321600.30000000005"/>
    <n v="1608001.5000000002"/>
  </r>
  <r>
    <s v="INV0794"/>
    <s v="Female"/>
    <n v="47"/>
    <x v="4"/>
    <s v="Healthcare"/>
    <x v="2"/>
    <n v="3353117"/>
    <n v="11.22"/>
    <n v="5.51"/>
    <x v="678"/>
    <n v="315"/>
    <n v="2"/>
    <n v="335311.7"/>
    <n v="670623.4"/>
  </r>
  <r>
    <s v="INV0795"/>
    <s v="Male"/>
    <n v="23"/>
    <x v="1"/>
    <s v="Energy"/>
    <x v="4"/>
    <n v="286127"/>
    <n v="10.67"/>
    <n v="34.64"/>
    <x v="395"/>
    <n v="205"/>
    <n v="5"/>
    <n v="28612.7"/>
    <n v="143063.5"/>
  </r>
  <r>
    <s v="INV0796"/>
    <s v="Male"/>
    <n v="34"/>
    <x v="3"/>
    <s v="Healthcare"/>
    <x v="2"/>
    <n v="2712188"/>
    <n v="10.34"/>
    <n v="25.91"/>
    <x v="679"/>
    <n v="222"/>
    <n v="4"/>
    <n v="271218.8"/>
    <n v="1084875.2"/>
  </r>
  <r>
    <s v="INV0797"/>
    <s v="Female"/>
    <n v="28"/>
    <x v="3"/>
    <s v="Finance"/>
    <x v="3"/>
    <n v="4743325"/>
    <n v="32.82"/>
    <n v="-2.54"/>
    <x v="604"/>
    <n v="193"/>
    <n v="7"/>
    <n v="474332.5"/>
    <n v="3320327.5"/>
  </r>
  <r>
    <s v="INV0798"/>
    <s v="Female"/>
    <n v="50"/>
    <x v="3"/>
    <s v="Consumer Goods"/>
    <x v="0"/>
    <n v="1585733"/>
    <n v="6.88"/>
    <n v="41.62"/>
    <x v="401"/>
    <n v="340"/>
    <n v="8"/>
    <n v="158573.30000000002"/>
    <n v="1268586.4000000001"/>
  </r>
  <r>
    <s v="INV0799"/>
    <s v="Male"/>
    <n v="40"/>
    <x v="3"/>
    <s v="Consumer Goods"/>
    <x v="0"/>
    <n v="2561999"/>
    <n v="16.52"/>
    <n v="21.02"/>
    <x v="680"/>
    <n v="241"/>
    <n v="3"/>
    <n v="256199.90000000002"/>
    <n v="768599.70000000007"/>
  </r>
  <r>
    <s v="INV0800"/>
    <s v="Female"/>
    <n v="38"/>
    <x v="4"/>
    <s v="Technology"/>
    <x v="5"/>
    <n v="972057"/>
    <n v="19.079999999999998"/>
    <n v="41.79"/>
    <x v="681"/>
    <n v="354"/>
    <n v="5"/>
    <n v="97205.700000000012"/>
    <n v="486028.50000000006"/>
  </r>
  <r>
    <s v="INV0801"/>
    <s v="Female"/>
    <n v="31"/>
    <x v="1"/>
    <s v="Energy"/>
    <x v="0"/>
    <n v="955484"/>
    <n v="29.86"/>
    <n v="-4.96"/>
    <x v="682"/>
    <n v="40"/>
    <n v="8"/>
    <n v="95548.400000000009"/>
    <n v="764387.20000000007"/>
  </r>
  <r>
    <s v="INV0802"/>
    <s v="Female"/>
    <n v="36"/>
    <x v="1"/>
    <s v="Healthcare"/>
    <x v="2"/>
    <n v="2799652"/>
    <n v="32.43"/>
    <n v="26.53"/>
    <x v="16"/>
    <n v="114"/>
    <n v="8"/>
    <n v="279965.2"/>
    <n v="2239721.6"/>
  </r>
  <r>
    <s v="INV0803"/>
    <s v="Male"/>
    <n v="58"/>
    <x v="2"/>
    <s v="Technology"/>
    <x v="5"/>
    <n v="4323888"/>
    <n v="28.76"/>
    <n v="39.82"/>
    <x v="266"/>
    <n v="148"/>
    <n v="4"/>
    <n v="432388.80000000005"/>
    <n v="1729555.2000000002"/>
  </r>
  <r>
    <s v="INV0804"/>
    <s v="Female"/>
    <n v="53"/>
    <x v="3"/>
    <s v="Agriculture"/>
    <x v="0"/>
    <n v="1543502"/>
    <n v="15.17"/>
    <n v="20.3"/>
    <x v="683"/>
    <n v="64"/>
    <n v="2"/>
    <n v="154350.20000000001"/>
    <n v="308700.40000000002"/>
  </r>
  <r>
    <s v="INV0805"/>
    <s v="Female"/>
    <n v="31"/>
    <x v="3"/>
    <s v="Agriculture"/>
    <x v="2"/>
    <n v="4350330"/>
    <n v="24.67"/>
    <n v="8.31"/>
    <x v="684"/>
    <n v="346"/>
    <n v="2"/>
    <n v="435033"/>
    <n v="870066"/>
  </r>
  <r>
    <s v="INV0806"/>
    <s v="Male"/>
    <n v="34"/>
    <x v="1"/>
    <s v="Energy"/>
    <x v="3"/>
    <n v="3678590"/>
    <n v="17.8"/>
    <n v="37.020000000000003"/>
    <x v="685"/>
    <n v="230"/>
    <n v="4"/>
    <n v="367859"/>
    <n v="1471436"/>
  </r>
  <r>
    <s v="INV0807"/>
    <s v="Male"/>
    <n v="33"/>
    <x v="3"/>
    <s v="Agriculture"/>
    <x v="1"/>
    <n v="4143885"/>
    <n v="26.97"/>
    <n v="25.04"/>
    <x v="686"/>
    <n v="32"/>
    <n v="2"/>
    <n v="414388.5"/>
    <n v="828777"/>
  </r>
  <r>
    <s v="INV0808"/>
    <s v="Female"/>
    <n v="62"/>
    <x v="2"/>
    <s v="Healthcare"/>
    <x v="2"/>
    <n v="2289979"/>
    <n v="18.62"/>
    <n v="15.59"/>
    <x v="687"/>
    <n v="49"/>
    <n v="8"/>
    <n v="228997.90000000002"/>
    <n v="1831983.2000000002"/>
  </r>
  <r>
    <s v="INV0809"/>
    <s v="Male"/>
    <n v="61"/>
    <x v="2"/>
    <s v="Finance"/>
    <x v="1"/>
    <n v="3848191"/>
    <n v="8.94"/>
    <n v="4.4400000000000004"/>
    <x v="688"/>
    <n v="192"/>
    <n v="4"/>
    <n v="384819.10000000003"/>
    <n v="1539276.4000000001"/>
  </r>
  <r>
    <s v="INV0810"/>
    <s v="Male"/>
    <n v="38"/>
    <x v="3"/>
    <s v="Agriculture"/>
    <x v="2"/>
    <n v="894136"/>
    <n v="13.59"/>
    <n v="41.15"/>
    <x v="249"/>
    <n v="317"/>
    <n v="2"/>
    <n v="89413.6"/>
    <n v="178827.2"/>
  </r>
  <r>
    <s v="INV0811"/>
    <s v="Male"/>
    <n v="58"/>
    <x v="0"/>
    <s v="Technology"/>
    <x v="1"/>
    <n v="4417835"/>
    <n v="26.87"/>
    <n v="39.14"/>
    <x v="689"/>
    <n v="83"/>
    <n v="3"/>
    <n v="441783.5"/>
    <n v="1325350.5"/>
  </r>
  <r>
    <s v="INV0812"/>
    <s v="Female"/>
    <n v="39"/>
    <x v="2"/>
    <s v="Agriculture"/>
    <x v="3"/>
    <n v="1380847"/>
    <n v="30.73"/>
    <n v="38.81"/>
    <x v="414"/>
    <n v="145"/>
    <n v="5"/>
    <n v="138084.70000000001"/>
    <n v="690423.5"/>
  </r>
  <r>
    <s v="INV0813"/>
    <s v="Male"/>
    <n v="27"/>
    <x v="0"/>
    <s v="Finance"/>
    <x v="0"/>
    <n v="3802989"/>
    <n v="28.71"/>
    <n v="10.33"/>
    <x v="690"/>
    <n v="195"/>
    <n v="6"/>
    <n v="380298.9"/>
    <n v="2281793.4000000004"/>
  </r>
  <r>
    <s v="INV0814"/>
    <s v="Male"/>
    <n v="59"/>
    <x v="2"/>
    <s v="Finance"/>
    <x v="5"/>
    <n v="3122004"/>
    <n v="7.73"/>
    <n v="44.87"/>
    <x v="691"/>
    <n v="242"/>
    <n v="3"/>
    <n v="312200.40000000002"/>
    <n v="936601.20000000007"/>
  </r>
  <r>
    <s v="INV0815"/>
    <s v="Male"/>
    <n v="51"/>
    <x v="0"/>
    <s v="Technology"/>
    <x v="0"/>
    <n v="1436395"/>
    <n v="11.8"/>
    <n v="12.73"/>
    <x v="35"/>
    <n v="364"/>
    <n v="5"/>
    <n v="143639.5"/>
    <n v="718197.5"/>
  </r>
  <r>
    <s v="INV0816"/>
    <s v="Male"/>
    <n v="49"/>
    <x v="2"/>
    <s v="Agriculture"/>
    <x v="3"/>
    <n v="2938500"/>
    <n v="27.51"/>
    <n v="16.670000000000002"/>
    <x v="667"/>
    <n v="220"/>
    <n v="2"/>
    <n v="293850"/>
    <n v="587700"/>
  </r>
  <r>
    <s v="INV0817"/>
    <s v="Male"/>
    <n v="23"/>
    <x v="4"/>
    <s v="Energy"/>
    <x v="0"/>
    <n v="3246880"/>
    <n v="16.52"/>
    <n v="21.8"/>
    <x v="99"/>
    <n v="190"/>
    <n v="6"/>
    <n v="324688"/>
    <n v="1948128"/>
  </r>
  <r>
    <s v="INV0818"/>
    <s v="Male"/>
    <n v="38"/>
    <x v="1"/>
    <s v="Agriculture"/>
    <x v="5"/>
    <n v="2861149"/>
    <n v="21.7"/>
    <n v="9.07"/>
    <x v="692"/>
    <n v="34"/>
    <n v="2"/>
    <n v="286114.90000000002"/>
    <n v="572229.80000000005"/>
  </r>
  <r>
    <s v="INV0819"/>
    <s v="Male"/>
    <n v="65"/>
    <x v="3"/>
    <s v="Technology"/>
    <x v="3"/>
    <n v="467774"/>
    <n v="23.89"/>
    <n v="4.0599999999999996"/>
    <x v="693"/>
    <n v="171"/>
    <n v="6"/>
    <n v="46777.4"/>
    <n v="280664.40000000002"/>
  </r>
  <r>
    <s v="INV0820"/>
    <s v="Male"/>
    <n v="37"/>
    <x v="2"/>
    <s v="Technology"/>
    <x v="1"/>
    <n v="1361828"/>
    <n v="32.96"/>
    <n v="17.12"/>
    <x v="694"/>
    <n v="170"/>
    <n v="7"/>
    <n v="136182.80000000002"/>
    <n v="953279.60000000009"/>
  </r>
  <r>
    <s v="INV0821"/>
    <s v="Male"/>
    <n v="36"/>
    <x v="4"/>
    <s v="Healthcare"/>
    <x v="4"/>
    <n v="4564814"/>
    <n v="6.06"/>
    <n v="-3.32"/>
    <x v="695"/>
    <n v="186"/>
    <n v="7"/>
    <n v="456481.4"/>
    <n v="3195369.8000000003"/>
  </r>
  <r>
    <s v="INV0822"/>
    <s v="Female"/>
    <n v="62"/>
    <x v="1"/>
    <s v="Agriculture"/>
    <x v="2"/>
    <n v="234666"/>
    <n v="33.340000000000003"/>
    <n v="28.87"/>
    <x v="565"/>
    <n v="83"/>
    <n v="4"/>
    <n v="23466.600000000002"/>
    <n v="93866.400000000009"/>
  </r>
  <r>
    <s v="INV0823"/>
    <s v="Male"/>
    <n v="59"/>
    <x v="2"/>
    <s v="Technology"/>
    <x v="0"/>
    <n v="3809179"/>
    <n v="32.090000000000003"/>
    <n v="41.63"/>
    <x v="417"/>
    <n v="348"/>
    <n v="8"/>
    <n v="380917.9"/>
    <n v="3047343.2"/>
  </r>
  <r>
    <s v="INV0824"/>
    <s v="Female"/>
    <n v="26"/>
    <x v="2"/>
    <s v="Agriculture"/>
    <x v="3"/>
    <n v="942339"/>
    <n v="5.63"/>
    <n v="-9.7799999999999994"/>
    <x v="696"/>
    <n v="199"/>
    <n v="3"/>
    <n v="94233.900000000009"/>
    <n v="282701.7"/>
  </r>
  <r>
    <s v="INV0825"/>
    <s v="Female"/>
    <n v="44"/>
    <x v="0"/>
    <s v="Technology"/>
    <x v="0"/>
    <n v="745583"/>
    <n v="28.4"/>
    <n v="8.26"/>
    <x v="301"/>
    <n v="43"/>
    <n v="6"/>
    <n v="74558.3"/>
    <n v="447349.80000000005"/>
  </r>
  <r>
    <s v="INV0826"/>
    <s v="Female"/>
    <n v="45"/>
    <x v="0"/>
    <s v="Energy"/>
    <x v="0"/>
    <n v="337855"/>
    <n v="18.09"/>
    <n v="35.75"/>
    <x v="82"/>
    <n v="88"/>
    <n v="3"/>
    <n v="33785.5"/>
    <n v="101356.5"/>
  </r>
  <r>
    <s v="INV0827"/>
    <s v="Male"/>
    <n v="32"/>
    <x v="2"/>
    <s v="Consumer Goods"/>
    <x v="4"/>
    <n v="4540148"/>
    <n v="23.97"/>
    <n v="15.23"/>
    <x v="153"/>
    <n v="325"/>
    <n v="1"/>
    <n v="454014.80000000005"/>
    <n v="454014.80000000005"/>
  </r>
  <r>
    <s v="INV0828"/>
    <s v="Male"/>
    <n v="60"/>
    <x v="4"/>
    <s v="Finance"/>
    <x v="5"/>
    <n v="2033603"/>
    <n v="28.85"/>
    <n v="10.49"/>
    <x v="697"/>
    <n v="259"/>
    <n v="6"/>
    <n v="203360.30000000002"/>
    <n v="1220161.8"/>
  </r>
  <r>
    <s v="INV0829"/>
    <s v="Male"/>
    <n v="61"/>
    <x v="3"/>
    <s v="Finance"/>
    <x v="4"/>
    <n v="2085991"/>
    <n v="26.21"/>
    <n v="12.71"/>
    <x v="494"/>
    <n v="120"/>
    <n v="8"/>
    <n v="208599.1"/>
    <n v="1668792.8"/>
  </r>
  <r>
    <s v="INV0830"/>
    <s v="Male"/>
    <n v="57"/>
    <x v="2"/>
    <s v="Finance"/>
    <x v="5"/>
    <n v="3398714"/>
    <n v="22.68"/>
    <n v="26.83"/>
    <x v="698"/>
    <n v="257"/>
    <n v="1"/>
    <n v="339871.4"/>
    <n v="339871.4"/>
  </r>
  <r>
    <s v="INV0831"/>
    <s v="Male"/>
    <n v="51"/>
    <x v="4"/>
    <s v="Agriculture"/>
    <x v="0"/>
    <n v="4251396"/>
    <n v="22.88"/>
    <n v="4.47"/>
    <x v="214"/>
    <n v="225"/>
    <n v="6"/>
    <n v="425139.60000000003"/>
    <n v="2550837.6"/>
  </r>
  <r>
    <s v="INV0832"/>
    <s v="Male"/>
    <n v="64"/>
    <x v="3"/>
    <s v="Energy"/>
    <x v="2"/>
    <n v="998747"/>
    <n v="13.68"/>
    <n v="37.08"/>
    <x v="109"/>
    <n v="73"/>
    <n v="2"/>
    <n v="99874.700000000012"/>
    <n v="199749.40000000002"/>
  </r>
  <r>
    <s v="INV0833"/>
    <s v="Female"/>
    <n v="37"/>
    <x v="0"/>
    <s v="Finance"/>
    <x v="3"/>
    <n v="805305"/>
    <n v="30.34"/>
    <n v="18.47"/>
    <x v="353"/>
    <n v="170"/>
    <n v="6"/>
    <n v="80530.5"/>
    <n v="483183"/>
  </r>
  <r>
    <s v="INV0834"/>
    <s v="Female"/>
    <n v="30"/>
    <x v="3"/>
    <s v="Finance"/>
    <x v="2"/>
    <n v="4644353"/>
    <n v="12.45"/>
    <n v="28.16"/>
    <x v="647"/>
    <n v="269"/>
    <n v="4"/>
    <n v="464435.30000000005"/>
    <n v="1857741.2000000002"/>
  </r>
  <r>
    <s v="INV0835"/>
    <s v="Male"/>
    <n v="24"/>
    <x v="0"/>
    <s v="Finance"/>
    <x v="0"/>
    <n v="2219465"/>
    <n v="20.440000000000001"/>
    <n v="-3.92"/>
    <x v="77"/>
    <n v="197"/>
    <n v="8"/>
    <n v="221946.5"/>
    <n v="1775572"/>
  </r>
  <r>
    <s v="INV0836"/>
    <s v="Female"/>
    <n v="44"/>
    <x v="2"/>
    <s v="Energy"/>
    <x v="1"/>
    <n v="4571007"/>
    <n v="13.05"/>
    <n v="5.13"/>
    <x v="699"/>
    <n v="295"/>
    <n v="5"/>
    <n v="457100.7"/>
    <n v="2285503.5"/>
  </r>
  <r>
    <s v="INV0837"/>
    <s v="Male"/>
    <n v="41"/>
    <x v="0"/>
    <s v="Finance"/>
    <x v="2"/>
    <n v="4374969"/>
    <n v="7.34"/>
    <n v="16.52"/>
    <x v="280"/>
    <n v="100"/>
    <n v="7"/>
    <n v="437496.9"/>
    <n v="3062478.3000000003"/>
  </r>
  <r>
    <s v="INV0838"/>
    <s v="Male"/>
    <n v="34"/>
    <x v="2"/>
    <s v="Consumer Goods"/>
    <x v="4"/>
    <n v="1350083"/>
    <n v="24.79"/>
    <n v="44.21"/>
    <x v="700"/>
    <n v="194"/>
    <n v="6"/>
    <n v="135008.30000000002"/>
    <n v="810049.8"/>
  </r>
  <r>
    <s v="INV0839"/>
    <s v="Male"/>
    <n v="45"/>
    <x v="1"/>
    <s v="Energy"/>
    <x v="1"/>
    <n v="847232"/>
    <n v="21.63"/>
    <n v="33.85"/>
    <x v="701"/>
    <n v="21"/>
    <n v="2"/>
    <n v="84723.200000000012"/>
    <n v="169446.40000000002"/>
  </r>
  <r>
    <s v="INV0840"/>
    <s v="Female"/>
    <n v="52"/>
    <x v="4"/>
    <s v="Technology"/>
    <x v="0"/>
    <n v="4457672"/>
    <n v="21.69"/>
    <n v="-5.73"/>
    <x v="259"/>
    <n v="84"/>
    <n v="5"/>
    <n v="445767.2"/>
    <n v="2228836"/>
  </r>
  <r>
    <s v="INV0841"/>
    <s v="Female"/>
    <n v="51"/>
    <x v="3"/>
    <s v="Healthcare"/>
    <x v="1"/>
    <n v="83271"/>
    <n v="12.94"/>
    <n v="1.17"/>
    <x v="525"/>
    <n v="120"/>
    <n v="7"/>
    <n v="8327.1"/>
    <n v="58289.700000000004"/>
  </r>
  <r>
    <s v="INV0842"/>
    <s v="Female"/>
    <n v="31"/>
    <x v="2"/>
    <s v="Energy"/>
    <x v="5"/>
    <n v="1528491"/>
    <n v="5.18"/>
    <n v="9.83"/>
    <x v="132"/>
    <n v="138"/>
    <n v="6"/>
    <n v="152849.1"/>
    <n v="917094.60000000009"/>
  </r>
  <r>
    <s v="INV0843"/>
    <s v="Male"/>
    <n v="49"/>
    <x v="3"/>
    <s v="Technology"/>
    <x v="2"/>
    <n v="1349302"/>
    <n v="28.59"/>
    <n v="9.7799999999999994"/>
    <x v="702"/>
    <n v="287"/>
    <n v="5"/>
    <n v="134930.20000000001"/>
    <n v="674651"/>
  </r>
  <r>
    <s v="INV0844"/>
    <s v="Female"/>
    <n v="54"/>
    <x v="4"/>
    <s v="Technology"/>
    <x v="3"/>
    <n v="1589385"/>
    <n v="25.76"/>
    <n v="11.54"/>
    <x v="703"/>
    <n v="345"/>
    <n v="3"/>
    <n v="158938.5"/>
    <n v="476815.5"/>
  </r>
  <r>
    <s v="INV0845"/>
    <s v="Male"/>
    <n v="63"/>
    <x v="4"/>
    <s v="Consumer Goods"/>
    <x v="0"/>
    <n v="1124760"/>
    <n v="27.26"/>
    <n v="13.29"/>
    <x v="385"/>
    <n v="319"/>
    <n v="2"/>
    <n v="112476"/>
    <n v="224952"/>
  </r>
  <r>
    <s v="INV0846"/>
    <s v="Female"/>
    <n v="21"/>
    <x v="1"/>
    <s v="Energy"/>
    <x v="2"/>
    <n v="2493541"/>
    <n v="33.950000000000003"/>
    <n v="37.880000000000003"/>
    <x v="704"/>
    <n v="10"/>
    <n v="1"/>
    <n v="249354.1"/>
    <n v="249354.1"/>
  </r>
  <r>
    <s v="INV0847"/>
    <s v="Male"/>
    <n v="62"/>
    <x v="3"/>
    <s v="Finance"/>
    <x v="3"/>
    <n v="3355855"/>
    <n v="23.07"/>
    <n v="29.2"/>
    <x v="145"/>
    <n v="100"/>
    <n v="3"/>
    <n v="335585.5"/>
    <n v="1006756.5"/>
  </r>
  <r>
    <s v="INV0848"/>
    <s v="Male"/>
    <n v="23"/>
    <x v="3"/>
    <s v="Healthcare"/>
    <x v="2"/>
    <n v="3418319"/>
    <n v="7.04"/>
    <n v="40.200000000000003"/>
    <x v="705"/>
    <n v="244"/>
    <n v="7"/>
    <n v="341831.9"/>
    <n v="2392823.3000000003"/>
  </r>
  <r>
    <s v="INV0849"/>
    <s v="Female"/>
    <n v="44"/>
    <x v="1"/>
    <s v="Technology"/>
    <x v="4"/>
    <n v="536125"/>
    <n v="33.44"/>
    <n v="38.03"/>
    <x v="706"/>
    <n v="284"/>
    <n v="2"/>
    <n v="53612.5"/>
    <n v="107225"/>
  </r>
  <r>
    <s v="INV0850"/>
    <s v="Female"/>
    <n v="27"/>
    <x v="1"/>
    <s v="Finance"/>
    <x v="3"/>
    <n v="4463495"/>
    <n v="34.380000000000003"/>
    <n v="-6.11"/>
    <x v="707"/>
    <n v="227"/>
    <n v="7"/>
    <n v="446349.5"/>
    <n v="3124446.5"/>
  </r>
  <r>
    <s v="INV0851"/>
    <s v="Female"/>
    <n v="22"/>
    <x v="3"/>
    <s v="Technology"/>
    <x v="3"/>
    <n v="1706612"/>
    <n v="7.45"/>
    <n v="11.17"/>
    <x v="685"/>
    <n v="153"/>
    <n v="4"/>
    <n v="170661.2"/>
    <n v="682644.8"/>
  </r>
  <r>
    <s v="INV0852"/>
    <s v="Female"/>
    <n v="29"/>
    <x v="2"/>
    <s v="Energy"/>
    <x v="2"/>
    <n v="3277344"/>
    <n v="29.23"/>
    <n v="42.01"/>
    <x v="708"/>
    <n v="23"/>
    <n v="8"/>
    <n v="327734.40000000002"/>
    <n v="2621875.2000000002"/>
  </r>
  <r>
    <s v="INV0853"/>
    <s v="Male"/>
    <n v="53"/>
    <x v="3"/>
    <s v="Agriculture"/>
    <x v="0"/>
    <n v="1469798"/>
    <n v="13.64"/>
    <n v="7.61"/>
    <x v="122"/>
    <n v="231"/>
    <n v="3"/>
    <n v="146979.80000000002"/>
    <n v="440939.4"/>
  </r>
  <r>
    <s v="INV0854"/>
    <s v="Female"/>
    <n v="61"/>
    <x v="3"/>
    <s v="Healthcare"/>
    <x v="4"/>
    <n v="83257"/>
    <n v="9.6300000000000008"/>
    <n v="21.6"/>
    <x v="626"/>
    <n v="316"/>
    <n v="7"/>
    <n v="8325.7000000000007"/>
    <n v="58279.900000000009"/>
  </r>
  <r>
    <s v="INV0855"/>
    <s v="Male"/>
    <n v="35"/>
    <x v="2"/>
    <s v="Consumer Goods"/>
    <x v="2"/>
    <n v="4545250"/>
    <n v="10.06"/>
    <n v="0.93"/>
    <x v="709"/>
    <n v="98"/>
    <n v="1"/>
    <n v="454525"/>
    <n v="454525"/>
  </r>
  <r>
    <s v="INV0856"/>
    <s v="Male"/>
    <n v="58"/>
    <x v="3"/>
    <s v="Consumer Goods"/>
    <x v="0"/>
    <n v="1224875"/>
    <n v="34.479999999999997"/>
    <n v="5.82"/>
    <x v="710"/>
    <n v="251"/>
    <n v="1"/>
    <n v="122487.5"/>
    <n v="122487.5"/>
  </r>
  <r>
    <s v="INV0857"/>
    <s v="Female"/>
    <n v="54"/>
    <x v="2"/>
    <s v="Technology"/>
    <x v="1"/>
    <n v="472812"/>
    <n v="30.87"/>
    <n v="18.989999999999998"/>
    <x v="711"/>
    <n v="317"/>
    <n v="6"/>
    <n v="47281.200000000004"/>
    <n v="283687.2"/>
  </r>
  <r>
    <s v="INV0858"/>
    <s v="Male"/>
    <n v="55"/>
    <x v="4"/>
    <s v="Agriculture"/>
    <x v="4"/>
    <n v="1129594"/>
    <n v="24.26"/>
    <n v="25.01"/>
    <x v="712"/>
    <n v="11"/>
    <n v="5"/>
    <n v="112959.40000000001"/>
    <n v="564797"/>
  </r>
  <r>
    <s v="INV0859"/>
    <s v="Male"/>
    <n v="36"/>
    <x v="2"/>
    <s v="Healthcare"/>
    <x v="0"/>
    <n v="2006445"/>
    <n v="29.02"/>
    <n v="30.86"/>
    <x v="713"/>
    <n v="219"/>
    <n v="7"/>
    <n v="200644.5"/>
    <n v="1404511.5"/>
  </r>
  <r>
    <s v="INV0860"/>
    <s v="Male"/>
    <n v="34"/>
    <x v="4"/>
    <s v="Energy"/>
    <x v="2"/>
    <n v="617794"/>
    <n v="31.32"/>
    <n v="30.3"/>
    <x v="714"/>
    <n v="218"/>
    <n v="3"/>
    <n v="61779.4"/>
    <n v="185338.2"/>
  </r>
  <r>
    <s v="INV0861"/>
    <s v="Female"/>
    <n v="43"/>
    <x v="2"/>
    <s v="Finance"/>
    <x v="5"/>
    <n v="3440636"/>
    <n v="23.87"/>
    <n v="41.2"/>
    <x v="715"/>
    <n v="248"/>
    <n v="6"/>
    <n v="344063.60000000003"/>
    <n v="2064381.6"/>
  </r>
  <r>
    <s v="INV0862"/>
    <s v="Male"/>
    <n v="49"/>
    <x v="0"/>
    <s v="Healthcare"/>
    <x v="2"/>
    <n v="3937233"/>
    <n v="24.47"/>
    <n v="28.11"/>
    <x v="716"/>
    <n v="263"/>
    <n v="3"/>
    <n v="393723.30000000005"/>
    <n v="1181169.9000000001"/>
  </r>
  <r>
    <s v="INV0863"/>
    <s v="Female"/>
    <n v="41"/>
    <x v="3"/>
    <s v="Energy"/>
    <x v="0"/>
    <n v="1430705"/>
    <n v="20.58"/>
    <n v="20.99"/>
    <x v="717"/>
    <n v="135"/>
    <n v="2"/>
    <n v="143070.5"/>
    <n v="286141"/>
  </r>
  <r>
    <s v="INV0864"/>
    <s v="Male"/>
    <n v="24"/>
    <x v="2"/>
    <s v="Energy"/>
    <x v="5"/>
    <n v="3391737"/>
    <n v="27.29"/>
    <n v="32.57"/>
    <x v="17"/>
    <n v="244"/>
    <n v="5"/>
    <n v="339173.7"/>
    <n v="1695868.5"/>
  </r>
  <r>
    <s v="INV0865"/>
    <s v="Male"/>
    <n v="31"/>
    <x v="0"/>
    <s v="Finance"/>
    <x v="3"/>
    <n v="4917734"/>
    <n v="5.58"/>
    <n v="33.57"/>
    <x v="299"/>
    <n v="307"/>
    <n v="8"/>
    <n v="491773.4"/>
    <n v="3934187.2"/>
  </r>
  <r>
    <s v="INV0866"/>
    <s v="Male"/>
    <n v="61"/>
    <x v="2"/>
    <s v="Consumer Goods"/>
    <x v="4"/>
    <n v="3723002"/>
    <n v="30.92"/>
    <n v="13.65"/>
    <x v="718"/>
    <n v="31"/>
    <n v="2"/>
    <n v="372300.2"/>
    <n v="744600.4"/>
  </r>
  <r>
    <s v="INV0867"/>
    <s v="Female"/>
    <n v="27"/>
    <x v="4"/>
    <s v="Technology"/>
    <x v="2"/>
    <n v="4863102"/>
    <n v="21.84"/>
    <n v="27.16"/>
    <x v="719"/>
    <n v="300"/>
    <n v="6"/>
    <n v="486310.2"/>
    <n v="2917861.2"/>
  </r>
  <r>
    <s v="INV0868"/>
    <s v="Male"/>
    <n v="43"/>
    <x v="2"/>
    <s v="Energy"/>
    <x v="2"/>
    <n v="4308942"/>
    <n v="21.4"/>
    <n v="-2.25"/>
    <x v="330"/>
    <n v="220"/>
    <n v="6"/>
    <n v="430894.2"/>
    <n v="2585365.2000000002"/>
  </r>
  <r>
    <s v="INV0869"/>
    <s v="Male"/>
    <n v="47"/>
    <x v="0"/>
    <s v="Finance"/>
    <x v="0"/>
    <n v="1136739"/>
    <n v="25.48"/>
    <n v="-2.74"/>
    <x v="307"/>
    <n v="335"/>
    <n v="6"/>
    <n v="113673.90000000001"/>
    <n v="682043.4"/>
  </r>
  <r>
    <s v="INV0870"/>
    <s v="Male"/>
    <n v="22"/>
    <x v="4"/>
    <s v="Finance"/>
    <x v="0"/>
    <n v="3221199"/>
    <n v="23.34"/>
    <n v="38.86"/>
    <x v="720"/>
    <n v="326"/>
    <n v="6"/>
    <n v="322119.90000000002"/>
    <n v="1932719.4000000001"/>
  </r>
  <r>
    <s v="INV0871"/>
    <s v="Female"/>
    <n v="23"/>
    <x v="1"/>
    <s v="Technology"/>
    <x v="4"/>
    <n v="2286379"/>
    <n v="8.2899999999999991"/>
    <n v="-9.58"/>
    <x v="721"/>
    <n v="288"/>
    <n v="4"/>
    <n v="228637.90000000002"/>
    <n v="914551.60000000009"/>
  </r>
  <r>
    <s v="INV0872"/>
    <s v="Male"/>
    <n v="51"/>
    <x v="4"/>
    <s v="Technology"/>
    <x v="4"/>
    <n v="1182047"/>
    <n v="11.75"/>
    <n v="40.450000000000003"/>
    <x v="722"/>
    <n v="64"/>
    <n v="7"/>
    <n v="118204.70000000001"/>
    <n v="827432.90000000014"/>
  </r>
  <r>
    <s v="INV0873"/>
    <s v="Female"/>
    <n v="51"/>
    <x v="1"/>
    <s v="Finance"/>
    <x v="2"/>
    <n v="2057010"/>
    <n v="34.67"/>
    <n v="21.87"/>
    <x v="723"/>
    <n v="276"/>
    <n v="1"/>
    <n v="205701"/>
    <n v="205701"/>
  </r>
  <r>
    <s v="INV0874"/>
    <s v="Female"/>
    <n v="29"/>
    <x v="2"/>
    <s v="Healthcare"/>
    <x v="2"/>
    <n v="1416474"/>
    <n v="18.75"/>
    <n v="34.51"/>
    <x v="472"/>
    <n v="171"/>
    <n v="6"/>
    <n v="141647.4"/>
    <n v="849884.39999999991"/>
  </r>
  <r>
    <s v="INV0875"/>
    <s v="Male"/>
    <n v="52"/>
    <x v="3"/>
    <s v="Agriculture"/>
    <x v="5"/>
    <n v="4957322"/>
    <n v="6.05"/>
    <n v="40.56"/>
    <x v="724"/>
    <n v="46"/>
    <n v="8"/>
    <n v="495732.2"/>
    <n v="3965857.6"/>
  </r>
  <r>
    <s v="INV0876"/>
    <s v="Male"/>
    <n v="36"/>
    <x v="4"/>
    <s v="Consumer Goods"/>
    <x v="5"/>
    <n v="4331293"/>
    <n v="33.03"/>
    <n v="35.270000000000003"/>
    <x v="408"/>
    <n v="364"/>
    <n v="4"/>
    <n v="433129.30000000005"/>
    <n v="1732517.2000000002"/>
  </r>
  <r>
    <s v="INV0877"/>
    <s v="Male"/>
    <n v="27"/>
    <x v="0"/>
    <s v="Healthcare"/>
    <x v="3"/>
    <n v="4293674"/>
    <n v="33.46"/>
    <n v="9.31"/>
    <x v="725"/>
    <n v="246"/>
    <n v="4"/>
    <n v="429367.4"/>
    <n v="1717469.6"/>
  </r>
  <r>
    <s v="INV0878"/>
    <s v="Male"/>
    <n v="45"/>
    <x v="1"/>
    <s v="Consumer Goods"/>
    <x v="3"/>
    <n v="1339434"/>
    <n v="13.21"/>
    <n v="-2.9"/>
    <x v="73"/>
    <n v="232"/>
    <n v="3"/>
    <n v="133943.4"/>
    <n v="401830.19999999995"/>
  </r>
  <r>
    <s v="INV0879"/>
    <s v="Female"/>
    <n v="42"/>
    <x v="2"/>
    <s v="Healthcare"/>
    <x v="4"/>
    <n v="4164697"/>
    <n v="31.01"/>
    <n v="3.78"/>
    <x v="726"/>
    <n v="149"/>
    <n v="6"/>
    <n v="416469.7"/>
    <n v="2498818.2000000002"/>
  </r>
  <r>
    <s v="INV0880"/>
    <s v="Female"/>
    <n v="51"/>
    <x v="3"/>
    <s v="Consumer Goods"/>
    <x v="1"/>
    <n v="4968461"/>
    <n v="23.98"/>
    <n v="19.53"/>
    <x v="98"/>
    <n v="81"/>
    <n v="3"/>
    <n v="496846.10000000003"/>
    <n v="1490538.3"/>
  </r>
  <r>
    <s v="INV0881"/>
    <s v="Male"/>
    <n v="33"/>
    <x v="4"/>
    <s v="Energy"/>
    <x v="3"/>
    <n v="1145437"/>
    <n v="16.850000000000001"/>
    <n v="23.97"/>
    <x v="474"/>
    <n v="186"/>
    <n v="6"/>
    <n v="114543.70000000001"/>
    <n v="687262.20000000007"/>
  </r>
  <r>
    <s v="INV0882"/>
    <s v="Female"/>
    <n v="41"/>
    <x v="0"/>
    <s v="Healthcare"/>
    <x v="0"/>
    <n v="2955031"/>
    <n v="33.299999999999997"/>
    <n v="-3.39"/>
    <x v="727"/>
    <n v="35"/>
    <n v="7"/>
    <n v="295503.10000000003"/>
    <n v="2068521.7000000002"/>
  </r>
  <r>
    <s v="INV0883"/>
    <s v="Female"/>
    <n v="30"/>
    <x v="4"/>
    <s v="Consumer Goods"/>
    <x v="5"/>
    <n v="3590192"/>
    <n v="33.770000000000003"/>
    <n v="7.86"/>
    <x v="241"/>
    <n v="211"/>
    <n v="7"/>
    <n v="359019.2"/>
    <n v="2513134.4"/>
  </r>
  <r>
    <s v="INV0884"/>
    <s v="Male"/>
    <n v="29"/>
    <x v="3"/>
    <s v="Technology"/>
    <x v="4"/>
    <n v="2557161"/>
    <n v="13.89"/>
    <n v="23.62"/>
    <x v="728"/>
    <n v="58"/>
    <n v="5"/>
    <n v="255716.1"/>
    <n v="1278580.5"/>
  </r>
  <r>
    <s v="INV0885"/>
    <s v="Male"/>
    <n v="35"/>
    <x v="0"/>
    <s v="Healthcare"/>
    <x v="5"/>
    <n v="1721458"/>
    <n v="13.63"/>
    <n v="25.99"/>
    <x v="729"/>
    <n v="307"/>
    <n v="5"/>
    <n v="172145.80000000002"/>
    <n v="860729.00000000012"/>
  </r>
  <r>
    <s v="INV0886"/>
    <s v="Female"/>
    <n v="65"/>
    <x v="3"/>
    <s v="Consumer Goods"/>
    <x v="0"/>
    <n v="1832220"/>
    <n v="23.18"/>
    <n v="13.08"/>
    <x v="730"/>
    <n v="147"/>
    <n v="3"/>
    <n v="183222"/>
    <n v="549666"/>
  </r>
  <r>
    <s v="INV0887"/>
    <s v="Male"/>
    <n v="22"/>
    <x v="3"/>
    <s v="Consumer Goods"/>
    <x v="3"/>
    <n v="201373"/>
    <n v="16.75"/>
    <n v="3.59"/>
    <x v="413"/>
    <n v="129"/>
    <n v="6"/>
    <n v="20137.300000000003"/>
    <n v="120823.80000000002"/>
  </r>
  <r>
    <s v="INV0888"/>
    <s v="Female"/>
    <n v="64"/>
    <x v="0"/>
    <s v="Finance"/>
    <x v="5"/>
    <n v="708309"/>
    <n v="28.48"/>
    <n v="6.32"/>
    <x v="731"/>
    <n v="80"/>
    <n v="5"/>
    <n v="70830.900000000009"/>
    <n v="354154.50000000006"/>
  </r>
  <r>
    <s v="INV0889"/>
    <s v="Female"/>
    <n v="27"/>
    <x v="1"/>
    <s v="Technology"/>
    <x v="1"/>
    <n v="3687969"/>
    <n v="10.66"/>
    <n v="-9.98"/>
    <x v="732"/>
    <n v="195"/>
    <n v="5"/>
    <n v="368796.9"/>
    <n v="1843984.5"/>
  </r>
  <r>
    <s v="INV0890"/>
    <s v="Male"/>
    <n v="49"/>
    <x v="0"/>
    <s v="Healthcare"/>
    <x v="1"/>
    <n v="4621601"/>
    <n v="24.15"/>
    <n v="3.18"/>
    <x v="733"/>
    <n v="231"/>
    <n v="6"/>
    <n v="462160.10000000003"/>
    <n v="2772960.6"/>
  </r>
  <r>
    <s v="INV0891"/>
    <s v="Male"/>
    <n v="48"/>
    <x v="1"/>
    <s v="Agriculture"/>
    <x v="3"/>
    <n v="447639"/>
    <n v="21.71"/>
    <n v="4.05"/>
    <x v="403"/>
    <n v="334"/>
    <n v="6"/>
    <n v="44763.9"/>
    <n v="268583.40000000002"/>
  </r>
  <r>
    <s v="INV0892"/>
    <s v="Male"/>
    <n v="34"/>
    <x v="0"/>
    <s v="Agriculture"/>
    <x v="1"/>
    <n v="1333855"/>
    <n v="21.57"/>
    <n v="16.59"/>
    <x v="709"/>
    <n v="187"/>
    <n v="1"/>
    <n v="133385.5"/>
    <n v="133385.5"/>
  </r>
  <r>
    <s v="INV0893"/>
    <s v="Female"/>
    <n v="30"/>
    <x v="3"/>
    <s v="Consumer Goods"/>
    <x v="1"/>
    <n v="3668472"/>
    <n v="27.64"/>
    <n v="13.96"/>
    <x v="734"/>
    <n v="96"/>
    <n v="4"/>
    <n v="366847.2"/>
    <n v="1467388.8"/>
  </r>
  <r>
    <s v="INV0894"/>
    <s v="Female"/>
    <n v="22"/>
    <x v="3"/>
    <s v="Healthcare"/>
    <x v="0"/>
    <n v="4768210"/>
    <n v="27.22"/>
    <n v="28.67"/>
    <x v="735"/>
    <n v="124"/>
    <n v="2"/>
    <n v="476821"/>
    <n v="953642"/>
  </r>
  <r>
    <s v="INV0895"/>
    <s v="Female"/>
    <n v="37"/>
    <x v="3"/>
    <s v="Consumer Goods"/>
    <x v="5"/>
    <n v="4054659"/>
    <n v="20.5"/>
    <n v="12.56"/>
    <x v="736"/>
    <n v="171"/>
    <n v="5"/>
    <n v="405465.9"/>
    <n v="2027329.5"/>
  </r>
  <r>
    <s v="INV0896"/>
    <s v="Male"/>
    <n v="47"/>
    <x v="0"/>
    <s v="Consumer Goods"/>
    <x v="5"/>
    <n v="3704879"/>
    <n v="19.440000000000001"/>
    <n v="15.67"/>
    <x v="75"/>
    <n v="285"/>
    <n v="5"/>
    <n v="370487.9"/>
    <n v="1852439.5"/>
  </r>
  <r>
    <s v="INV0897"/>
    <s v="Female"/>
    <n v="59"/>
    <x v="2"/>
    <s v="Agriculture"/>
    <x v="1"/>
    <n v="3061248"/>
    <n v="26.37"/>
    <n v="24.54"/>
    <x v="180"/>
    <n v="219"/>
    <n v="3"/>
    <n v="306124.79999999999"/>
    <n v="918374.39999999991"/>
  </r>
  <r>
    <s v="INV0898"/>
    <s v="Female"/>
    <n v="56"/>
    <x v="2"/>
    <s v="Finance"/>
    <x v="0"/>
    <n v="4184229"/>
    <n v="29.04"/>
    <n v="5.04"/>
    <x v="336"/>
    <n v="27"/>
    <n v="5"/>
    <n v="418422.9"/>
    <n v="2092114.5"/>
  </r>
  <r>
    <s v="INV0899"/>
    <s v="Female"/>
    <n v="45"/>
    <x v="4"/>
    <s v="Finance"/>
    <x v="1"/>
    <n v="2863688"/>
    <n v="5.44"/>
    <n v="13.28"/>
    <x v="188"/>
    <n v="148"/>
    <n v="3"/>
    <n v="286368.8"/>
    <n v="859106.39999999991"/>
  </r>
  <r>
    <s v="INV0900"/>
    <s v="Female"/>
    <n v="38"/>
    <x v="0"/>
    <s v="Consumer Goods"/>
    <x v="5"/>
    <n v="4184417"/>
    <n v="34.1"/>
    <n v="34.049999999999997"/>
    <x v="737"/>
    <n v="313"/>
    <n v="7"/>
    <n v="418441.7"/>
    <n v="2929091.9"/>
  </r>
  <r>
    <s v="INV0901"/>
    <s v="Male"/>
    <n v="24"/>
    <x v="3"/>
    <s v="Energy"/>
    <x v="0"/>
    <n v="4003703"/>
    <n v="32.130000000000003"/>
    <n v="38.75"/>
    <x v="738"/>
    <n v="60"/>
    <n v="2"/>
    <n v="400370.30000000005"/>
    <n v="800740.60000000009"/>
  </r>
  <r>
    <s v="INV0902"/>
    <s v="Male"/>
    <n v="27"/>
    <x v="4"/>
    <s v="Energy"/>
    <x v="5"/>
    <n v="2268967"/>
    <n v="19.8"/>
    <n v="-8.75"/>
    <x v="739"/>
    <n v="228"/>
    <n v="6"/>
    <n v="226896.7"/>
    <n v="1361380.2000000002"/>
  </r>
  <r>
    <s v="INV0903"/>
    <s v="Female"/>
    <n v="28"/>
    <x v="4"/>
    <s v="Energy"/>
    <x v="4"/>
    <n v="4189898"/>
    <n v="19.04"/>
    <n v="-2.08"/>
    <x v="740"/>
    <n v="310"/>
    <n v="5"/>
    <n v="418989.80000000005"/>
    <n v="2094949.0000000002"/>
  </r>
  <r>
    <s v="INV0904"/>
    <s v="Male"/>
    <n v="30"/>
    <x v="4"/>
    <s v="Technology"/>
    <x v="5"/>
    <n v="4859723"/>
    <n v="7.16"/>
    <n v="26.84"/>
    <x v="741"/>
    <n v="248"/>
    <n v="4"/>
    <n v="485972.30000000005"/>
    <n v="1943889.2000000002"/>
  </r>
  <r>
    <s v="INV0905"/>
    <s v="Female"/>
    <n v="54"/>
    <x v="1"/>
    <s v="Finance"/>
    <x v="5"/>
    <n v="2147254"/>
    <n v="20.32"/>
    <n v="31.42"/>
    <x v="594"/>
    <n v="235"/>
    <n v="8"/>
    <n v="214725.40000000002"/>
    <n v="1717803.2000000002"/>
  </r>
  <r>
    <s v="INV0906"/>
    <s v="Male"/>
    <n v="22"/>
    <x v="2"/>
    <s v="Technology"/>
    <x v="4"/>
    <n v="3649515"/>
    <n v="33.32"/>
    <n v="42.3"/>
    <x v="742"/>
    <n v="246"/>
    <n v="1"/>
    <n v="364951.5"/>
    <n v="364951.5"/>
  </r>
  <r>
    <s v="INV0907"/>
    <s v="Female"/>
    <n v="51"/>
    <x v="3"/>
    <s v="Consumer Goods"/>
    <x v="0"/>
    <n v="740707"/>
    <n v="31.2"/>
    <n v="-7.85"/>
    <x v="743"/>
    <n v="288"/>
    <n v="5"/>
    <n v="74070.7"/>
    <n v="370353.5"/>
  </r>
  <r>
    <s v="INV0908"/>
    <s v="Male"/>
    <n v="53"/>
    <x v="4"/>
    <s v="Energy"/>
    <x v="0"/>
    <n v="3585634"/>
    <n v="9.1"/>
    <n v="-0.8"/>
    <x v="744"/>
    <n v="161"/>
    <n v="3"/>
    <n v="358563.4"/>
    <n v="1075690.2000000002"/>
  </r>
  <r>
    <s v="INV0909"/>
    <s v="Male"/>
    <n v="57"/>
    <x v="1"/>
    <s v="Healthcare"/>
    <x v="0"/>
    <n v="2472422"/>
    <n v="18.8"/>
    <n v="30.62"/>
    <x v="355"/>
    <n v="100"/>
    <n v="3"/>
    <n v="247242.2"/>
    <n v="741726.60000000009"/>
  </r>
  <r>
    <s v="INV0910"/>
    <s v="Female"/>
    <n v="44"/>
    <x v="1"/>
    <s v="Finance"/>
    <x v="4"/>
    <n v="2395056"/>
    <n v="9.24"/>
    <n v="-4"/>
    <x v="745"/>
    <n v="132"/>
    <n v="4"/>
    <n v="239505.6"/>
    <n v="958022.4"/>
  </r>
  <r>
    <s v="INV0911"/>
    <s v="Male"/>
    <n v="62"/>
    <x v="1"/>
    <s v="Agriculture"/>
    <x v="1"/>
    <n v="460391"/>
    <n v="26.53"/>
    <n v="19.25"/>
    <x v="631"/>
    <n v="37"/>
    <n v="6"/>
    <n v="46039.100000000006"/>
    <n v="276234.60000000003"/>
  </r>
  <r>
    <s v="INV0912"/>
    <s v="Male"/>
    <n v="44"/>
    <x v="3"/>
    <s v="Technology"/>
    <x v="0"/>
    <n v="3425964"/>
    <n v="34.549999999999997"/>
    <n v="26.45"/>
    <x v="746"/>
    <n v="295"/>
    <n v="6"/>
    <n v="342596.4"/>
    <n v="2055578.4000000001"/>
  </r>
  <r>
    <s v="INV0913"/>
    <s v="Female"/>
    <n v="65"/>
    <x v="2"/>
    <s v="Finance"/>
    <x v="4"/>
    <n v="3124518"/>
    <n v="5.98"/>
    <n v="32.65"/>
    <x v="259"/>
    <n v="104"/>
    <n v="5"/>
    <n v="312451.8"/>
    <n v="1562259"/>
  </r>
  <r>
    <s v="INV0914"/>
    <s v="Male"/>
    <n v="44"/>
    <x v="0"/>
    <s v="Healthcare"/>
    <x v="5"/>
    <n v="1800329"/>
    <n v="32.81"/>
    <n v="41.83"/>
    <x v="747"/>
    <n v="228"/>
    <n v="3"/>
    <n v="180032.90000000002"/>
    <n v="540098.70000000007"/>
  </r>
  <r>
    <s v="INV0915"/>
    <s v="Female"/>
    <n v="64"/>
    <x v="2"/>
    <s v="Energy"/>
    <x v="5"/>
    <n v="3285994"/>
    <n v="20.07"/>
    <n v="3.13"/>
    <x v="748"/>
    <n v="264"/>
    <n v="2"/>
    <n v="328599.40000000002"/>
    <n v="657198.80000000005"/>
  </r>
  <r>
    <s v="INV0916"/>
    <s v="Male"/>
    <n v="32"/>
    <x v="3"/>
    <s v="Consumer Goods"/>
    <x v="2"/>
    <n v="301956"/>
    <n v="7.69"/>
    <n v="17.09"/>
    <x v="749"/>
    <n v="61"/>
    <n v="4"/>
    <n v="30195.600000000002"/>
    <n v="120782.40000000001"/>
  </r>
  <r>
    <s v="INV0917"/>
    <s v="Female"/>
    <n v="57"/>
    <x v="1"/>
    <s v="Healthcare"/>
    <x v="1"/>
    <n v="3589553"/>
    <n v="32.04"/>
    <n v="11.68"/>
    <x v="174"/>
    <n v="247"/>
    <n v="4"/>
    <n v="358955.30000000005"/>
    <n v="1435821.2000000002"/>
  </r>
  <r>
    <s v="INV0918"/>
    <s v="Female"/>
    <n v="35"/>
    <x v="1"/>
    <s v="Consumer Goods"/>
    <x v="4"/>
    <n v="3112947"/>
    <n v="14.74"/>
    <n v="21"/>
    <x v="750"/>
    <n v="64"/>
    <n v="2"/>
    <n v="311294.7"/>
    <n v="622589.4"/>
  </r>
  <r>
    <s v="INV0919"/>
    <s v="Male"/>
    <n v="27"/>
    <x v="1"/>
    <s v="Technology"/>
    <x v="1"/>
    <n v="4338464"/>
    <n v="31.76"/>
    <n v="13.25"/>
    <x v="682"/>
    <n v="266"/>
    <n v="8"/>
    <n v="433846.4"/>
    <n v="3470771.2"/>
  </r>
  <r>
    <s v="INV0920"/>
    <s v="Male"/>
    <n v="35"/>
    <x v="2"/>
    <s v="Agriculture"/>
    <x v="4"/>
    <n v="3586553"/>
    <n v="27.03"/>
    <n v="-2.2000000000000002"/>
    <x v="751"/>
    <n v="239"/>
    <n v="3"/>
    <n v="358655.30000000005"/>
    <n v="1075965.9000000001"/>
  </r>
  <r>
    <s v="INV0921"/>
    <s v="Female"/>
    <n v="21"/>
    <x v="3"/>
    <s v="Consumer Goods"/>
    <x v="2"/>
    <n v="4616761"/>
    <n v="33.659999999999997"/>
    <n v="-7.17"/>
    <x v="752"/>
    <n v="193"/>
    <n v="3"/>
    <n v="461676.10000000003"/>
    <n v="1385028.3"/>
  </r>
  <r>
    <s v="INV0922"/>
    <s v="Female"/>
    <n v="56"/>
    <x v="3"/>
    <s v="Finance"/>
    <x v="0"/>
    <n v="4138090"/>
    <n v="5.2"/>
    <n v="4.93"/>
    <x v="217"/>
    <n v="48"/>
    <n v="4"/>
    <n v="413809"/>
    <n v="1655236"/>
  </r>
  <r>
    <s v="INV0923"/>
    <s v="Male"/>
    <n v="39"/>
    <x v="4"/>
    <s v="Energy"/>
    <x v="4"/>
    <n v="968561"/>
    <n v="12.58"/>
    <n v="23.33"/>
    <x v="753"/>
    <n v="8"/>
    <n v="6"/>
    <n v="96856.1"/>
    <n v="581136.60000000009"/>
  </r>
  <r>
    <s v="INV0924"/>
    <s v="Female"/>
    <n v="55"/>
    <x v="0"/>
    <s v="Technology"/>
    <x v="4"/>
    <n v="2843110"/>
    <n v="34.94"/>
    <n v="21.66"/>
    <x v="754"/>
    <n v="271"/>
    <n v="5"/>
    <n v="284311"/>
    <n v="1421555"/>
  </r>
  <r>
    <s v="INV0925"/>
    <s v="Male"/>
    <n v="61"/>
    <x v="4"/>
    <s v="Healthcare"/>
    <x v="4"/>
    <n v="4788787"/>
    <n v="19.72"/>
    <n v="4.5599999999999996"/>
    <x v="755"/>
    <n v="129"/>
    <n v="8"/>
    <n v="478878.7"/>
    <n v="3831029.6"/>
  </r>
  <r>
    <s v="INV0926"/>
    <s v="Male"/>
    <n v="53"/>
    <x v="4"/>
    <s v="Consumer Goods"/>
    <x v="2"/>
    <n v="280521"/>
    <n v="28.42"/>
    <n v="23.75"/>
    <x v="71"/>
    <n v="149"/>
    <n v="5"/>
    <n v="28052.100000000002"/>
    <n v="140260.5"/>
  </r>
  <r>
    <s v="INV0927"/>
    <s v="Male"/>
    <n v="53"/>
    <x v="1"/>
    <s v="Finance"/>
    <x v="3"/>
    <n v="3839635"/>
    <n v="19.84"/>
    <n v="26.94"/>
    <x v="756"/>
    <n v="308"/>
    <n v="3"/>
    <n v="383963.5"/>
    <n v="1151890.5"/>
  </r>
  <r>
    <s v="INV0928"/>
    <s v="Female"/>
    <n v="35"/>
    <x v="1"/>
    <s v="Consumer Goods"/>
    <x v="0"/>
    <n v="1302200"/>
    <n v="14.9"/>
    <n v="40.799999999999997"/>
    <x v="757"/>
    <n v="110"/>
    <n v="3"/>
    <n v="130220"/>
    <n v="390660"/>
  </r>
  <r>
    <s v="INV0929"/>
    <s v="Female"/>
    <n v="38"/>
    <x v="0"/>
    <s v="Finance"/>
    <x v="5"/>
    <n v="2896937"/>
    <n v="33.54"/>
    <n v="14.34"/>
    <x v="289"/>
    <n v="252"/>
    <n v="4"/>
    <n v="289693.7"/>
    <n v="1158774.8"/>
  </r>
  <r>
    <s v="INV0930"/>
    <s v="Male"/>
    <n v="38"/>
    <x v="4"/>
    <s v="Consumer Goods"/>
    <x v="3"/>
    <n v="477127"/>
    <n v="16.989999999999998"/>
    <n v="32.07"/>
    <x v="606"/>
    <n v="247"/>
    <n v="6"/>
    <n v="47712.700000000004"/>
    <n v="286276.2"/>
  </r>
  <r>
    <s v="INV0931"/>
    <s v="Female"/>
    <n v="23"/>
    <x v="1"/>
    <s v="Finance"/>
    <x v="1"/>
    <n v="4414189"/>
    <n v="20.43"/>
    <n v="44.08"/>
    <x v="546"/>
    <n v="355"/>
    <n v="6"/>
    <n v="441418.9"/>
    <n v="2648513.4000000004"/>
  </r>
  <r>
    <s v="INV0932"/>
    <s v="Male"/>
    <n v="60"/>
    <x v="4"/>
    <s v="Agriculture"/>
    <x v="3"/>
    <n v="601436"/>
    <n v="20.52"/>
    <n v="6.12"/>
    <x v="758"/>
    <n v="338"/>
    <n v="5"/>
    <n v="60143.600000000006"/>
    <n v="300718"/>
  </r>
  <r>
    <s v="INV0933"/>
    <s v="Male"/>
    <n v="62"/>
    <x v="0"/>
    <s v="Finance"/>
    <x v="3"/>
    <n v="3341236"/>
    <n v="16.43"/>
    <n v="33.880000000000003"/>
    <x v="759"/>
    <n v="355"/>
    <n v="6"/>
    <n v="334123.60000000003"/>
    <n v="2004741.6"/>
  </r>
  <r>
    <s v="INV0934"/>
    <s v="Male"/>
    <n v="37"/>
    <x v="3"/>
    <s v="Consumer Goods"/>
    <x v="4"/>
    <n v="3418487"/>
    <n v="14.25"/>
    <n v="42.73"/>
    <x v="760"/>
    <n v="138"/>
    <n v="7"/>
    <n v="341848.7"/>
    <n v="2392940.9"/>
  </r>
  <r>
    <s v="INV0935"/>
    <s v="Male"/>
    <n v="42"/>
    <x v="0"/>
    <s v="Technology"/>
    <x v="1"/>
    <n v="422685"/>
    <n v="22.59"/>
    <n v="1.42"/>
    <x v="761"/>
    <n v="151"/>
    <n v="2"/>
    <n v="42268.5"/>
    <n v="84537"/>
  </r>
  <r>
    <s v="INV0936"/>
    <s v="Female"/>
    <n v="44"/>
    <x v="2"/>
    <s v="Healthcare"/>
    <x v="3"/>
    <n v="4738905"/>
    <n v="32.520000000000003"/>
    <n v="5.0999999999999996"/>
    <x v="762"/>
    <n v="321"/>
    <n v="7"/>
    <n v="473890.5"/>
    <n v="3317233.5"/>
  </r>
  <r>
    <s v="INV0937"/>
    <s v="Male"/>
    <n v="27"/>
    <x v="2"/>
    <s v="Technology"/>
    <x v="3"/>
    <n v="2468875"/>
    <n v="6.96"/>
    <n v="-8.86"/>
    <x v="763"/>
    <n v="261"/>
    <n v="2"/>
    <n v="246887.5"/>
    <n v="493775"/>
  </r>
  <r>
    <s v="INV0938"/>
    <s v="Male"/>
    <n v="24"/>
    <x v="1"/>
    <s v="Technology"/>
    <x v="1"/>
    <n v="2572813"/>
    <n v="22.57"/>
    <n v="0.88"/>
    <x v="764"/>
    <n v="209"/>
    <n v="5"/>
    <n v="257281.30000000002"/>
    <n v="1286406.5"/>
  </r>
  <r>
    <s v="INV0939"/>
    <s v="Male"/>
    <n v="52"/>
    <x v="0"/>
    <s v="Consumer Goods"/>
    <x v="0"/>
    <n v="4566200"/>
    <n v="12.65"/>
    <n v="-2.74"/>
    <x v="765"/>
    <n v="174"/>
    <n v="8"/>
    <n v="456620"/>
    <n v="3652960"/>
  </r>
  <r>
    <s v="INV0940"/>
    <s v="Female"/>
    <n v="30"/>
    <x v="0"/>
    <s v="Healthcare"/>
    <x v="1"/>
    <n v="1357074"/>
    <n v="12.37"/>
    <n v="2.92"/>
    <x v="766"/>
    <n v="284"/>
    <n v="5"/>
    <n v="135707.4"/>
    <n v="678537"/>
  </r>
  <r>
    <s v="INV0941"/>
    <s v="Male"/>
    <n v="33"/>
    <x v="4"/>
    <s v="Agriculture"/>
    <x v="2"/>
    <n v="3750902"/>
    <n v="18.29"/>
    <n v="41.25"/>
    <x v="767"/>
    <n v="177"/>
    <n v="7"/>
    <n v="375090.2"/>
    <n v="2625631.4"/>
  </r>
  <r>
    <s v="INV0942"/>
    <s v="Male"/>
    <n v="34"/>
    <x v="4"/>
    <s v="Consumer Goods"/>
    <x v="1"/>
    <n v="3347615"/>
    <n v="10.34"/>
    <n v="24.86"/>
    <x v="768"/>
    <n v="293"/>
    <n v="5"/>
    <n v="334761.5"/>
    <n v="1673807.5"/>
  </r>
  <r>
    <s v="INV0943"/>
    <s v="Female"/>
    <n v="24"/>
    <x v="2"/>
    <s v="Consumer Goods"/>
    <x v="1"/>
    <n v="1293183"/>
    <n v="15.19"/>
    <n v="18.41"/>
    <x v="769"/>
    <n v="114"/>
    <n v="7"/>
    <n v="129318.3"/>
    <n v="905228.1"/>
  </r>
  <r>
    <s v="INV0944"/>
    <s v="Male"/>
    <n v="30"/>
    <x v="2"/>
    <s v="Technology"/>
    <x v="2"/>
    <n v="1136573"/>
    <n v="32.44"/>
    <n v="12.27"/>
    <x v="770"/>
    <n v="303"/>
    <n v="1"/>
    <n v="113657.3"/>
    <n v="113657.3"/>
  </r>
  <r>
    <s v="INV0945"/>
    <s v="Male"/>
    <n v="55"/>
    <x v="2"/>
    <s v="Consumer Goods"/>
    <x v="4"/>
    <n v="1939255"/>
    <n v="9.1300000000000008"/>
    <n v="5.71"/>
    <x v="709"/>
    <n v="229"/>
    <n v="1"/>
    <n v="193925.5"/>
    <n v="193925.5"/>
  </r>
  <r>
    <s v="INV0946"/>
    <s v="Male"/>
    <n v="59"/>
    <x v="1"/>
    <s v="Finance"/>
    <x v="3"/>
    <n v="701896"/>
    <n v="32.24"/>
    <n v="22.28"/>
    <x v="466"/>
    <n v="55"/>
    <n v="2"/>
    <n v="70189.600000000006"/>
    <n v="140379.20000000001"/>
  </r>
  <r>
    <s v="INV0947"/>
    <s v="Female"/>
    <n v="26"/>
    <x v="1"/>
    <s v="Technology"/>
    <x v="5"/>
    <n v="2801858"/>
    <n v="14.24"/>
    <n v="27.68"/>
    <x v="496"/>
    <n v="327"/>
    <n v="3"/>
    <n v="280185.8"/>
    <n v="840557.39999999991"/>
  </r>
  <r>
    <s v="INV0948"/>
    <s v="Male"/>
    <n v="61"/>
    <x v="2"/>
    <s v="Finance"/>
    <x v="5"/>
    <n v="4555328"/>
    <n v="8.15"/>
    <n v="16.13"/>
    <x v="412"/>
    <n v="130"/>
    <n v="5"/>
    <n v="455532.80000000005"/>
    <n v="2277664"/>
  </r>
  <r>
    <s v="INV0949"/>
    <s v="Female"/>
    <n v="38"/>
    <x v="1"/>
    <s v="Agriculture"/>
    <x v="1"/>
    <n v="854805"/>
    <n v="23.49"/>
    <n v="40.25"/>
    <x v="771"/>
    <n v="269"/>
    <n v="3"/>
    <n v="85480.5"/>
    <n v="256441.5"/>
  </r>
  <r>
    <s v="INV0950"/>
    <s v="Female"/>
    <n v="29"/>
    <x v="3"/>
    <s v="Consumer Goods"/>
    <x v="1"/>
    <n v="1898496"/>
    <n v="21.49"/>
    <n v="-9.5299999999999994"/>
    <x v="772"/>
    <n v="152"/>
    <n v="2"/>
    <n v="189849.60000000001"/>
    <n v="379699.20000000001"/>
  </r>
  <r>
    <s v="INV0951"/>
    <s v="Male"/>
    <n v="26"/>
    <x v="1"/>
    <s v="Energy"/>
    <x v="2"/>
    <n v="2834511"/>
    <n v="7.9"/>
    <n v="-4.97"/>
    <x v="773"/>
    <n v="159"/>
    <n v="3"/>
    <n v="283451.10000000003"/>
    <n v="850353.3"/>
  </r>
  <r>
    <s v="INV0952"/>
    <s v="Female"/>
    <n v="61"/>
    <x v="2"/>
    <s v="Energy"/>
    <x v="1"/>
    <n v="3971811"/>
    <n v="13.78"/>
    <n v="7"/>
    <x v="774"/>
    <n v="89"/>
    <n v="1"/>
    <n v="397181.10000000003"/>
    <n v="397181.10000000003"/>
  </r>
  <r>
    <s v="INV0953"/>
    <s v="Female"/>
    <n v="39"/>
    <x v="3"/>
    <s v="Technology"/>
    <x v="2"/>
    <n v="1658197"/>
    <n v="26.63"/>
    <n v="32.92"/>
    <x v="775"/>
    <n v="43"/>
    <n v="3"/>
    <n v="165819.70000000001"/>
    <n v="497459.10000000003"/>
  </r>
  <r>
    <s v="INV0954"/>
    <s v="Female"/>
    <n v="24"/>
    <x v="0"/>
    <s v="Finance"/>
    <x v="1"/>
    <n v="1719615"/>
    <n v="33.61"/>
    <n v="33"/>
    <x v="648"/>
    <n v="105"/>
    <n v="5"/>
    <n v="171961.5"/>
    <n v="859807.5"/>
  </r>
  <r>
    <s v="INV0955"/>
    <s v="Female"/>
    <n v="30"/>
    <x v="0"/>
    <s v="Energy"/>
    <x v="3"/>
    <n v="1718983"/>
    <n v="17.420000000000002"/>
    <n v="15.97"/>
    <x v="776"/>
    <n v="32"/>
    <n v="3"/>
    <n v="171898.30000000002"/>
    <n v="515694.9"/>
  </r>
  <r>
    <s v="INV0956"/>
    <s v="Male"/>
    <n v="25"/>
    <x v="4"/>
    <s v="Consumer Goods"/>
    <x v="4"/>
    <n v="1834231"/>
    <n v="33.32"/>
    <n v="6.44"/>
    <x v="777"/>
    <n v="255"/>
    <n v="4"/>
    <n v="183423.1"/>
    <n v="733692.4"/>
  </r>
  <r>
    <s v="INV0957"/>
    <s v="Female"/>
    <n v="35"/>
    <x v="1"/>
    <s v="Consumer Goods"/>
    <x v="0"/>
    <n v="2601036"/>
    <n v="16.920000000000002"/>
    <n v="29.35"/>
    <x v="778"/>
    <n v="185"/>
    <n v="4"/>
    <n v="260103.6"/>
    <n v="1040414.4"/>
  </r>
  <r>
    <s v="INV0958"/>
    <s v="Male"/>
    <n v="31"/>
    <x v="3"/>
    <s v="Finance"/>
    <x v="0"/>
    <n v="3779896"/>
    <n v="22.09"/>
    <n v="36.56"/>
    <x v="779"/>
    <n v="223"/>
    <n v="3"/>
    <n v="377989.60000000003"/>
    <n v="1133968.8"/>
  </r>
  <r>
    <s v="INV0959"/>
    <s v="Male"/>
    <n v="48"/>
    <x v="0"/>
    <s v="Technology"/>
    <x v="5"/>
    <n v="3554764"/>
    <n v="22.38"/>
    <n v="-5.93"/>
    <x v="34"/>
    <n v="351"/>
    <n v="5"/>
    <n v="355476.4"/>
    <n v="1777382"/>
  </r>
  <r>
    <s v="INV0960"/>
    <s v="Male"/>
    <n v="23"/>
    <x v="1"/>
    <s v="Energy"/>
    <x v="3"/>
    <n v="4197884"/>
    <n v="17.899999999999999"/>
    <n v="31.55"/>
    <x v="375"/>
    <n v="323"/>
    <n v="3"/>
    <n v="419788.4"/>
    <n v="1259365.2000000002"/>
  </r>
  <r>
    <s v="INV0961"/>
    <s v="Female"/>
    <n v="50"/>
    <x v="1"/>
    <s v="Healthcare"/>
    <x v="1"/>
    <n v="1365914"/>
    <n v="24.55"/>
    <n v="5.73"/>
    <x v="780"/>
    <n v="177"/>
    <n v="6"/>
    <n v="136591.4"/>
    <n v="819548.39999999991"/>
  </r>
  <r>
    <s v="INV0962"/>
    <s v="Male"/>
    <n v="31"/>
    <x v="0"/>
    <s v="Technology"/>
    <x v="4"/>
    <n v="1410060"/>
    <n v="28.07"/>
    <n v="11.04"/>
    <x v="781"/>
    <n v="245"/>
    <n v="6"/>
    <n v="141006"/>
    <n v="846036"/>
  </r>
  <r>
    <s v="INV0963"/>
    <s v="Male"/>
    <n v="48"/>
    <x v="0"/>
    <s v="Agriculture"/>
    <x v="0"/>
    <n v="3110499"/>
    <n v="16.95"/>
    <n v="31.83"/>
    <x v="366"/>
    <n v="28"/>
    <n v="2"/>
    <n v="311049.90000000002"/>
    <n v="622099.80000000005"/>
  </r>
  <r>
    <s v="INV0964"/>
    <s v="Male"/>
    <n v="54"/>
    <x v="0"/>
    <s v="Finance"/>
    <x v="4"/>
    <n v="3031254"/>
    <n v="13.01"/>
    <n v="-4.8099999999999996"/>
    <x v="782"/>
    <n v="97"/>
    <n v="5"/>
    <n v="303125.40000000002"/>
    <n v="1515627"/>
  </r>
  <r>
    <s v="INV0965"/>
    <s v="Female"/>
    <n v="27"/>
    <x v="2"/>
    <s v="Technology"/>
    <x v="2"/>
    <n v="4785649"/>
    <n v="29.28"/>
    <n v="0.56999999999999995"/>
    <x v="783"/>
    <n v="310"/>
    <n v="2"/>
    <n v="478564.9"/>
    <n v="957129.8"/>
  </r>
  <r>
    <s v="INV0966"/>
    <s v="Female"/>
    <n v="45"/>
    <x v="1"/>
    <s v="Agriculture"/>
    <x v="2"/>
    <n v="2403456"/>
    <n v="27.02"/>
    <n v="21.25"/>
    <x v="784"/>
    <n v="141"/>
    <n v="4"/>
    <n v="240345.60000000001"/>
    <n v="961382.40000000002"/>
  </r>
  <r>
    <s v="INV0967"/>
    <s v="Male"/>
    <n v="23"/>
    <x v="2"/>
    <s v="Technology"/>
    <x v="4"/>
    <n v="4430412"/>
    <n v="13.62"/>
    <n v="26.49"/>
    <x v="402"/>
    <n v="243"/>
    <n v="2"/>
    <n v="443041.2"/>
    <n v="886082.4"/>
  </r>
  <r>
    <s v="INV0968"/>
    <s v="Male"/>
    <n v="51"/>
    <x v="0"/>
    <s v="Technology"/>
    <x v="2"/>
    <n v="2090942"/>
    <n v="34.770000000000003"/>
    <n v="-4.29"/>
    <x v="785"/>
    <n v="129"/>
    <n v="4"/>
    <n v="209094.2"/>
    <n v="836376.8"/>
  </r>
  <r>
    <s v="INV0969"/>
    <s v="Male"/>
    <n v="26"/>
    <x v="1"/>
    <s v="Agriculture"/>
    <x v="4"/>
    <n v="4703453"/>
    <n v="24.15"/>
    <n v="-0.94"/>
    <x v="317"/>
    <n v="23"/>
    <n v="4"/>
    <n v="470345.30000000005"/>
    <n v="1881381.2000000002"/>
  </r>
  <r>
    <s v="INV0970"/>
    <s v="Male"/>
    <n v="28"/>
    <x v="4"/>
    <s v="Healthcare"/>
    <x v="0"/>
    <n v="1944590"/>
    <n v="6.84"/>
    <n v="34.54"/>
    <x v="786"/>
    <n v="295"/>
    <n v="5"/>
    <n v="194459"/>
    <n v="972295"/>
  </r>
  <r>
    <s v="INV0971"/>
    <s v="Female"/>
    <n v="30"/>
    <x v="4"/>
    <s v="Finance"/>
    <x v="3"/>
    <n v="3665680"/>
    <n v="29.78"/>
    <n v="44.83"/>
    <x v="133"/>
    <n v="12"/>
    <n v="2"/>
    <n v="366568"/>
    <n v="733136"/>
  </r>
  <r>
    <s v="INV0972"/>
    <s v="Female"/>
    <n v="27"/>
    <x v="4"/>
    <s v="Energy"/>
    <x v="5"/>
    <n v="4239353"/>
    <n v="7.1"/>
    <n v="31.75"/>
    <x v="21"/>
    <n v="309"/>
    <n v="3"/>
    <n v="423935.30000000005"/>
    <n v="1271805.9000000001"/>
  </r>
  <r>
    <s v="INV0973"/>
    <s v="Female"/>
    <n v="61"/>
    <x v="3"/>
    <s v="Consumer Goods"/>
    <x v="2"/>
    <n v="4599920"/>
    <n v="9.23"/>
    <n v="5.91"/>
    <x v="787"/>
    <n v="69"/>
    <n v="4"/>
    <n v="459992"/>
    <n v="1839968"/>
  </r>
  <r>
    <s v="INV0974"/>
    <s v="Female"/>
    <n v="49"/>
    <x v="3"/>
    <s v="Energy"/>
    <x v="3"/>
    <n v="2015113"/>
    <n v="8.1999999999999993"/>
    <n v="40.57"/>
    <x v="529"/>
    <n v="364"/>
    <n v="1"/>
    <n v="201511.30000000002"/>
    <n v="201511.30000000002"/>
  </r>
  <r>
    <s v="INV0975"/>
    <s v="Female"/>
    <n v="34"/>
    <x v="1"/>
    <s v="Energy"/>
    <x v="3"/>
    <n v="1868624"/>
    <n v="15.98"/>
    <n v="8.69"/>
    <x v="306"/>
    <n v="339"/>
    <n v="6"/>
    <n v="186862.40000000002"/>
    <n v="1121174.4000000001"/>
  </r>
  <r>
    <s v="INV0976"/>
    <s v="Male"/>
    <n v="50"/>
    <x v="4"/>
    <s v="Agriculture"/>
    <x v="4"/>
    <n v="2288223"/>
    <n v="8.1999999999999993"/>
    <n v="25.27"/>
    <x v="788"/>
    <n v="169"/>
    <n v="6"/>
    <n v="228822.30000000002"/>
    <n v="1372933.8"/>
  </r>
  <r>
    <s v="INV0977"/>
    <s v="Female"/>
    <n v="44"/>
    <x v="0"/>
    <s v="Energy"/>
    <x v="4"/>
    <n v="3718739"/>
    <n v="19.010000000000002"/>
    <n v="9.85"/>
    <x v="789"/>
    <n v="309"/>
    <n v="4"/>
    <n v="371873.9"/>
    <n v="1487495.6"/>
  </r>
  <r>
    <s v="INV0978"/>
    <s v="Female"/>
    <n v="30"/>
    <x v="3"/>
    <s v="Finance"/>
    <x v="2"/>
    <n v="2234729"/>
    <n v="14.65"/>
    <n v="19.7"/>
    <x v="790"/>
    <n v="57"/>
    <n v="7"/>
    <n v="223472.90000000002"/>
    <n v="1564310.3000000003"/>
  </r>
  <r>
    <s v="INV0979"/>
    <s v="Male"/>
    <n v="58"/>
    <x v="4"/>
    <s v="Consumer Goods"/>
    <x v="2"/>
    <n v="3812762"/>
    <n v="22.39"/>
    <n v="41.71"/>
    <x v="748"/>
    <n v="20"/>
    <n v="2"/>
    <n v="381276.2"/>
    <n v="762552.4"/>
  </r>
  <r>
    <s v="INV0980"/>
    <s v="Male"/>
    <n v="32"/>
    <x v="2"/>
    <s v="Technology"/>
    <x v="0"/>
    <n v="3449917"/>
    <n v="27.68"/>
    <n v="1.38"/>
    <x v="791"/>
    <n v="88"/>
    <n v="7"/>
    <n v="344991.7"/>
    <n v="2414941.9"/>
  </r>
  <r>
    <s v="INV0981"/>
    <s v="Female"/>
    <n v="25"/>
    <x v="0"/>
    <s v="Agriculture"/>
    <x v="0"/>
    <n v="1227506"/>
    <n v="33.26"/>
    <n v="30.16"/>
    <x v="188"/>
    <n v="62"/>
    <n v="3"/>
    <n v="122750.6"/>
    <n v="368251.80000000005"/>
  </r>
  <r>
    <s v="INV0982"/>
    <s v="Female"/>
    <n v="25"/>
    <x v="0"/>
    <s v="Finance"/>
    <x v="2"/>
    <n v="1094431"/>
    <n v="25.51"/>
    <n v="16.96"/>
    <x v="438"/>
    <n v="262"/>
    <n v="6"/>
    <n v="109443.1"/>
    <n v="656658.60000000009"/>
  </r>
  <r>
    <s v="INV0983"/>
    <s v="Male"/>
    <n v="43"/>
    <x v="1"/>
    <s v="Technology"/>
    <x v="1"/>
    <n v="351987"/>
    <n v="6.2"/>
    <n v="39.65"/>
    <x v="792"/>
    <n v="80"/>
    <n v="3"/>
    <n v="35198.700000000004"/>
    <n v="105596.1"/>
  </r>
  <r>
    <s v="INV0984"/>
    <s v="Female"/>
    <n v="42"/>
    <x v="0"/>
    <s v="Finance"/>
    <x v="3"/>
    <n v="3974184"/>
    <n v="19.16"/>
    <n v="33.450000000000003"/>
    <x v="793"/>
    <n v="288"/>
    <n v="3"/>
    <n v="397418.4"/>
    <n v="1192255.2000000002"/>
  </r>
  <r>
    <s v="INV0985"/>
    <s v="Male"/>
    <n v="26"/>
    <x v="4"/>
    <s v="Finance"/>
    <x v="1"/>
    <n v="3470711"/>
    <n v="21.18"/>
    <n v="17.579999999999998"/>
    <x v="794"/>
    <n v="289"/>
    <n v="2"/>
    <n v="347071.10000000003"/>
    <n v="694142.20000000007"/>
  </r>
  <r>
    <s v="INV0986"/>
    <s v="Female"/>
    <n v="26"/>
    <x v="0"/>
    <s v="Agriculture"/>
    <x v="2"/>
    <n v="4233806"/>
    <n v="6"/>
    <n v="3.6"/>
    <x v="459"/>
    <n v="287"/>
    <n v="4"/>
    <n v="423380.60000000003"/>
    <n v="1693522.4000000001"/>
  </r>
  <r>
    <s v="INV0987"/>
    <s v="Male"/>
    <n v="34"/>
    <x v="0"/>
    <s v="Agriculture"/>
    <x v="3"/>
    <n v="3981794"/>
    <n v="13.1"/>
    <n v="-0.28999999999999998"/>
    <x v="687"/>
    <n v="164"/>
    <n v="8"/>
    <n v="398179.4"/>
    <n v="3185435.2"/>
  </r>
  <r>
    <s v="INV0988"/>
    <s v="Female"/>
    <n v="42"/>
    <x v="1"/>
    <s v="Finance"/>
    <x v="4"/>
    <n v="1431071"/>
    <n v="30.32"/>
    <n v="30.69"/>
    <x v="9"/>
    <n v="30"/>
    <n v="6"/>
    <n v="143107.1"/>
    <n v="858642.60000000009"/>
  </r>
  <r>
    <s v="INV0989"/>
    <s v="Female"/>
    <n v="42"/>
    <x v="4"/>
    <s v="Energy"/>
    <x v="0"/>
    <n v="1950677"/>
    <n v="22.15"/>
    <n v="-4.07"/>
    <x v="324"/>
    <n v="14"/>
    <n v="4"/>
    <n v="195067.7"/>
    <n v="780270.8"/>
  </r>
  <r>
    <s v="INV0990"/>
    <s v="Male"/>
    <n v="59"/>
    <x v="0"/>
    <s v="Technology"/>
    <x v="0"/>
    <n v="1894159"/>
    <n v="34.1"/>
    <n v="21.6"/>
    <x v="135"/>
    <n v="178"/>
    <n v="3"/>
    <n v="189415.90000000002"/>
    <n v="568247.70000000007"/>
  </r>
  <r>
    <s v="INV0991"/>
    <s v="Female"/>
    <n v="57"/>
    <x v="0"/>
    <s v="Consumer Goods"/>
    <x v="0"/>
    <n v="3273246"/>
    <n v="29.67"/>
    <n v="-2.64"/>
    <x v="367"/>
    <n v="265"/>
    <n v="3"/>
    <n v="327324.60000000003"/>
    <n v="981973.8"/>
  </r>
  <r>
    <s v="INV0992"/>
    <s v="Male"/>
    <n v="45"/>
    <x v="3"/>
    <s v="Agriculture"/>
    <x v="3"/>
    <n v="2280456"/>
    <n v="33.01"/>
    <n v="28.42"/>
    <x v="795"/>
    <n v="77"/>
    <n v="8"/>
    <n v="228045.6"/>
    <n v="1824364.8"/>
  </r>
  <r>
    <s v="INV0993"/>
    <s v="Male"/>
    <n v="40"/>
    <x v="1"/>
    <s v="Finance"/>
    <x v="3"/>
    <n v="3205002"/>
    <n v="18.12"/>
    <n v="7.34"/>
    <x v="796"/>
    <n v="179"/>
    <n v="8"/>
    <n v="320500.2"/>
    <n v="2564001.6"/>
  </r>
  <r>
    <s v="INV0994"/>
    <s v="Female"/>
    <n v="50"/>
    <x v="1"/>
    <s v="Technology"/>
    <x v="2"/>
    <n v="461838"/>
    <n v="5.17"/>
    <n v="4.7699999999999996"/>
    <x v="797"/>
    <n v="109"/>
    <n v="1"/>
    <n v="46183.8"/>
    <n v="46183.8"/>
  </r>
  <r>
    <s v="INV0995"/>
    <s v="Male"/>
    <n v="40"/>
    <x v="0"/>
    <s v="Agriculture"/>
    <x v="3"/>
    <n v="3088690"/>
    <n v="31.26"/>
    <n v="9.75"/>
    <x v="798"/>
    <n v="289"/>
    <n v="4"/>
    <n v="308869"/>
    <n v="1235476"/>
  </r>
  <r>
    <s v="INV0996"/>
    <s v="Male"/>
    <n v="23"/>
    <x v="4"/>
    <s v="Healthcare"/>
    <x v="5"/>
    <n v="2778015"/>
    <n v="19.309999999999999"/>
    <n v="0.6"/>
    <x v="458"/>
    <n v="95"/>
    <n v="6"/>
    <n v="277801.5"/>
    <n v="1666809"/>
  </r>
  <r>
    <s v="INV0997"/>
    <s v="Female"/>
    <n v="27"/>
    <x v="3"/>
    <s v="Finance"/>
    <x v="1"/>
    <n v="1365112"/>
    <n v="18.66"/>
    <n v="2.75"/>
    <x v="799"/>
    <n v="294"/>
    <n v="4"/>
    <n v="136511.20000000001"/>
    <n v="546044.80000000005"/>
  </r>
  <r>
    <s v="INV0998"/>
    <s v="Female"/>
    <n v="24"/>
    <x v="1"/>
    <s v="Healthcare"/>
    <x v="2"/>
    <n v="3425699"/>
    <n v="27.43"/>
    <n v="2.3199999999999998"/>
    <x v="800"/>
    <n v="238"/>
    <n v="4"/>
    <n v="342569.9"/>
    <n v="1370279.6"/>
  </r>
  <r>
    <s v="INV0999"/>
    <s v="Female"/>
    <n v="47"/>
    <x v="4"/>
    <s v="Technology"/>
    <x v="0"/>
    <n v="4818952"/>
    <n v="13.61"/>
    <n v="-4.5599999999999996"/>
    <x v="569"/>
    <n v="126"/>
    <n v="2"/>
    <n v="481895.2"/>
    <n v="963790.4"/>
  </r>
  <r>
    <s v="INV1000"/>
    <s v="Male"/>
    <n v="63"/>
    <x v="2"/>
    <s v="Finance"/>
    <x v="3"/>
    <n v="3051370"/>
    <n v="13.65"/>
    <n v="40.840000000000003"/>
    <x v="801"/>
    <n v="158"/>
    <n v="6"/>
    <n v="305137"/>
    <n v="18308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097BA1-FBB0-4EA2-BB0C-050E438BE6B9}" name="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ROW LABELS">
  <location ref="A7:C15" firstHeaderRow="0" firstDataRow="1" firstDataCol="1"/>
  <pivotFields count="17">
    <pivotField showAll="0"/>
    <pivotField showAll="0"/>
    <pivotField showAll="0"/>
    <pivotField showAll="0"/>
    <pivotField showAll="0"/>
    <pivotField showAll="0">
      <items count="7">
        <item x="2"/>
        <item x="5"/>
        <item x="0"/>
        <item x="4"/>
        <item x="3"/>
        <item x="1"/>
        <item t="default"/>
      </items>
    </pivotField>
    <pivotField dataField="1" showAll="0"/>
    <pivotField showAll="0"/>
    <pivotField showAll="0"/>
    <pivotField axis="axisRow" numFmtId="14" showAll="0">
      <items count="803">
        <item x="270"/>
        <item x="594"/>
        <item x="724"/>
        <item x="470"/>
        <item x="417"/>
        <item x="11"/>
        <item x="452"/>
        <item x="464"/>
        <item x="141"/>
        <item x="222"/>
        <item x="619"/>
        <item x="157"/>
        <item x="77"/>
        <item x="2"/>
        <item x="484"/>
        <item x="644"/>
        <item x="85"/>
        <item x="16"/>
        <item x="610"/>
        <item x="765"/>
        <item x="601"/>
        <item x="435"/>
        <item x="632"/>
        <item x="299"/>
        <item x="198"/>
        <item x="236"/>
        <item x="315"/>
        <item x="432"/>
        <item x="312"/>
        <item x="112"/>
        <item x="90"/>
        <item x="79"/>
        <item x="310"/>
        <item x="165"/>
        <item x="553"/>
        <item x="114"/>
        <item x="795"/>
        <item x="560"/>
        <item x="389"/>
        <item x="169"/>
        <item x="166"/>
        <item x="146"/>
        <item x="455"/>
        <item x="618"/>
        <item x="150"/>
        <item x="708"/>
        <item x="682"/>
        <item x="530"/>
        <item x="229"/>
        <item x="520"/>
        <item x="401"/>
        <item x="206"/>
        <item x="540"/>
        <item x="657"/>
        <item x="494"/>
        <item x="796"/>
        <item x="178"/>
        <item x="182"/>
        <item x="755"/>
        <item x="687"/>
        <item x="261"/>
        <item x="365"/>
        <item x="523"/>
        <item x="192"/>
        <item x="769"/>
        <item x="604"/>
        <item x="542"/>
        <item x="58"/>
        <item x="91"/>
        <item x="499"/>
        <item x="790"/>
        <item x="228"/>
        <item x="615"/>
        <item x="361"/>
        <item x="722"/>
        <item x="617"/>
        <item x="656"/>
        <item x="551"/>
        <item x="189"/>
        <item x="61"/>
        <item x="660"/>
        <item x="171"/>
        <item x="411"/>
        <item x="49"/>
        <item x="485"/>
        <item x="36"/>
        <item x="762"/>
        <item x="694"/>
        <item x="737"/>
        <item x="580"/>
        <item x="14"/>
        <item x="576"/>
        <item x="434"/>
        <item x="42"/>
        <item x="158"/>
        <item x="581"/>
        <item x="705"/>
        <item x="486"/>
        <item x="535"/>
        <item x="248"/>
        <item x="406"/>
        <item x="323"/>
        <item x="591"/>
        <item x="666"/>
        <item x="571"/>
        <item x="155"/>
        <item x="598"/>
        <item x="675"/>
        <item x="280"/>
        <item x="201"/>
        <item x="12"/>
        <item x="292"/>
        <item x="70"/>
        <item x="130"/>
        <item x="86"/>
        <item x="57"/>
        <item x="63"/>
        <item x="442"/>
        <item x="399"/>
        <item x="791"/>
        <item x="25"/>
        <item x="101"/>
        <item x="727"/>
        <item x="527"/>
        <item x="237"/>
        <item x="665"/>
        <item x="32"/>
        <item x="626"/>
        <item x="368"/>
        <item x="20"/>
        <item x="303"/>
        <item x="197"/>
        <item x="194"/>
        <item x="341"/>
        <item x="421"/>
        <item x="577"/>
        <item x="241"/>
        <item x="162"/>
        <item x="164"/>
        <item x="760"/>
        <item x="583"/>
        <item x="633"/>
        <item x="767"/>
        <item x="662"/>
        <item x="429"/>
        <item x="537"/>
        <item x="233"/>
        <item x="81"/>
        <item x="29"/>
        <item x="713"/>
        <item x="707"/>
        <item x="28"/>
        <item x="376"/>
        <item x="695"/>
        <item x="337"/>
        <item x="525"/>
        <item x="475"/>
        <item x="538"/>
        <item x="211"/>
        <item x="510"/>
        <item x="652"/>
        <item x="554"/>
        <item x="271"/>
        <item x="354"/>
        <item x="474"/>
        <item x="497"/>
        <item x="5"/>
        <item x="472"/>
        <item x="96"/>
        <item x="642"/>
        <item x="100"/>
        <item x="284"/>
        <item x="363"/>
        <item x="351"/>
        <item x="151"/>
        <item x="587"/>
        <item x="301"/>
        <item x="154"/>
        <item x="467"/>
        <item x="788"/>
        <item x="362"/>
        <item x="476"/>
        <item x="711"/>
        <item x="102"/>
        <item x="244"/>
        <item x="203"/>
        <item x="239"/>
        <item x="781"/>
        <item x="6"/>
        <item x="753"/>
        <item x="780"/>
        <item x="51"/>
        <item x="373"/>
        <item x="550"/>
        <item x="564"/>
        <item x="1"/>
        <item x="739"/>
        <item x="672"/>
        <item x="353"/>
        <item x="605"/>
        <item x="286"/>
        <item x="9"/>
        <item x="214"/>
        <item x="690"/>
        <item x="612"/>
        <item x="196"/>
        <item x="555"/>
        <item x="546"/>
        <item x="700"/>
        <item x="719"/>
        <item x="759"/>
        <item x="235"/>
        <item x="534"/>
        <item x="609"/>
        <item x="131"/>
        <item x="631"/>
        <item x="599"/>
        <item x="438"/>
        <item x="513"/>
        <item x="84"/>
        <item x="430"/>
        <item x="593"/>
        <item x="268"/>
        <item x="250"/>
        <item x="287"/>
        <item x="103"/>
        <item x="160"/>
        <item x="509"/>
        <item x="213"/>
        <item x="52"/>
        <item x="225"/>
        <item x="290"/>
        <item x="38"/>
        <item x="127"/>
        <item x="326"/>
        <item x="532"/>
        <item x="339"/>
        <item x="140"/>
        <item x="458"/>
        <item x="254"/>
        <item x="187"/>
        <item x="243"/>
        <item x="4"/>
        <item x="306"/>
        <item x="48"/>
        <item x="646"/>
        <item x="482"/>
        <item x="746"/>
        <item x="260"/>
        <item x="132"/>
        <item x="403"/>
        <item x="413"/>
        <item x="579"/>
        <item x="136"/>
        <item x="495"/>
        <item x="405"/>
        <item x="659"/>
        <item x="99"/>
        <item x="436"/>
        <item x="330"/>
        <item x="726"/>
        <item x="697"/>
        <item x="664"/>
        <item x="72"/>
        <item x="715"/>
        <item x="801"/>
        <item x="693"/>
        <item x="720"/>
        <item x="378"/>
        <item x="40"/>
        <item x="321"/>
        <item x="451"/>
        <item x="441"/>
        <item x="733"/>
        <item x="41"/>
        <item x="176"/>
        <item x="307"/>
        <item x="491"/>
        <item x="427"/>
        <item x="606"/>
        <item x="190"/>
        <item x="531"/>
        <item x="46"/>
        <item x="325"/>
        <item x="200"/>
        <item x="221"/>
        <item x="291"/>
        <item x="669"/>
        <item x="395"/>
        <item x="586"/>
        <item x="426"/>
        <item x="731"/>
        <item x="35"/>
        <item x="607"/>
        <item x="782"/>
        <item x="414"/>
        <item x="572"/>
        <item x="699"/>
        <item x="125"/>
        <item x="106"/>
        <item x="143"/>
        <item x="305"/>
        <item x="282"/>
        <item x="163"/>
        <item x="226"/>
        <item x="754"/>
        <item x="191"/>
        <item x="172"/>
        <item x="428"/>
        <item x="729"/>
        <item x="205"/>
        <item x="764"/>
        <item x="219"/>
        <item x="479"/>
        <item x="768"/>
        <item x="483"/>
        <item x="641"/>
        <item x="17"/>
        <item x="258"/>
        <item x="78"/>
        <item x="148"/>
        <item x="654"/>
        <item x="279"/>
        <item x="347"/>
        <item x="758"/>
        <item x="488"/>
        <item x="589"/>
        <item x="336"/>
        <item x="391"/>
        <item x="639"/>
        <item x="539"/>
        <item x="557"/>
        <item x="578"/>
        <item x="30"/>
        <item x="677"/>
        <item x="732"/>
        <item x="263"/>
        <item x="460"/>
        <item x="342"/>
        <item x="232"/>
        <item x="167"/>
        <item x="356"/>
        <item x="71"/>
        <item x="256"/>
        <item x="552"/>
        <item x="506"/>
        <item x="518"/>
        <item x="372"/>
        <item x="234"/>
        <item x="640"/>
        <item x="507"/>
        <item x="331"/>
        <item x="59"/>
        <item x="181"/>
        <item x="743"/>
        <item x="285"/>
        <item x="645"/>
        <item x="681"/>
        <item x="124"/>
        <item x="93"/>
        <item x="786"/>
        <item x="412"/>
        <item x="204"/>
        <item x="31"/>
        <item x="457"/>
        <item x="329"/>
        <item x="179"/>
        <item x="490"/>
        <item x="43"/>
        <item x="377"/>
        <item x="209"/>
        <item x="728"/>
        <item x="37"/>
        <item x="592"/>
        <item x="712"/>
        <item x="380"/>
        <item x="449"/>
        <item x="62"/>
        <item x="242"/>
        <item x="95"/>
        <item x="259"/>
        <item x="519"/>
        <item x="332"/>
        <item x="319"/>
        <item x="447"/>
        <item x="392"/>
        <item x="34"/>
        <item x="702"/>
        <item x="465"/>
        <item x="570"/>
        <item x="269"/>
        <item x="19"/>
        <item x="766"/>
        <item x="653"/>
        <item x="590"/>
        <item x="69"/>
        <item x="281"/>
        <item x="740"/>
        <item x="390"/>
        <item x="224"/>
        <item x="462"/>
        <item x="628"/>
        <item x="75"/>
        <item x="634"/>
        <item x="55"/>
        <item x="526"/>
        <item x="322"/>
        <item x="676"/>
        <item x="559"/>
        <item x="215"/>
        <item x="123"/>
        <item x="129"/>
        <item x="736"/>
        <item x="105"/>
        <item x="410"/>
        <item x="648"/>
        <item x="111"/>
        <item x="252"/>
        <item x="304"/>
        <item x="149"/>
        <item x="89"/>
        <item x="431"/>
        <item x="778"/>
        <item x="459"/>
        <item x="289"/>
        <item x="643"/>
        <item x="647"/>
        <item x="549"/>
        <item x="202"/>
        <item x="685"/>
        <item x="630"/>
        <item x="575"/>
        <item x="799"/>
        <item x="623"/>
        <item x="725"/>
        <item x="416"/>
        <item x="108"/>
        <item x="94"/>
        <item x="88"/>
        <item x="23"/>
        <item x="174"/>
        <item x="625"/>
        <item x="195"/>
        <item x="422"/>
        <item x="220"/>
        <item x="784"/>
        <item x="296"/>
        <item x="53"/>
        <item x="217"/>
        <item x="350"/>
        <item x="785"/>
        <item x="408"/>
        <item x="246"/>
        <item x="420"/>
        <item x="453"/>
        <item x="116"/>
        <item x="272"/>
        <item x="800"/>
        <item x="398"/>
        <item x="251"/>
        <item x="311"/>
        <item x="10"/>
        <item x="533"/>
        <item x="316"/>
        <item x="611"/>
        <item x="283"/>
        <item x="777"/>
        <item x="688"/>
        <item x="454"/>
        <item x="528"/>
        <item x="320"/>
        <item x="266"/>
        <item x="437"/>
        <item x="627"/>
        <item x="247"/>
        <item x="614"/>
        <item x="536"/>
        <item x="445"/>
        <item x="227"/>
        <item x="223"/>
        <item x="230"/>
        <item x="418"/>
        <item x="473"/>
        <item x="33"/>
        <item x="22"/>
        <item x="741"/>
        <item x="745"/>
        <item x="787"/>
        <item x="318"/>
        <item x="734"/>
        <item x="409"/>
        <item x="477"/>
        <item x="144"/>
        <item x="3"/>
        <item x="359"/>
        <item x="383"/>
        <item x="348"/>
        <item x="216"/>
        <item x="679"/>
        <item x="565"/>
        <item x="798"/>
        <item x="64"/>
        <item x="257"/>
        <item x="18"/>
        <item x="358"/>
        <item x="502"/>
        <item x="184"/>
        <item x="673"/>
        <item x="298"/>
        <item x="789"/>
        <item x="582"/>
        <item x="308"/>
        <item x="478"/>
        <item x="749"/>
        <item x="721"/>
        <item x="317"/>
        <item x="324"/>
        <item x="277"/>
        <item x="302"/>
        <item x="118"/>
        <item x="792"/>
        <item x="98"/>
        <item x="480"/>
        <item x="39"/>
        <item x="603"/>
        <item x="439"/>
        <item x="747"/>
        <item x="60"/>
        <item x="500"/>
        <item x="541"/>
        <item x="521"/>
        <item x="556"/>
        <item x="128"/>
        <item x="73"/>
        <item x="622"/>
        <item x="773"/>
        <item x="294"/>
        <item x="82"/>
        <item x="397"/>
        <item x="8"/>
        <item x="481"/>
        <item x="375"/>
        <item x="67"/>
        <item x="680"/>
        <item x="293"/>
        <item x="345"/>
        <item x="188"/>
        <item x="433"/>
        <item x="444"/>
        <item x="716"/>
        <item x="450"/>
        <item x="394"/>
        <item x="456"/>
        <item x="585"/>
        <item x="496"/>
        <item x="637"/>
        <item x="793"/>
        <item x="751"/>
        <item x="696"/>
        <item x="512"/>
        <item x="135"/>
        <item x="175"/>
        <item x="107"/>
        <item x="744"/>
        <item x="503"/>
        <item x="134"/>
        <item x="522"/>
        <item x="238"/>
        <item x="517"/>
        <item x="138"/>
        <item x="159"/>
        <item x="21"/>
        <item x="620"/>
        <item x="600"/>
        <item x="425"/>
        <item x="212"/>
        <item x="170"/>
        <item x="771"/>
        <item x="367"/>
        <item x="349"/>
        <item x="471"/>
        <item x="629"/>
        <item x="691"/>
        <item x="779"/>
        <item x="113"/>
        <item x="567"/>
        <item x="756"/>
        <item x="595"/>
        <item x="338"/>
        <item x="370"/>
        <item x="730"/>
        <item x="264"/>
        <item x="775"/>
        <item x="253"/>
        <item x="50"/>
        <item x="404"/>
        <item x="498"/>
        <item x="596"/>
        <item x="145"/>
        <item x="110"/>
        <item x="161"/>
        <item x="563"/>
        <item x="276"/>
        <item x="180"/>
        <item x="364"/>
        <item x="186"/>
        <item x="757"/>
        <item x="360"/>
        <item x="87"/>
        <item x="382"/>
        <item x="44"/>
        <item x="379"/>
        <item x="671"/>
        <item x="492"/>
        <item x="122"/>
        <item x="80"/>
        <item x="26"/>
        <item x="776"/>
        <item x="505"/>
        <item x="355"/>
        <item x="0"/>
        <item x="703"/>
        <item x="199"/>
        <item x="752"/>
        <item x="334"/>
        <item x="371"/>
        <item x="275"/>
        <item x="313"/>
        <item x="714"/>
        <item x="616"/>
        <item x="115"/>
        <item x="139"/>
        <item x="689"/>
        <item x="120"/>
        <item x="183"/>
        <item x="663"/>
        <item x="15"/>
        <item x="119"/>
        <item x="396"/>
        <item x="667"/>
        <item x="511"/>
        <item x="624"/>
        <item x="121"/>
        <item x="327"/>
        <item x="561"/>
        <item x="152"/>
        <item x="255"/>
        <item x="597"/>
        <item x="515"/>
        <item x="635"/>
        <item x="547"/>
        <item x="678"/>
        <item x="374"/>
        <item x="7"/>
        <item x="352"/>
        <item x="761"/>
        <item x="210"/>
        <item x="489"/>
        <item x="463"/>
        <item x="608"/>
        <item x="661"/>
        <item x="328"/>
        <item x="245"/>
        <item x="273"/>
        <item x="185"/>
        <item x="686"/>
        <item x="748"/>
        <item x="265"/>
        <item x="262"/>
        <item x="109"/>
        <item x="218"/>
        <item x="514"/>
        <item x="47"/>
        <item x="548"/>
        <item x="278"/>
        <item x="718"/>
        <item x="386"/>
        <item x="193"/>
        <item x="706"/>
        <item x="288"/>
        <item x="333"/>
        <item x="104"/>
        <item x="385"/>
        <item x="683"/>
        <item x="45"/>
        <item x="636"/>
        <item x="763"/>
        <item x="56"/>
        <item x="588"/>
        <item x="393"/>
        <item x="750"/>
        <item x="602"/>
        <item x="343"/>
        <item x="231"/>
        <item x="684"/>
        <item x="692"/>
        <item x="466"/>
        <item x="440"/>
        <item x="366"/>
        <item x="794"/>
        <item x="297"/>
        <item x="772"/>
        <item x="400"/>
        <item x="574"/>
        <item x="735"/>
        <item x="670"/>
        <item x="649"/>
        <item x="504"/>
        <item x="13"/>
        <item x="544"/>
        <item x="335"/>
        <item x="369"/>
        <item x="655"/>
        <item x="650"/>
        <item x="133"/>
        <item x="651"/>
        <item x="68"/>
        <item x="156"/>
        <item x="738"/>
        <item x="501"/>
        <item x="674"/>
        <item x="92"/>
        <item x="407"/>
        <item x="668"/>
        <item x="487"/>
        <item x="468"/>
        <item x="717"/>
        <item x="295"/>
        <item x="419"/>
        <item x="524"/>
        <item x="137"/>
        <item x="402"/>
        <item x="443"/>
        <item x="357"/>
        <item x="701"/>
        <item x="387"/>
        <item x="569"/>
        <item x="249"/>
        <item x="66"/>
        <item x="300"/>
        <item x="126"/>
        <item x="448"/>
        <item x="469"/>
        <item x="65"/>
        <item x="274"/>
        <item x="207"/>
        <item x="267"/>
        <item x="508"/>
        <item x="24"/>
        <item x="573"/>
        <item x="309"/>
        <item x="117"/>
        <item x="783"/>
        <item x="558"/>
        <item x="177"/>
        <item x="613"/>
        <item x="621"/>
        <item x="74"/>
        <item x="54"/>
        <item x="543"/>
        <item x="83"/>
        <item x="584"/>
        <item x="710"/>
        <item x="344"/>
        <item x="168"/>
        <item x="797"/>
        <item x="446"/>
        <item x="698"/>
        <item x="461"/>
        <item x="208"/>
        <item x="568"/>
        <item x="384"/>
        <item x="142"/>
        <item x="516"/>
        <item x="415"/>
        <item x="97"/>
        <item x="381"/>
        <item x="423"/>
        <item x="76"/>
        <item x="742"/>
        <item x="173"/>
        <item x="770"/>
        <item x="388"/>
        <item x="27"/>
        <item x="709"/>
        <item x="562"/>
        <item x="314"/>
        <item x="153"/>
        <item x="424"/>
        <item x="493"/>
        <item x="774"/>
        <item x="704"/>
        <item x="346"/>
        <item x="147"/>
        <item x="529"/>
        <item x="723"/>
        <item x="566"/>
        <item x="638"/>
        <item x="658"/>
        <item x="545"/>
        <item x="340"/>
        <item x="240"/>
        <item t="default"/>
      </items>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10">
        <item sd="0" x="0"/>
        <item sd="0" x="1"/>
        <item sd="0" x="2"/>
        <item sd="0" x="3"/>
        <item sd="0" x="4"/>
        <item sd="0" x="5"/>
        <item sd="0" x="6"/>
        <item sd="0" x="7"/>
        <item sd="0" x="8"/>
        <item t="default" sd="0"/>
      </items>
    </pivotField>
  </pivotFields>
  <rowFields count="4">
    <field x="16"/>
    <field x="15"/>
    <field x="14"/>
    <field x="9"/>
  </rowFields>
  <rowItems count="8">
    <i>
      <x v="1"/>
    </i>
    <i>
      <x v="2"/>
    </i>
    <i>
      <x v="3"/>
    </i>
    <i>
      <x v="4"/>
    </i>
    <i>
      <x v="5"/>
    </i>
    <i>
      <x v="6"/>
    </i>
    <i>
      <x v="7"/>
    </i>
    <i t="grand">
      <x/>
    </i>
  </rowItems>
  <colFields count="1">
    <field x="-2"/>
  </colFields>
  <colItems count="2">
    <i>
      <x/>
    </i>
    <i i="1">
      <x v="1"/>
    </i>
  </colItems>
  <dataFields count="2">
    <dataField name="TOTAL AMOUNT" fld="6" baseField="16" baseItem="1"/>
    <dataField name="ACCRUED INTEREST" fld="13" baseField="16" baseItem="1"/>
  </dataFields>
  <formats count="6">
    <format dxfId="15">
      <pivotArea type="all" dataOnly="0" outline="0" fieldPosition="0"/>
    </format>
    <format dxfId="14">
      <pivotArea outline="0" collapsedLevelsAreSubtotals="1" fieldPosition="0"/>
    </format>
    <format dxfId="13">
      <pivotArea field="16" type="button" dataOnly="0" labelOnly="1" outline="0" axis="axisRow" fieldPosition="0"/>
    </format>
    <format dxfId="12">
      <pivotArea dataOnly="0" labelOnly="1" fieldPosition="0">
        <references count="1">
          <reference field="16" count="7">
            <x v="1"/>
            <x v="2"/>
            <x v="3"/>
            <x v="4"/>
            <x v="5"/>
            <x v="6"/>
            <x v="7"/>
          </reference>
        </references>
      </pivotArea>
    </format>
    <format dxfId="11">
      <pivotArea dataOnly="0" labelOnly="1" grandRow="1" outline="0" fieldPosition="0"/>
    </format>
    <format dxfId="10">
      <pivotArea dataOnly="0" labelOnly="1" outline="0" fieldPosition="0">
        <references count="1">
          <reference field="4294967294" count="2">
            <x v="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0D6D82-ED56-42BD-BCE4-C9E20E1D2DB8}"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7">
    <pivotField dataField="1" showAll="0"/>
    <pivotField showAll="0"/>
    <pivotField showAll="0"/>
    <pivotField showAll="0"/>
    <pivotField showAll="0"/>
    <pivotField showAll="0">
      <items count="7">
        <item x="2"/>
        <item x="5"/>
        <item x="0"/>
        <item x="4"/>
        <item x="3"/>
        <item x="1"/>
        <item t="default"/>
      </items>
    </pivotField>
    <pivotField dataField="1" showAll="0"/>
    <pivotField showAll="0"/>
    <pivotField showAll="0"/>
    <pivotField numFmtId="14" showAll="0">
      <items count="803">
        <item x="270"/>
        <item x="594"/>
        <item x="724"/>
        <item x="470"/>
        <item x="417"/>
        <item x="11"/>
        <item x="452"/>
        <item x="464"/>
        <item x="141"/>
        <item x="222"/>
        <item x="619"/>
        <item x="157"/>
        <item x="77"/>
        <item x="2"/>
        <item x="484"/>
        <item x="644"/>
        <item x="85"/>
        <item x="16"/>
        <item x="610"/>
        <item x="765"/>
        <item x="601"/>
        <item x="435"/>
        <item x="632"/>
        <item x="299"/>
        <item x="198"/>
        <item x="236"/>
        <item x="315"/>
        <item x="432"/>
        <item x="312"/>
        <item x="112"/>
        <item x="90"/>
        <item x="79"/>
        <item x="310"/>
        <item x="165"/>
        <item x="553"/>
        <item x="114"/>
        <item x="795"/>
        <item x="560"/>
        <item x="389"/>
        <item x="169"/>
        <item x="166"/>
        <item x="146"/>
        <item x="455"/>
        <item x="618"/>
        <item x="150"/>
        <item x="708"/>
        <item x="682"/>
        <item x="530"/>
        <item x="229"/>
        <item x="520"/>
        <item x="401"/>
        <item x="206"/>
        <item x="540"/>
        <item x="657"/>
        <item x="494"/>
        <item x="796"/>
        <item x="178"/>
        <item x="182"/>
        <item x="755"/>
        <item x="687"/>
        <item x="261"/>
        <item x="365"/>
        <item x="523"/>
        <item x="192"/>
        <item x="769"/>
        <item x="604"/>
        <item x="542"/>
        <item x="58"/>
        <item x="91"/>
        <item x="499"/>
        <item x="790"/>
        <item x="228"/>
        <item x="615"/>
        <item x="361"/>
        <item x="722"/>
        <item x="617"/>
        <item x="656"/>
        <item x="551"/>
        <item x="189"/>
        <item x="61"/>
        <item x="660"/>
        <item x="171"/>
        <item x="411"/>
        <item x="49"/>
        <item x="485"/>
        <item x="36"/>
        <item x="762"/>
        <item x="694"/>
        <item x="737"/>
        <item x="580"/>
        <item x="14"/>
        <item x="576"/>
        <item x="434"/>
        <item x="42"/>
        <item x="158"/>
        <item x="581"/>
        <item x="705"/>
        <item x="486"/>
        <item x="535"/>
        <item x="248"/>
        <item x="406"/>
        <item x="323"/>
        <item x="591"/>
        <item x="666"/>
        <item x="571"/>
        <item x="155"/>
        <item x="598"/>
        <item x="675"/>
        <item x="280"/>
        <item x="201"/>
        <item x="12"/>
        <item x="292"/>
        <item x="70"/>
        <item x="130"/>
        <item x="86"/>
        <item x="57"/>
        <item x="63"/>
        <item x="442"/>
        <item x="399"/>
        <item x="791"/>
        <item x="25"/>
        <item x="101"/>
        <item x="727"/>
        <item x="527"/>
        <item x="237"/>
        <item x="665"/>
        <item x="32"/>
        <item x="626"/>
        <item x="368"/>
        <item x="20"/>
        <item x="303"/>
        <item x="197"/>
        <item x="194"/>
        <item x="341"/>
        <item x="421"/>
        <item x="577"/>
        <item x="241"/>
        <item x="162"/>
        <item x="164"/>
        <item x="760"/>
        <item x="583"/>
        <item x="633"/>
        <item x="767"/>
        <item x="662"/>
        <item x="429"/>
        <item x="537"/>
        <item x="233"/>
        <item x="81"/>
        <item x="29"/>
        <item x="713"/>
        <item x="707"/>
        <item x="28"/>
        <item x="376"/>
        <item x="695"/>
        <item x="337"/>
        <item x="525"/>
        <item x="475"/>
        <item x="538"/>
        <item x="211"/>
        <item x="510"/>
        <item x="652"/>
        <item x="554"/>
        <item x="271"/>
        <item x="354"/>
        <item x="474"/>
        <item x="497"/>
        <item x="5"/>
        <item x="472"/>
        <item x="96"/>
        <item x="642"/>
        <item x="100"/>
        <item x="284"/>
        <item x="363"/>
        <item x="351"/>
        <item x="151"/>
        <item x="587"/>
        <item x="301"/>
        <item x="154"/>
        <item x="467"/>
        <item x="788"/>
        <item x="362"/>
        <item x="476"/>
        <item x="711"/>
        <item x="102"/>
        <item x="244"/>
        <item x="203"/>
        <item x="239"/>
        <item x="781"/>
        <item x="6"/>
        <item x="753"/>
        <item x="780"/>
        <item x="51"/>
        <item x="373"/>
        <item x="550"/>
        <item x="564"/>
        <item x="1"/>
        <item x="739"/>
        <item x="672"/>
        <item x="353"/>
        <item x="605"/>
        <item x="286"/>
        <item x="9"/>
        <item x="214"/>
        <item x="690"/>
        <item x="612"/>
        <item x="196"/>
        <item x="555"/>
        <item x="546"/>
        <item x="700"/>
        <item x="719"/>
        <item x="759"/>
        <item x="235"/>
        <item x="534"/>
        <item x="609"/>
        <item x="131"/>
        <item x="631"/>
        <item x="599"/>
        <item x="438"/>
        <item x="513"/>
        <item x="84"/>
        <item x="430"/>
        <item x="593"/>
        <item x="268"/>
        <item x="250"/>
        <item x="287"/>
        <item x="103"/>
        <item x="160"/>
        <item x="509"/>
        <item x="213"/>
        <item x="52"/>
        <item x="225"/>
        <item x="290"/>
        <item x="38"/>
        <item x="127"/>
        <item x="326"/>
        <item x="532"/>
        <item x="339"/>
        <item x="140"/>
        <item x="458"/>
        <item x="254"/>
        <item x="187"/>
        <item x="243"/>
        <item x="4"/>
        <item x="306"/>
        <item x="48"/>
        <item x="646"/>
        <item x="482"/>
        <item x="746"/>
        <item x="260"/>
        <item x="132"/>
        <item x="403"/>
        <item x="413"/>
        <item x="579"/>
        <item x="136"/>
        <item x="495"/>
        <item x="405"/>
        <item x="659"/>
        <item x="99"/>
        <item x="436"/>
        <item x="330"/>
        <item x="726"/>
        <item x="697"/>
        <item x="664"/>
        <item x="72"/>
        <item x="715"/>
        <item x="801"/>
        <item x="693"/>
        <item x="720"/>
        <item x="378"/>
        <item x="40"/>
        <item x="321"/>
        <item x="451"/>
        <item x="441"/>
        <item x="733"/>
        <item x="41"/>
        <item x="176"/>
        <item x="307"/>
        <item x="491"/>
        <item x="427"/>
        <item x="606"/>
        <item x="190"/>
        <item x="531"/>
        <item x="46"/>
        <item x="325"/>
        <item x="200"/>
        <item x="221"/>
        <item x="291"/>
        <item x="669"/>
        <item x="395"/>
        <item x="586"/>
        <item x="426"/>
        <item x="731"/>
        <item x="35"/>
        <item x="607"/>
        <item x="782"/>
        <item x="414"/>
        <item x="572"/>
        <item x="699"/>
        <item x="125"/>
        <item x="106"/>
        <item x="143"/>
        <item x="305"/>
        <item x="282"/>
        <item x="163"/>
        <item x="226"/>
        <item x="754"/>
        <item x="191"/>
        <item x="172"/>
        <item x="428"/>
        <item x="729"/>
        <item x="205"/>
        <item x="764"/>
        <item x="219"/>
        <item x="479"/>
        <item x="768"/>
        <item x="483"/>
        <item x="641"/>
        <item x="17"/>
        <item x="258"/>
        <item x="78"/>
        <item x="148"/>
        <item x="654"/>
        <item x="279"/>
        <item x="347"/>
        <item x="758"/>
        <item x="488"/>
        <item x="589"/>
        <item x="336"/>
        <item x="391"/>
        <item x="639"/>
        <item x="539"/>
        <item x="557"/>
        <item x="578"/>
        <item x="30"/>
        <item x="677"/>
        <item x="732"/>
        <item x="263"/>
        <item x="460"/>
        <item x="342"/>
        <item x="232"/>
        <item x="167"/>
        <item x="356"/>
        <item x="71"/>
        <item x="256"/>
        <item x="552"/>
        <item x="506"/>
        <item x="518"/>
        <item x="372"/>
        <item x="234"/>
        <item x="640"/>
        <item x="507"/>
        <item x="331"/>
        <item x="59"/>
        <item x="181"/>
        <item x="743"/>
        <item x="285"/>
        <item x="645"/>
        <item x="681"/>
        <item x="124"/>
        <item x="93"/>
        <item x="786"/>
        <item x="412"/>
        <item x="204"/>
        <item x="31"/>
        <item x="457"/>
        <item x="329"/>
        <item x="179"/>
        <item x="490"/>
        <item x="43"/>
        <item x="377"/>
        <item x="209"/>
        <item x="728"/>
        <item x="37"/>
        <item x="592"/>
        <item x="712"/>
        <item x="380"/>
        <item x="449"/>
        <item x="62"/>
        <item x="242"/>
        <item x="95"/>
        <item x="259"/>
        <item x="519"/>
        <item x="332"/>
        <item x="319"/>
        <item x="447"/>
        <item x="392"/>
        <item x="34"/>
        <item x="702"/>
        <item x="465"/>
        <item x="570"/>
        <item x="269"/>
        <item x="19"/>
        <item x="766"/>
        <item x="653"/>
        <item x="590"/>
        <item x="69"/>
        <item x="281"/>
        <item x="740"/>
        <item x="390"/>
        <item x="224"/>
        <item x="462"/>
        <item x="628"/>
        <item x="75"/>
        <item x="634"/>
        <item x="55"/>
        <item x="526"/>
        <item x="322"/>
        <item x="676"/>
        <item x="559"/>
        <item x="215"/>
        <item x="123"/>
        <item x="129"/>
        <item x="736"/>
        <item x="105"/>
        <item x="410"/>
        <item x="648"/>
        <item x="111"/>
        <item x="252"/>
        <item x="304"/>
        <item x="149"/>
        <item x="89"/>
        <item x="431"/>
        <item x="778"/>
        <item x="459"/>
        <item x="289"/>
        <item x="643"/>
        <item x="647"/>
        <item x="549"/>
        <item x="202"/>
        <item x="685"/>
        <item x="630"/>
        <item x="575"/>
        <item x="799"/>
        <item x="623"/>
        <item x="725"/>
        <item x="416"/>
        <item x="108"/>
        <item x="94"/>
        <item x="88"/>
        <item x="23"/>
        <item x="174"/>
        <item x="625"/>
        <item x="195"/>
        <item x="422"/>
        <item x="220"/>
        <item x="784"/>
        <item x="296"/>
        <item x="53"/>
        <item x="217"/>
        <item x="350"/>
        <item x="785"/>
        <item x="408"/>
        <item x="246"/>
        <item x="420"/>
        <item x="453"/>
        <item x="116"/>
        <item x="272"/>
        <item x="800"/>
        <item x="398"/>
        <item x="251"/>
        <item x="311"/>
        <item x="10"/>
        <item x="533"/>
        <item x="316"/>
        <item x="611"/>
        <item x="283"/>
        <item x="777"/>
        <item x="688"/>
        <item x="454"/>
        <item x="528"/>
        <item x="320"/>
        <item x="266"/>
        <item x="437"/>
        <item x="627"/>
        <item x="247"/>
        <item x="614"/>
        <item x="536"/>
        <item x="445"/>
        <item x="227"/>
        <item x="223"/>
        <item x="230"/>
        <item x="418"/>
        <item x="473"/>
        <item x="33"/>
        <item x="22"/>
        <item x="741"/>
        <item x="745"/>
        <item x="787"/>
        <item x="318"/>
        <item x="734"/>
        <item x="409"/>
        <item x="477"/>
        <item x="144"/>
        <item x="3"/>
        <item x="359"/>
        <item x="383"/>
        <item x="348"/>
        <item x="216"/>
        <item x="679"/>
        <item x="565"/>
        <item x="798"/>
        <item x="64"/>
        <item x="257"/>
        <item x="18"/>
        <item x="358"/>
        <item x="502"/>
        <item x="184"/>
        <item x="673"/>
        <item x="298"/>
        <item x="789"/>
        <item x="582"/>
        <item x="308"/>
        <item x="478"/>
        <item x="749"/>
        <item x="721"/>
        <item x="317"/>
        <item x="324"/>
        <item x="277"/>
        <item x="302"/>
        <item x="118"/>
        <item x="792"/>
        <item x="98"/>
        <item x="480"/>
        <item x="39"/>
        <item x="603"/>
        <item x="439"/>
        <item x="747"/>
        <item x="60"/>
        <item x="500"/>
        <item x="541"/>
        <item x="521"/>
        <item x="556"/>
        <item x="128"/>
        <item x="73"/>
        <item x="622"/>
        <item x="773"/>
        <item x="294"/>
        <item x="82"/>
        <item x="397"/>
        <item x="8"/>
        <item x="481"/>
        <item x="375"/>
        <item x="67"/>
        <item x="680"/>
        <item x="293"/>
        <item x="345"/>
        <item x="188"/>
        <item x="433"/>
        <item x="444"/>
        <item x="716"/>
        <item x="450"/>
        <item x="394"/>
        <item x="456"/>
        <item x="585"/>
        <item x="496"/>
        <item x="637"/>
        <item x="793"/>
        <item x="751"/>
        <item x="696"/>
        <item x="512"/>
        <item x="135"/>
        <item x="175"/>
        <item x="107"/>
        <item x="744"/>
        <item x="503"/>
        <item x="134"/>
        <item x="522"/>
        <item x="238"/>
        <item x="517"/>
        <item x="138"/>
        <item x="159"/>
        <item x="21"/>
        <item x="620"/>
        <item x="600"/>
        <item x="425"/>
        <item x="212"/>
        <item x="170"/>
        <item x="771"/>
        <item x="367"/>
        <item x="349"/>
        <item x="471"/>
        <item x="629"/>
        <item x="691"/>
        <item x="779"/>
        <item x="113"/>
        <item x="567"/>
        <item x="756"/>
        <item x="595"/>
        <item x="338"/>
        <item x="370"/>
        <item x="730"/>
        <item x="264"/>
        <item x="775"/>
        <item x="253"/>
        <item x="50"/>
        <item x="404"/>
        <item x="498"/>
        <item x="596"/>
        <item x="145"/>
        <item x="110"/>
        <item x="161"/>
        <item x="563"/>
        <item x="276"/>
        <item x="180"/>
        <item x="364"/>
        <item x="186"/>
        <item x="757"/>
        <item x="360"/>
        <item x="87"/>
        <item x="382"/>
        <item x="44"/>
        <item x="379"/>
        <item x="671"/>
        <item x="492"/>
        <item x="122"/>
        <item x="80"/>
        <item x="26"/>
        <item x="776"/>
        <item x="505"/>
        <item x="355"/>
        <item x="0"/>
        <item x="703"/>
        <item x="199"/>
        <item x="752"/>
        <item x="334"/>
        <item x="371"/>
        <item x="275"/>
        <item x="313"/>
        <item x="714"/>
        <item x="616"/>
        <item x="115"/>
        <item x="139"/>
        <item x="689"/>
        <item x="120"/>
        <item x="183"/>
        <item x="663"/>
        <item x="15"/>
        <item x="119"/>
        <item x="396"/>
        <item x="667"/>
        <item x="511"/>
        <item x="624"/>
        <item x="121"/>
        <item x="327"/>
        <item x="561"/>
        <item x="152"/>
        <item x="255"/>
        <item x="597"/>
        <item x="515"/>
        <item x="635"/>
        <item x="547"/>
        <item x="678"/>
        <item x="374"/>
        <item x="7"/>
        <item x="352"/>
        <item x="761"/>
        <item x="210"/>
        <item x="489"/>
        <item x="463"/>
        <item x="608"/>
        <item x="661"/>
        <item x="328"/>
        <item x="245"/>
        <item x="273"/>
        <item x="185"/>
        <item x="686"/>
        <item x="748"/>
        <item x="265"/>
        <item x="262"/>
        <item x="109"/>
        <item x="218"/>
        <item x="514"/>
        <item x="47"/>
        <item x="548"/>
        <item x="278"/>
        <item x="718"/>
        <item x="386"/>
        <item x="193"/>
        <item x="706"/>
        <item x="288"/>
        <item x="333"/>
        <item x="104"/>
        <item x="385"/>
        <item x="683"/>
        <item x="45"/>
        <item x="636"/>
        <item x="763"/>
        <item x="56"/>
        <item x="588"/>
        <item x="393"/>
        <item x="750"/>
        <item x="602"/>
        <item x="343"/>
        <item x="231"/>
        <item x="684"/>
        <item x="692"/>
        <item x="466"/>
        <item x="440"/>
        <item x="366"/>
        <item x="794"/>
        <item x="297"/>
        <item x="772"/>
        <item x="400"/>
        <item x="574"/>
        <item x="735"/>
        <item x="670"/>
        <item x="649"/>
        <item x="504"/>
        <item x="13"/>
        <item x="544"/>
        <item x="335"/>
        <item x="369"/>
        <item x="655"/>
        <item x="650"/>
        <item x="133"/>
        <item x="651"/>
        <item x="68"/>
        <item x="156"/>
        <item x="738"/>
        <item x="501"/>
        <item x="674"/>
        <item x="92"/>
        <item x="407"/>
        <item x="668"/>
        <item x="487"/>
        <item x="468"/>
        <item x="717"/>
        <item x="295"/>
        <item x="419"/>
        <item x="524"/>
        <item x="137"/>
        <item x="402"/>
        <item x="443"/>
        <item x="357"/>
        <item x="701"/>
        <item x="387"/>
        <item x="569"/>
        <item x="249"/>
        <item x="66"/>
        <item x="300"/>
        <item x="126"/>
        <item x="448"/>
        <item x="469"/>
        <item x="65"/>
        <item x="274"/>
        <item x="207"/>
        <item x="267"/>
        <item x="508"/>
        <item x="24"/>
        <item x="573"/>
        <item x="309"/>
        <item x="117"/>
        <item x="783"/>
        <item x="558"/>
        <item x="177"/>
        <item x="613"/>
        <item x="621"/>
        <item x="74"/>
        <item x="54"/>
        <item x="543"/>
        <item x="83"/>
        <item x="584"/>
        <item x="710"/>
        <item x="344"/>
        <item x="168"/>
        <item x="797"/>
        <item x="446"/>
        <item x="698"/>
        <item x="461"/>
        <item x="208"/>
        <item x="568"/>
        <item x="384"/>
        <item x="142"/>
        <item x="516"/>
        <item x="415"/>
        <item x="97"/>
        <item x="381"/>
        <item x="423"/>
        <item x="76"/>
        <item x="742"/>
        <item x="173"/>
        <item x="770"/>
        <item x="388"/>
        <item x="27"/>
        <item x="709"/>
        <item x="562"/>
        <item x="314"/>
        <item x="153"/>
        <item x="424"/>
        <item x="493"/>
        <item x="774"/>
        <item x="704"/>
        <item x="346"/>
        <item x="147"/>
        <item x="529"/>
        <item x="723"/>
        <item x="566"/>
        <item x="638"/>
        <item x="658"/>
        <item x="545"/>
        <item x="340"/>
        <item x="24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5">
    <i>
      <x/>
    </i>
    <i i="1">
      <x v="1"/>
    </i>
    <i i="2">
      <x v="2"/>
    </i>
    <i i="3">
      <x v="3"/>
    </i>
    <i i="4">
      <x v="4"/>
    </i>
  </colItems>
  <dataFields count="5">
    <dataField name="Sum of Investment_Amount" fld="6" baseField="0" baseItem="0"/>
    <dataField name="Average of Investment_Amount2" fld="6" subtotal="average" baseField="0" baseItem="1"/>
    <dataField name="Sum of TOTALINTEREST" fld="13" baseField="0" baseItem="0"/>
    <dataField name="Average of TOTALINTEREST2" fld="13" subtotal="average" baseField="0" baseItem="1"/>
    <dataField name="Count of Investor_ID" fld="0" subtotal="count" baseField="0" baseItem="0" numFmtId="164"/>
  </dataFields>
  <formats count="4">
    <format dxfId="19">
      <pivotArea type="all" dataOnly="0" outline="0" fieldPosition="0"/>
    </format>
    <format dxfId="18">
      <pivotArea outline="0" collapsedLevelsAreSubtotals="1" fieldPosition="0"/>
    </format>
    <format dxfId="17">
      <pivotArea dataOnly="0" labelOnly="1" outline="0" fieldPosition="0">
        <references count="1">
          <reference field="4294967294" count="4">
            <x v="0"/>
            <x v="1"/>
            <x v="2"/>
            <x v="3"/>
          </reference>
        </references>
      </pivotArea>
    </format>
    <format dxfId="16">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FF4A44-9EC6-468B-B216-2F281633EDBA}" name="INVESTMENT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13:G19" firstHeaderRow="1" firstDataRow="1" firstDataCol="1"/>
  <pivotFields count="17">
    <pivotField showAll="0"/>
    <pivotField showAll="0"/>
    <pivotField showAll="0"/>
    <pivotField axis="axisRow" showAll="0">
      <items count="6">
        <item x="3"/>
        <item x="0"/>
        <item x="4"/>
        <item x="2"/>
        <item x="1"/>
        <item t="default"/>
      </items>
    </pivotField>
    <pivotField showAll="0"/>
    <pivotField showAll="0">
      <items count="7">
        <item x="2"/>
        <item x="5"/>
        <item x="0"/>
        <item x="4"/>
        <item x="3"/>
        <item x="1"/>
        <item t="default"/>
      </items>
    </pivotField>
    <pivotField dataField="1" showAll="0"/>
    <pivotField showAll="0"/>
    <pivotField showAll="0"/>
    <pivotField numFmtId="14" showAll="0">
      <items count="803">
        <item x="270"/>
        <item x="594"/>
        <item x="724"/>
        <item x="470"/>
        <item x="417"/>
        <item x="11"/>
        <item x="452"/>
        <item x="464"/>
        <item x="141"/>
        <item x="222"/>
        <item x="619"/>
        <item x="157"/>
        <item x="77"/>
        <item x="2"/>
        <item x="484"/>
        <item x="644"/>
        <item x="85"/>
        <item x="16"/>
        <item x="610"/>
        <item x="765"/>
        <item x="601"/>
        <item x="435"/>
        <item x="632"/>
        <item x="299"/>
        <item x="198"/>
        <item x="236"/>
        <item x="315"/>
        <item x="432"/>
        <item x="312"/>
        <item x="112"/>
        <item x="90"/>
        <item x="79"/>
        <item x="310"/>
        <item x="165"/>
        <item x="553"/>
        <item x="114"/>
        <item x="795"/>
        <item x="560"/>
        <item x="389"/>
        <item x="169"/>
        <item x="166"/>
        <item x="146"/>
        <item x="455"/>
        <item x="618"/>
        <item x="150"/>
        <item x="708"/>
        <item x="682"/>
        <item x="530"/>
        <item x="229"/>
        <item x="520"/>
        <item x="401"/>
        <item x="206"/>
        <item x="540"/>
        <item x="657"/>
        <item x="494"/>
        <item x="796"/>
        <item x="178"/>
        <item x="182"/>
        <item x="755"/>
        <item x="687"/>
        <item x="261"/>
        <item x="365"/>
        <item x="523"/>
        <item x="192"/>
        <item x="769"/>
        <item x="604"/>
        <item x="542"/>
        <item x="58"/>
        <item x="91"/>
        <item x="499"/>
        <item x="790"/>
        <item x="228"/>
        <item x="615"/>
        <item x="361"/>
        <item x="722"/>
        <item x="617"/>
        <item x="656"/>
        <item x="551"/>
        <item x="189"/>
        <item x="61"/>
        <item x="660"/>
        <item x="171"/>
        <item x="411"/>
        <item x="49"/>
        <item x="485"/>
        <item x="36"/>
        <item x="762"/>
        <item x="694"/>
        <item x="737"/>
        <item x="580"/>
        <item x="14"/>
        <item x="576"/>
        <item x="434"/>
        <item x="42"/>
        <item x="158"/>
        <item x="581"/>
        <item x="705"/>
        <item x="486"/>
        <item x="535"/>
        <item x="248"/>
        <item x="406"/>
        <item x="323"/>
        <item x="591"/>
        <item x="666"/>
        <item x="571"/>
        <item x="155"/>
        <item x="598"/>
        <item x="675"/>
        <item x="280"/>
        <item x="201"/>
        <item x="12"/>
        <item x="292"/>
        <item x="70"/>
        <item x="130"/>
        <item x="86"/>
        <item x="57"/>
        <item x="63"/>
        <item x="442"/>
        <item x="399"/>
        <item x="791"/>
        <item x="25"/>
        <item x="101"/>
        <item x="727"/>
        <item x="527"/>
        <item x="237"/>
        <item x="665"/>
        <item x="32"/>
        <item x="626"/>
        <item x="368"/>
        <item x="20"/>
        <item x="303"/>
        <item x="197"/>
        <item x="194"/>
        <item x="341"/>
        <item x="421"/>
        <item x="577"/>
        <item x="241"/>
        <item x="162"/>
        <item x="164"/>
        <item x="760"/>
        <item x="583"/>
        <item x="633"/>
        <item x="767"/>
        <item x="662"/>
        <item x="429"/>
        <item x="537"/>
        <item x="233"/>
        <item x="81"/>
        <item x="29"/>
        <item x="713"/>
        <item x="707"/>
        <item x="28"/>
        <item x="376"/>
        <item x="695"/>
        <item x="337"/>
        <item x="525"/>
        <item x="475"/>
        <item x="538"/>
        <item x="211"/>
        <item x="510"/>
        <item x="652"/>
        <item x="554"/>
        <item x="271"/>
        <item x="354"/>
        <item x="474"/>
        <item x="497"/>
        <item x="5"/>
        <item x="472"/>
        <item x="96"/>
        <item x="642"/>
        <item x="100"/>
        <item x="284"/>
        <item x="363"/>
        <item x="351"/>
        <item x="151"/>
        <item x="587"/>
        <item x="301"/>
        <item x="154"/>
        <item x="467"/>
        <item x="788"/>
        <item x="362"/>
        <item x="476"/>
        <item x="711"/>
        <item x="102"/>
        <item x="244"/>
        <item x="203"/>
        <item x="239"/>
        <item x="781"/>
        <item x="6"/>
        <item x="753"/>
        <item x="780"/>
        <item x="51"/>
        <item x="373"/>
        <item x="550"/>
        <item x="564"/>
        <item x="1"/>
        <item x="739"/>
        <item x="672"/>
        <item x="353"/>
        <item x="605"/>
        <item x="286"/>
        <item x="9"/>
        <item x="214"/>
        <item x="690"/>
        <item x="612"/>
        <item x="196"/>
        <item x="555"/>
        <item x="546"/>
        <item x="700"/>
        <item x="719"/>
        <item x="759"/>
        <item x="235"/>
        <item x="534"/>
        <item x="609"/>
        <item x="131"/>
        <item x="631"/>
        <item x="599"/>
        <item x="438"/>
        <item x="513"/>
        <item x="84"/>
        <item x="430"/>
        <item x="593"/>
        <item x="268"/>
        <item x="250"/>
        <item x="287"/>
        <item x="103"/>
        <item x="160"/>
        <item x="509"/>
        <item x="213"/>
        <item x="52"/>
        <item x="225"/>
        <item x="290"/>
        <item x="38"/>
        <item x="127"/>
        <item x="326"/>
        <item x="532"/>
        <item x="339"/>
        <item x="140"/>
        <item x="458"/>
        <item x="254"/>
        <item x="187"/>
        <item x="243"/>
        <item x="4"/>
        <item x="306"/>
        <item x="48"/>
        <item x="646"/>
        <item x="482"/>
        <item x="746"/>
        <item x="260"/>
        <item x="132"/>
        <item x="403"/>
        <item x="413"/>
        <item x="579"/>
        <item x="136"/>
        <item x="495"/>
        <item x="405"/>
        <item x="659"/>
        <item x="99"/>
        <item x="436"/>
        <item x="330"/>
        <item x="726"/>
        <item x="697"/>
        <item x="664"/>
        <item x="72"/>
        <item x="715"/>
        <item x="801"/>
        <item x="693"/>
        <item x="720"/>
        <item x="378"/>
        <item x="40"/>
        <item x="321"/>
        <item x="451"/>
        <item x="441"/>
        <item x="733"/>
        <item x="41"/>
        <item x="176"/>
        <item x="307"/>
        <item x="491"/>
        <item x="427"/>
        <item x="606"/>
        <item x="190"/>
        <item x="531"/>
        <item x="46"/>
        <item x="325"/>
        <item x="200"/>
        <item x="221"/>
        <item x="291"/>
        <item x="669"/>
        <item x="395"/>
        <item x="586"/>
        <item x="426"/>
        <item x="731"/>
        <item x="35"/>
        <item x="607"/>
        <item x="782"/>
        <item x="414"/>
        <item x="572"/>
        <item x="699"/>
        <item x="125"/>
        <item x="106"/>
        <item x="143"/>
        <item x="305"/>
        <item x="282"/>
        <item x="163"/>
        <item x="226"/>
        <item x="754"/>
        <item x="191"/>
        <item x="172"/>
        <item x="428"/>
        <item x="729"/>
        <item x="205"/>
        <item x="764"/>
        <item x="219"/>
        <item x="479"/>
        <item x="768"/>
        <item x="483"/>
        <item x="641"/>
        <item x="17"/>
        <item x="258"/>
        <item x="78"/>
        <item x="148"/>
        <item x="654"/>
        <item x="279"/>
        <item x="347"/>
        <item x="758"/>
        <item x="488"/>
        <item x="589"/>
        <item x="336"/>
        <item x="391"/>
        <item x="639"/>
        <item x="539"/>
        <item x="557"/>
        <item x="578"/>
        <item x="30"/>
        <item x="677"/>
        <item x="732"/>
        <item x="263"/>
        <item x="460"/>
        <item x="342"/>
        <item x="232"/>
        <item x="167"/>
        <item x="356"/>
        <item x="71"/>
        <item x="256"/>
        <item x="552"/>
        <item x="506"/>
        <item x="518"/>
        <item x="372"/>
        <item x="234"/>
        <item x="640"/>
        <item x="507"/>
        <item x="331"/>
        <item x="59"/>
        <item x="181"/>
        <item x="743"/>
        <item x="285"/>
        <item x="645"/>
        <item x="681"/>
        <item x="124"/>
        <item x="93"/>
        <item x="786"/>
        <item x="412"/>
        <item x="204"/>
        <item x="31"/>
        <item x="457"/>
        <item x="329"/>
        <item x="179"/>
        <item x="490"/>
        <item x="43"/>
        <item x="377"/>
        <item x="209"/>
        <item x="728"/>
        <item x="37"/>
        <item x="592"/>
        <item x="712"/>
        <item x="380"/>
        <item x="449"/>
        <item x="62"/>
        <item x="242"/>
        <item x="95"/>
        <item x="259"/>
        <item x="519"/>
        <item x="332"/>
        <item x="319"/>
        <item x="447"/>
        <item x="392"/>
        <item x="34"/>
        <item x="702"/>
        <item x="465"/>
        <item x="570"/>
        <item x="269"/>
        <item x="19"/>
        <item x="766"/>
        <item x="653"/>
        <item x="590"/>
        <item x="69"/>
        <item x="281"/>
        <item x="740"/>
        <item x="390"/>
        <item x="224"/>
        <item x="462"/>
        <item x="628"/>
        <item x="75"/>
        <item x="634"/>
        <item x="55"/>
        <item x="526"/>
        <item x="322"/>
        <item x="676"/>
        <item x="559"/>
        <item x="215"/>
        <item x="123"/>
        <item x="129"/>
        <item x="736"/>
        <item x="105"/>
        <item x="410"/>
        <item x="648"/>
        <item x="111"/>
        <item x="252"/>
        <item x="304"/>
        <item x="149"/>
        <item x="89"/>
        <item x="431"/>
        <item x="778"/>
        <item x="459"/>
        <item x="289"/>
        <item x="643"/>
        <item x="647"/>
        <item x="549"/>
        <item x="202"/>
        <item x="685"/>
        <item x="630"/>
        <item x="575"/>
        <item x="799"/>
        <item x="623"/>
        <item x="725"/>
        <item x="416"/>
        <item x="108"/>
        <item x="94"/>
        <item x="88"/>
        <item x="23"/>
        <item x="174"/>
        <item x="625"/>
        <item x="195"/>
        <item x="422"/>
        <item x="220"/>
        <item x="784"/>
        <item x="296"/>
        <item x="53"/>
        <item x="217"/>
        <item x="350"/>
        <item x="785"/>
        <item x="408"/>
        <item x="246"/>
        <item x="420"/>
        <item x="453"/>
        <item x="116"/>
        <item x="272"/>
        <item x="800"/>
        <item x="398"/>
        <item x="251"/>
        <item x="311"/>
        <item x="10"/>
        <item x="533"/>
        <item x="316"/>
        <item x="611"/>
        <item x="283"/>
        <item x="777"/>
        <item x="688"/>
        <item x="454"/>
        <item x="528"/>
        <item x="320"/>
        <item x="266"/>
        <item x="437"/>
        <item x="627"/>
        <item x="247"/>
        <item x="614"/>
        <item x="536"/>
        <item x="445"/>
        <item x="227"/>
        <item x="223"/>
        <item x="230"/>
        <item x="418"/>
        <item x="473"/>
        <item x="33"/>
        <item x="22"/>
        <item x="741"/>
        <item x="745"/>
        <item x="787"/>
        <item x="318"/>
        <item x="734"/>
        <item x="409"/>
        <item x="477"/>
        <item x="144"/>
        <item x="3"/>
        <item x="359"/>
        <item x="383"/>
        <item x="348"/>
        <item x="216"/>
        <item x="679"/>
        <item x="565"/>
        <item x="798"/>
        <item x="64"/>
        <item x="257"/>
        <item x="18"/>
        <item x="358"/>
        <item x="502"/>
        <item x="184"/>
        <item x="673"/>
        <item x="298"/>
        <item x="789"/>
        <item x="582"/>
        <item x="308"/>
        <item x="478"/>
        <item x="749"/>
        <item x="721"/>
        <item x="317"/>
        <item x="324"/>
        <item x="277"/>
        <item x="302"/>
        <item x="118"/>
        <item x="792"/>
        <item x="98"/>
        <item x="480"/>
        <item x="39"/>
        <item x="603"/>
        <item x="439"/>
        <item x="747"/>
        <item x="60"/>
        <item x="500"/>
        <item x="541"/>
        <item x="521"/>
        <item x="556"/>
        <item x="128"/>
        <item x="73"/>
        <item x="622"/>
        <item x="773"/>
        <item x="294"/>
        <item x="82"/>
        <item x="397"/>
        <item x="8"/>
        <item x="481"/>
        <item x="375"/>
        <item x="67"/>
        <item x="680"/>
        <item x="293"/>
        <item x="345"/>
        <item x="188"/>
        <item x="433"/>
        <item x="444"/>
        <item x="716"/>
        <item x="450"/>
        <item x="394"/>
        <item x="456"/>
        <item x="585"/>
        <item x="496"/>
        <item x="637"/>
        <item x="793"/>
        <item x="751"/>
        <item x="696"/>
        <item x="512"/>
        <item x="135"/>
        <item x="175"/>
        <item x="107"/>
        <item x="744"/>
        <item x="503"/>
        <item x="134"/>
        <item x="522"/>
        <item x="238"/>
        <item x="517"/>
        <item x="138"/>
        <item x="159"/>
        <item x="21"/>
        <item x="620"/>
        <item x="600"/>
        <item x="425"/>
        <item x="212"/>
        <item x="170"/>
        <item x="771"/>
        <item x="367"/>
        <item x="349"/>
        <item x="471"/>
        <item x="629"/>
        <item x="691"/>
        <item x="779"/>
        <item x="113"/>
        <item x="567"/>
        <item x="756"/>
        <item x="595"/>
        <item x="338"/>
        <item x="370"/>
        <item x="730"/>
        <item x="264"/>
        <item x="775"/>
        <item x="253"/>
        <item x="50"/>
        <item x="404"/>
        <item x="498"/>
        <item x="596"/>
        <item x="145"/>
        <item x="110"/>
        <item x="161"/>
        <item x="563"/>
        <item x="276"/>
        <item x="180"/>
        <item x="364"/>
        <item x="186"/>
        <item x="757"/>
        <item x="360"/>
        <item x="87"/>
        <item x="382"/>
        <item x="44"/>
        <item x="379"/>
        <item x="671"/>
        <item x="492"/>
        <item x="122"/>
        <item x="80"/>
        <item x="26"/>
        <item x="776"/>
        <item x="505"/>
        <item x="355"/>
        <item x="0"/>
        <item x="703"/>
        <item x="199"/>
        <item x="752"/>
        <item x="334"/>
        <item x="371"/>
        <item x="275"/>
        <item x="313"/>
        <item x="714"/>
        <item x="616"/>
        <item x="115"/>
        <item x="139"/>
        <item x="689"/>
        <item x="120"/>
        <item x="183"/>
        <item x="663"/>
        <item x="15"/>
        <item x="119"/>
        <item x="396"/>
        <item x="667"/>
        <item x="511"/>
        <item x="624"/>
        <item x="121"/>
        <item x="327"/>
        <item x="561"/>
        <item x="152"/>
        <item x="255"/>
        <item x="597"/>
        <item x="515"/>
        <item x="635"/>
        <item x="547"/>
        <item x="678"/>
        <item x="374"/>
        <item x="7"/>
        <item x="352"/>
        <item x="761"/>
        <item x="210"/>
        <item x="489"/>
        <item x="463"/>
        <item x="608"/>
        <item x="661"/>
        <item x="328"/>
        <item x="245"/>
        <item x="273"/>
        <item x="185"/>
        <item x="686"/>
        <item x="748"/>
        <item x="265"/>
        <item x="262"/>
        <item x="109"/>
        <item x="218"/>
        <item x="514"/>
        <item x="47"/>
        <item x="548"/>
        <item x="278"/>
        <item x="718"/>
        <item x="386"/>
        <item x="193"/>
        <item x="706"/>
        <item x="288"/>
        <item x="333"/>
        <item x="104"/>
        <item x="385"/>
        <item x="683"/>
        <item x="45"/>
        <item x="636"/>
        <item x="763"/>
        <item x="56"/>
        <item x="588"/>
        <item x="393"/>
        <item x="750"/>
        <item x="602"/>
        <item x="343"/>
        <item x="231"/>
        <item x="684"/>
        <item x="692"/>
        <item x="466"/>
        <item x="440"/>
        <item x="366"/>
        <item x="794"/>
        <item x="297"/>
        <item x="772"/>
        <item x="400"/>
        <item x="574"/>
        <item x="735"/>
        <item x="670"/>
        <item x="649"/>
        <item x="504"/>
        <item x="13"/>
        <item x="544"/>
        <item x="335"/>
        <item x="369"/>
        <item x="655"/>
        <item x="650"/>
        <item x="133"/>
        <item x="651"/>
        <item x="68"/>
        <item x="156"/>
        <item x="738"/>
        <item x="501"/>
        <item x="674"/>
        <item x="92"/>
        <item x="407"/>
        <item x="668"/>
        <item x="487"/>
        <item x="468"/>
        <item x="717"/>
        <item x="295"/>
        <item x="419"/>
        <item x="524"/>
        <item x="137"/>
        <item x="402"/>
        <item x="443"/>
        <item x="357"/>
        <item x="701"/>
        <item x="387"/>
        <item x="569"/>
        <item x="249"/>
        <item x="66"/>
        <item x="300"/>
        <item x="126"/>
        <item x="448"/>
        <item x="469"/>
        <item x="65"/>
        <item x="274"/>
        <item x="207"/>
        <item x="267"/>
        <item x="508"/>
        <item x="24"/>
        <item x="573"/>
        <item x="309"/>
        <item x="117"/>
        <item x="783"/>
        <item x="558"/>
        <item x="177"/>
        <item x="613"/>
        <item x="621"/>
        <item x="74"/>
        <item x="54"/>
        <item x="543"/>
        <item x="83"/>
        <item x="584"/>
        <item x="710"/>
        <item x="344"/>
        <item x="168"/>
        <item x="797"/>
        <item x="446"/>
        <item x="698"/>
        <item x="461"/>
        <item x="208"/>
        <item x="568"/>
        <item x="384"/>
        <item x="142"/>
        <item x="516"/>
        <item x="415"/>
        <item x="97"/>
        <item x="381"/>
        <item x="423"/>
        <item x="76"/>
        <item x="742"/>
        <item x="173"/>
        <item x="770"/>
        <item x="388"/>
        <item x="27"/>
        <item x="709"/>
        <item x="562"/>
        <item x="314"/>
        <item x="153"/>
        <item x="424"/>
        <item x="493"/>
        <item x="774"/>
        <item x="704"/>
        <item x="346"/>
        <item x="147"/>
        <item x="529"/>
        <item x="723"/>
        <item x="566"/>
        <item x="638"/>
        <item x="658"/>
        <item x="545"/>
        <item x="340"/>
        <item x="240"/>
        <item t="default"/>
      </items>
    </pivotField>
    <pivotField showAll="0"/>
    <pivotField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3"/>
  </rowFields>
  <rowItems count="6">
    <i>
      <x/>
    </i>
    <i>
      <x v="1"/>
    </i>
    <i>
      <x v="2"/>
    </i>
    <i>
      <x v="3"/>
    </i>
    <i>
      <x v="4"/>
    </i>
    <i t="grand">
      <x/>
    </i>
  </rowItems>
  <colItems count="1">
    <i/>
  </colItems>
  <dataFields count="1">
    <dataField name="TOTAL AMOUNT" fld="6" baseField="3" baseItem="0" numFmtId="43"/>
  </dataFields>
  <formats count="6">
    <format dxfId="25">
      <pivotArea type="all" dataOnly="0" outline="0" fieldPosition="0"/>
    </format>
    <format dxfId="24">
      <pivotArea outline="0" collapsedLevelsAreSubtotals="1" fieldPosition="0"/>
    </format>
    <format dxfId="23">
      <pivotArea field="3" type="button" dataOnly="0" labelOnly="1" outline="0" axis="axisRow" fieldPosition="0"/>
    </format>
    <format dxfId="22">
      <pivotArea dataOnly="0" labelOnly="1" fieldPosition="0">
        <references count="1">
          <reference field="3" count="0"/>
        </references>
      </pivotArea>
    </format>
    <format dxfId="21">
      <pivotArea dataOnly="0" labelOnly="1" grandRow="1" outline="0" fieldPosition="0"/>
    </format>
    <format dxfId="20">
      <pivotArea dataOnly="0" labelOnly="1" outline="0" axis="axisValues" fieldPosition="0"/>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58B1A2-13CA-4CD5-A537-4ECB8314A8A4}"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ROW LABELS">
  <location ref="F3:G10" firstHeaderRow="1" firstDataRow="1" firstDataCol="1"/>
  <pivotFields count="17">
    <pivotField showAll="0"/>
    <pivotField showAll="0"/>
    <pivotField showAll="0"/>
    <pivotField showAll="0"/>
    <pivotField showAll="0"/>
    <pivotField axis="axisRow" showAll="0">
      <items count="7">
        <item x="2"/>
        <item x="5"/>
        <item x="0"/>
        <item x="4"/>
        <item x="3"/>
        <item x="1"/>
        <item t="default"/>
      </items>
    </pivotField>
    <pivotField dataField="1" showAll="0"/>
    <pivotField showAll="0"/>
    <pivotField showAll="0"/>
    <pivotField numFmtId="14" showAll="0">
      <items count="803">
        <item x="270"/>
        <item x="594"/>
        <item x="724"/>
        <item x="470"/>
        <item x="417"/>
        <item x="11"/>
        <item x="452"/>
        <item x="464"/>
        <item x="141"/>
        <item x="222"/>
        <item x="619"/>
        <item x="157"/>
        <item x="77"/>
        <item x="2"/>
        <item x="484"/>
        <item x="644"/>
        <item x="85"/>
        <item x="16"/>
        <item x="610"/>
        <item x="765"/>
        <item x="601"/>
        <item x="435"/>
        <item x="632"/>
        <item x="299"/>
        <item x="198"/>
        <item x="236"/>
        <item x="315"/>
        <item x="432"/>
        <item x="312"/>
        <item x="112"/>
        <item x="90"/>
        <item x="79"/>
        <item x="310"/>
        <item x="165"/>
        <item x="553"/>
        <item x="114"/>
        <item x="795"/>
        <item x="560"/>
        <item x="389"/>
        <item x="169"/>
        <item x="166"/>
        <item x="146"/>
        <item x="455"/>
        <item x="618"/>
        <item x="150"/>
        <item x="708"/>
        <item x="682"/>
        <item x="530"/>
        <item x="229"/>
        <item x="520"/>
        <item x="401"/>
        <item x="206"/>
        <item x="540"/>
        <item x="657"/>
        <item x="494"/>
        <item x="796"/>
        <item x="178"/>
        <item x="182"/>
        <item x="755"/>
        <item x="687"/>
        <item x="261"/>
        <item x="365"/>
        <item x="523"/>
        <item x="192"/>
        <item x="769"/>
        <item x="604"/>
        <item x="542"/>
        <item x="58"/>
        <item x="91"/>
        <item x="499"/>
        <item x="790"/>
        <item x="228"/>
        <item x="615"/>
        <item x="361"/>
        <item x="722"/>
        <item x="617"/>
        <item x="656"/>
        <item x="551"/>
        <item x="189"/>
        <item x="61"/>
        <item x="660"/>
        <item x="171"/>
        <item x="411"/>
        <item x="49"/>
        <item x="485"/>
        <item x="36"/>
        <item x="762"/>
        <item x="694"/>
        <item x="737"/>
        <item x="580"/>
        <item x="14"/>
        <item x="576"/>
        <item x="434"/>
        <item x="42"/>
        <item x="158"/>
        <item x="581"/>
        <item x="705"/>
        <item x="486"/>
        <item x="535"/>
        <item x="248"/>
        <item x="406"/>
        <item x="323"/>
        <item x="591"/>
        <item x="666"/>
        <item x="571"/>
        <item x="155"/>
        <item x="598"/>
        <item x="675"/>
        <item x="280"/>
        <item x="201"/>
        <item x="12"/>
        <item x="292"/>
        <item x="70"/>
        <item x="130"/>
        <item x="86"/>
        <item x="57"/>
        <item x="63"/>
        <item x="442"/>
        <item x="399"/>
        <item x="791"/>
        <item x="25"/>
        <item x="101"/>
        <item x="727"/>
        <item x="527"/>
        <item x="237"/>
        <item x="665"/>
        <item x="32"/>
        <item x="626"/>
        <item x="368"/>
        <item x="20"/>
        <item x="303"/>
        <item x="197"/>
        <item x="194"/>
        <item x="341"/>
        <item x="421"/>
        <item x="577"/>
        <item x="241"/>
        <item x="162"/>
        <item x="164"/>
        <item x="760"/>
        <item x="583"/>
        <item x="633"/>
        <item x="767"/>
        <item x="662"/>
        <item x="429"/>
        <item x="537"/>
        <item x="233"/>
        <item x="81"/>
        <item x="29"/>
        <item x="713"/>
        <item x="707"/>
        <item x="28"/>
        <item x="376"/>
        <item x="695"/>
        <item x="337"/>
        <item x="525"/>
        <item x="475"/>
        <item x="538"/>
        <item x="211"/>
        <item x="510"/>
        <item x="652"/>
        <item x="554"/>
        <item x="271"/>
        <item x="354"/>
        <item x="474"/>
        <item x="497"/>
        <item x="5"/>
        <item x="472"/>
        <item x="96"/>
        <item x="642"/>
        <item x="100"/>
        <item x="284"/>
        <item x="363"/>
        <item x="351"/>
        <item x="151"/>
        <item x="587"/>
        <item x="301"/>
        <item x="154"/>
        <item x="467"/>
        <item x="788"/>
        <item x="362"/>
        <item x="476"/>
        <item x="711"/>
        <item x="102"/>
        <item x="244"/>
        <item x="203"/>
        <item x="239"/>
        <item x="781"/>
        <item x="6"/>
        <item x="753"/>
        <item x="780"/>
        <item x="51"/>
        <item x="373"/>
        <item x="550"/>
        <item x="564"/>
        <item x="1"/>
        <item x="739"/>
        <item x="672"/>
        <item x="353"/>
        <item x="605"/>
        <item x="286"/>
        <item x="9"/>
        <item x="214"/>
        <item x="690"/>
        <item x="612"/>
        <item x="196"/>
        <item x="555"/>
        <item x="546"/>
        <item x="700"/>
        <item x="719"/>
        <item x="759"/>
        <item x="235"/>
        <item x="534"/>
        <item x="609"/>
        <item x="131"/>
        <item x="631"/>
        <item x="599"/>
        <item x="438"/>
        <item x="513"/>
        <item x="84"/>
        <item x="430"/>
        <item x="593"/>
        <item x="268"/>
        <item x="250"/>
        <item x="287"/>
        <item x="103"/>
        <item x="160"/>
        <item x="509"/>
        <item x="213"/>
        <item x="52"/>
        <item x="225"/>
        <item x="290"/>
        <item x="38"/>
        <item x="127"/>
        <item x="326"/>
        <item x="532"/>
        <item x="339"/>
        <item x="140"/>
        <item x="458"/>
        <item x="254"/>
        <item x="187"/>
        <item x="243"/>
        <item x="4"/>
        <item x="306"/>
        <item x="48"/>
        <item x="646"/>
        <item x="482"/>
        <item x="746"/>
        <item x="260"/>
        <item x="132"/>
        <item x="403"/>
        <item x="413"/>
        <item x="579"/>
        <item x="136"/>
        <item x="495"/>
        <item x="405"/>
        <item x="659"/>
        <item x="99"/>
        <item x="436"/>
        <item x="330"/>
        <item x="726"/>
        <item x="697"/>
        <item x="664"/>
        <item x="72"/>
        <item x="715"/>
        <item x="801"/>
        <item x="693"/>
        <item x="720"/>
        <item x="378"/>
        <item x="40"/>
        <item x="321"/>
        <item x="451"/>
        <item x="441"/>
        <item x="733"/>
        <item x="41"/>
        <item x="176"/>
        <item x="307"/>
        <item x="491"/>
        <item x="427"/>
        <item x="606"/>
        <item x="190"/>
        <item x="531"/>
        <item x="46"/>
        <item x="325"/>
        <item x="200"/>
        <item x="221"/>
        <item x="291"/>
        <item x="669"/>
        <item x="395"/>
        <item x="586"/>
        <item x="426"/>
        <item x="731"/>
        <item x="35"/>
        <item x="607"/>
        <item x="782"/>
        <item x="414"/>
        <item x="572"/>
        <item x="699"/>
        <item x="125"/>
        <item x="106"/>
        <item x="143"/>
        <item x="305"/>
        <item x="282"/>
        <item x="163"/>
        <item x="226"/>
        <item x="754"/>
        <item x="191"/>
        <item x="172"/>
        <item x="428"/>
        <item x="729"/>
        <item x="205"/>
        <item x="764"/>
        <item x="219"/>
        <item x="479"/>
        <item x="768"/>
        <item x="483"/>
        <item x="641"/>
        <item x="17"/>
        <item x="258"/>
        <item x="78"/>
        <item x="148"/>
        <item x="654"/>
        <item x="279"/>
        <item x="347"/>
        <item x="758"/>
        <item x="488"/>
        <item x="589"/>
        <item x="336"/>
        <item x="391"/>
        <item x="639"/>
        <item x="539"/>
        <item x="557"/>
        <item x="578"/>
        <item x="30"/>
        <item x="677"/>
        <item x="732"/>
        <item x="263"/>
        <item x="460"/>
        <item x="342"/>
        <item x="232"/>
        <item x="167"/>
        <item x="356"/>
        <item x="71"/>
        <item x="256"/>
        <item x="552"/>
        <item x="506"/>
        <item x="518"/>
        <item x="372"/>
        <item x="234"/>
        <item x="640"/>
        <item x="507"/>
        <item x="331"/>
        <item x="59"/>
        <item x="181"/>
        <item x="743"/>
        <item x="285"/>
        <item x="645"/>
        <item x="681"/>
        <item x="124"/>
        <item x="93"/>
        <item x="786"/>
        <item x="412"/>
        <item x="204"/>
        <item x="31"/>
        <item x="457"/>
        <item x="329"/>
        <item x="179"/>
        <item x="490"/>
        <item x="43"/>
        <item x="377"/>
        <item x="209"/>
        <item x="728"/>
        <item x="37"/>
        <item x="592"/>
        <item x="712"/>
        <item x="380"/>
        <item x="449"/>
        <item x="62"/>
        <item x="242"/>
        <item x="95"/>
        <item x="259"/>
        <item x="519"/>
        <item x="332"/>
        <item x="319"/>
        <item x="447"/>
        <item x="392"/>
        <item x="34"/>
        <item x="702"/>
        <item x="465"/>
        <item x="570"/>
        <item x="269"/>
        <item x="19"/>
        <item x="766"/>
        <item x="653"/>
        <item x="590"/>
        <item x="69"/>
        <item x="281"/>
        <item x="740"/>
        <item x="390"/>
        <item x="224"/>
        <item x="462"/>
        <item x="628"/>
        <item x="75"/>
        <item x="634"/>
        <item x="55"/>
        <item x="526"/>
        <item x="322"/>
        <item x="676"/>
        <item x="559"/>
        <item x="215"/>
        <item x="123"/>
        <item x="129"/>
        <item x="736"/>
        <item x="105"/>
        <item x="410"/>
        <item x="648"/>
        <item x="111"/>
        <item x="252"/>
        <item x="304"/>
        <item x="149"/>
        <item x="89"/>
        <item x="431"/>
        <item x="778"/>
        <item x="459"/>
        <item x="289"/>
        <item x="643"/>
        <item x="647"/>
        <item x="549"/>
        <item x="202"/>
        <item x="685"/>
        <item x="630"/>
        <item x="575"/>
        <item x="799"/>
        <item x="623"/>
        <item x="725"/>
        <item x="416"/>
        <item x="108"/>
        <item x="94"/>
        <item x="88"/>
        <item x="23"/>
        <item x="174"/>
        <item x="625"/>
        <item x="195"/>
        <item x="422"/>
        <item x="220"/>
        <item x="784"/>
        <item x="296"/>
        <item x="53"/>
        <item x="217"/>
        <item x="350"/>
        <item x="785"/>
        <item x="408"/>
        <item x="246"/>
        <item x="420"/>
        <item x="453"/>
        <item x="116"/>
        <item x="272"/>
        <item x="800"/>
        <item x="398"/>
        <item x="251"/>
        <item x="311"/>
        <item x="10"/>
        <item x="533"/>
        <item x="316"/>
        <item x="611"/>
        <item x="283"/>
        <item x="777"/>
        <item x="688"/>
        <item x="454"/>
        <item x="528"/>
        <item x="320"/>
        <item x="266"/>
        <item x="437"/>
        <item x="627"/>
        <item x="247"/>
        <item x="614"/>
        <item x="536"/>
        <item x="445"/>
        <item x="227"/>
        <item x="223"/>
        <item x="230"/>
        <item x="418"/>
        <item x="473"/>
        <item x="33"/>
        <item x="22"/>
        <item x="741"/>
        <item x="745"/>
        <item x="787"/>
        <item x="318"/>
        <item x="734"/>
        <item x="409"/>
        <item x="477"/>
        <item x="144"/>
        <item x="3"/>
        <item x="359"/>
        <item x="383"/>
        <item x="348"/>
        <item x="216"/>
        <item x="679"/>
        <item x="565"/>
        <item x="798"/>
        <item x="64"/>
        <item x="257"/>
        <item x="18"/>
        <item x="358"/>
        <item x="502"/>
        <item x="184"/>
        <item x="673"/>
        <item x="298"/>
        <item x="789"/>
        <item x="582"/>
        <item x="308"/>
        <item x="478"/>
        <item x="749"/>
        <item x="721"/>
        <item x="317"/>
        <item x="324"/>
        <item x="277"/>
        <item x="302"/>
        <item x="118"/>
        <item x="792"/>
        <item x="98"/>
        <item x="480"/>
        <item x="39"/>
        <item x="603"/>
        <item x="439"/>
        <item x="747"/>
        <item x="60"/>
        <item x="500"/>
        <item x="541"/>
        <item x="521"/>
        <item x="556"/>
        <item x="128"/>
        <item x="73"/>
        <item x="622"/>
        <item x="773"/>
        <item x="294"/>
        <item x="82"/>
        <item x="397"/>
        <item x="8"/>
        <item x="481"/>
        <item x="375"/>
        <item x="67"/>
        <item x="680"/>
        <item x="293"/>
        <item x="345"/>
        <item x="188"/>
        <item x="433"/>
        <item x="444"/>
        <item x="716"/>
        <item x="450"/>
        <item x="394"/>
        <item x="456"/>
        <item x="585"/>
        <item x="496"/>
        <item x="637"/>
        <item x="793"/>
        <item x="751"/>
        <item x="696"/>
        <item x="512"/>
        <item x="135"/>
        <item x="175"/>
        <item x="107"/>
        <item x="744"/>
        <item x="503"/>
        <item x="134"/>
        <item x="522"/>
        <item x="238"/>
        <item x="517"/>
        <item x="138"/>
        <item x="159"/>
        <item x="21"/>
        <item x="620"/>
        <item x="600"/>
        <item x="425"/>
        <item x="212"/>
        <item x="170"/>
        <item x="771"/>
        <item x="367"/>
        <item x="349"/>
        <item x="471"/>
        <item x="629"/>
        <item x="691"/>
        <item x="779"/>
        <item x="113"/>
        <item x="567"/>
        <item x="756"/>
        <item x="595"/>
        <item x="338"/>
        <item x="370"/>
        <item x="730"/>
        <item x="264"/>
        <item x="775"/>
        <item x="253"/>
        <item x="50"/>
        <item x="404"/>
        <item x="498"/>
        <item x="596"/>
        <item x="145"/>
        <item x="110"/>
        <item x="161"/>
        <item x="563"/>
        <item x="276"/>
        <item x="180"/>
        <item x="364"/>
        <item x="186"/>
        <item x="757"/>
        <item x="360"/>
        <item x="87"/>
        <item x="382"/>
        <item x="44"/>
        <item x="379"/>
        <item x="671"/>
        <item x="492"/>
        <item x="122"/>
        <item x="80"/>
        <item x="26"/>
        <item x="776"/>
        <item x="505"/>
        <item x="355"/>
        <item x="0"/>
        <item x="703"/>
        <item x="199"/>
        <item x="752"/>
        <item x="334"/>
        <item x="371"/>
        <item x="275"/>
        <item x="313"/>
        <item x="714"/>
        <item x="616"/>
        <item x="115"/>
        <item x="139"/>
        <item x="689"/>
        <item x="120"/>
        <item x="183"/>
        <item x="663"/>
        <item x="15"/>
        <item x="119"/>
        <item x="396"/>
        <item x="667"/>
        <item x="511"/>
        <item x="624"/>
        <item x="121"/>
        <item x="327"/>
        <item x="561"/>
        <item x="152"/>
        <item x="255"/>
        <item x="597"/>
        <item x="515"/>
        <item x="635"/>
        <item x="547"/>
        <item x="678"/>
        <item x="374"/>
        <item x="7"/>
        <item x="352"/>
        <item x="761"/>
        <item x="210"/>
        <item x="489"/>
        <item x="463"/>
        <item x="608"/>
        <item x="661"/>
        <item x="328"/>
        <item x="245"/>
        <item x="273"/>
        <item x="185"/>
        <item x="686"/>
        <item x="748"/>
        <item x="265"/>
        <item x="262"/>
        <item x="109"/>
        <item x="218"/>
        <item x="514"/>
        <item x="47"/>
        <item x="548"/>
        <item x="278"/>
        <item x="718"/>
        <item x="386"/>
        <item x="193"/>
        <item x="706"/>
        <item x="288"/>
        <item x="333"/>
        <item x="104"/>
        <item x="385"/>
        <item x="683"/>
        <item x="45"/>
        <item x="636"/>
        <item x="763"/>
        <item x="56"/>
        <item x="588"/>
        <item x="393"/>
        <item x="750"/>
        <item x="602"/>
        <item x="343"/>
        <item x="231"/>
        <item x="684"/>
        <item x="692"/>
        <item x="466"/>
        <item x="440"/>
        <item x="366"/>
        <item x="794"/>
        <item x="297"/>
        <item x="772"/>
        <item x="400"/>
        <item x="574"/>
        <item x="735"/>
        <item x="670"/>
        <item x="649"/>
        <item x="504"/>
        <item x="13"/>
        <item x="544"/>
        <item x="335"/>
        <item x="369"/>
        <item x="655"/>
        <item x="650"/>
        <item x="133"/>
        <item x="651"/>
        <item x="68"/>
        <item x="156"/>
        <item x="738"/>
        <item x="501"/>
        <item x="674"/>
        <item x="92"/>
        <item x="407"/>
        <item x="668"/>
        <item x="487"/>
        <item x="468"/>
        <item x="717"/>
        <item x="295"/>
        <item x="419"/>
        <item x="524"/>
        <item x="137"/>
        <item x="402"/>
        <item x="443"/>
        <item x="357"/>
        <item x="701"/>
        <item x="387"/>
        <item x="569"/>
        <item x="249"/>
        <item x="66"/>
        <item x="300"/>
        <item x="126"/>
        <item x="448"/>
        <item x="469"/>
        <item x="65"/>
        <item x="274"/>
        <item x="207"/>
        <item x="267"/>
        <item x="508"/>
        <item x="24"/>
        <item x="573"/>
        <item x="309"/>
        <item x="117"/>
        <item x="783"/>
        <item x="558"/>
        <item x="177"/>
        <item x="613"/>
        <item x="621"/>
        <item x="74"/>
        <item x="54"/>
        <item x="543"/>
        <item x="83"/>
        <item x="584"/>
        <item x="710"/>
        <item x="344"/>
        <item x="168"/>
        <item x="797"/>
        <item x="446"/>
        <item x="698"/>
        <item x="461"/>
        <item x="208"/>
        <item x="568"/>
        <item x="384"/>
        <item x="142"/>
        <item x="516"/>
        <item x="415"/>
        <item x="97"/>
        <item x="381"/>
        <item x="423"/>
        <item x="76"/>
        <item x="742"/>
        <item x="173"/>
        <item x="770"/>
        <item x="388"/>
        <item x="27"/>
        <item x="709"/>
        <item x="562"/>
        <item x="314"/>
        <item x="153"/>
        <item x="424"/>
        <item x="493"/>
        <item x="774"/>
        <item x="704"/>
        <item x="346"/>
        <item x="147"/>
        <item x="529"/>
        <item x="723"/>
        <item x="566"/>
        <item x="638"/>
        <item x="658"/>
        <item x="545"/>
        <item x="340"/>
        <item x="240"/>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5"/>
  </rowFields>
  <rowItems count="7">
    <i>
      <x/>
    </i>
    <i>
      <x v="1"/>
    </i>
    <i>
      <x v="2"/>
    </i>
    <i>
      <x v="3"/>
    </i>
    <i>
      <x v="4"/>
    </i>
    <i>
      <x v="5"/>
    </i>
    <i t="grand">
      <x/>
    </i>
  </rowItems>
  <colItems count="1">
    <i/>
  </colItems>
  <dataFields count="1">
    <dataField name="TOTAL AMOUNT" fld="6" baseField="5" baseItem="0" numFmtId="43"/>
  </dataFields>
  <formats count="6">
    <format dxfId="31">
      <pivotArea type="all" dataOnly="0" outline="0" fieldPosition="0"/>
    </format>
    <format dxfId="30">
      <pivotArea outline="0" collapsedLevelsAreSubtotals="1" fieldPosition="0"/>
    </format>
    <format dxfId="29">
      <pivotArea field="5" type="button" dataOnly="0" labelOnly="1" outline="0" axis="axisRow" fieldPosition="0"/>
    </format>
    <format dxfId="28">
      <pivotArea dataOnly="0" labelOnly="1" fieldPosition="0">
        <references count="1">
          <reference field="5" count="0"/>
        </references>
      </pivotArea>
    </format>
    <format dxfId="27">
      <pivotArea dataOnly="0" labelOnly="1" grandRow="1" outline="0" fieldPosition="0"/>
    </format>
    <format dxfId="26">
      <pivotArea dataOnly="0" labelOnly="1" outline="0" axis="axisValues"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3F5EC2F0-8DF0-4582-8C8A-BAD1DB4225A2}" autoFormatId="16" applyNumberFormats="0" applyBorderFormats="0" applyFontFormats="0" applyPatternFormats="0" applyAlignmentFormats="0" applyWidthHeightFormats="0">
  <queryTableRefresh nextId="15">
    <queryTableFields count="14">
      <queryTableField id="1" name="Investor_ID" tableColumnId="1"/>
      <queryTableField id="2" name="Gender" tableColumnId="2"/>
      <queryTableField id="3" name="Age" tableColumnId="3"/>
      <queryTableField id="4" name="Investment_Type" tableColumnId="4"/>
      <queryTableField id="5" name="Sector" tableColumnId="5"/>
      <queryTableField id="6" name="Region" tableColumnId="6"/>
      <queryTableField id="7" name="Investment_Amount" tableColumnId="7"/>
      <queryTableField id="8" name="Expected_Return_%" tableColumnId="8"/>
      <queryTableField id="9" name="Actual_Return_%" tableColumnId="9"/>
      <queryTableField id="10" name="Investment_Date" tableColumnId="10"/>
      <queryTableField id="11" name="DURATION" tableColumnId="11"/>
      <queryTableField id="12" name="DURATION IN YEARS" tableColumnId="12"/>
      <queryTableField id="13" name="YEARLY  INTEREST" tableColumnId="13"/>
      <queryTableField id="14" name="TOTALINTEREST"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9FD7CE1-6F1C-4179-8401-A8653B5DF1C1}" autoFormatId="16" applyNumberFormats="0" applyBorderFormats="0" applyFontFormats="0" applyPatternFormats="0" applyAlignmentFormats="0" applyWidthHeightFormats="0">
  <queryTableRefresh nextId="15">
    <queryTableFields count="14">
      <queryTableField id="1" name="Investor_ID" tableColumnId="1"/>
      <queryTableField id="2" name="Gender" tableColumnId="2"/>
      <queryTableField id="3" name="Age" tableColumnId="3"/>
      <queryTableField id="4" name="Investment_Type" tableColumnId="4"/>
      <queryTableField id="5" name="Sector" tableColumnId="5"/>
      <queryTableField id="6" name="Region" tableColumnId="6"/>
      <queryTableField id="7" name="Investment_Amount" tableColumnId="7"/>
      <queryTableField id="8" name="Expected_Return_%" tableColumnId="8"/>
      <queryTableField id="9" name="Actual_Return_%" tableColumnId="9"/>
      <queryTableField id="10" name="Investment_Date" tableColumnId="10"/>
      <queryTableField id="11" name="DURATION" tableColumnId="11"/>
      <queryTableField id="12" name="DAILY INTEREST" tableColumnId="12"/>
      <queryTableField id="13" name="DAILYINTEREST AMOUNT" tableColumnId="13"/>
      <queryTableField id="14" name="ACCRUEDINTERES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A8BF4F-7A01-4112-8ADF-63E1AD8F0D33}" sourceName="Region">
  <pivotTables>
    <pivotTable tabId="5" name="TREND"/>
    <pivotTable tabId="5" name="INVESTMENT TYPE"/>
    <pivotTable tabId="5" name="KPI"/>
    <pivotTable tabId="5" name="REGION"/>
  </pivotTables>
  <data>
    <tabular pivotCacheId="1291414728">
      <items count="6">
        <i x="2" s="1"/>
        <i x="5" s="1"/>
        <i x="0"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12CF236-5D0F-4516-B280-ADEAA7A20423}"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62DF2D-5E18-4617-813F-E1506D9DE561}" name="_INVESTEMENTDATA__" displayName="_INVESTEMENTDATA__" ref="A1:N1002" tableType="queryTable" totalsRowShown="0">
  <autoFilter ref="A1:N1002" xr:uid="{E162DF2D-5E18-4617-813F-E1506D9DE561}"/>
  <tableColumns count="14">
    <tableColumn id="1" xr3:uid="{3E958F3A-BC00-4D16-8BC5-494FFD6A9AC2}" uniqueName="1" name="Investor_ID" queryTableFieldId="1"/>
    <tableColumn id="2" xr3:uid="{9D525EE1-25A4-408F-9BCD-C85C1822A1E2}" uniqueName="2" name="Gender" queryTableFieldId="2"/>
    <tableColumn id="3" xr3:uid="{8FF13617-34CD-4D5D-B6EA-F91FCA0A8A3F}" uniqueName="3" name="Age" queryTableFieldId="3"/>
    <tableColumn id="4" xr3:uid="{90B6241D-6D19-4C6A-AA64-3A115263C153}" uniqueName="4" name="Investment_Type" queryTableFieldId="4"/>
    <tableColumn id="5" xr3:uid="{90D248A7-4F3D-4D38-A957-21FA28A548E9}" uniqueName="5" name="Sector" queryTableFieldId="5"/>
    <tableColumn id="6" xr3:uid="{EFD05EC2-871B-4ABA-9F26-3C920167B523}" uniqueName="6" name="Region" queryTableFieldId="6"/>
    <tableColumn id="7" xr3:uid="{A1D22C46-84B3-4A9D-A87F-9A0D8A364CB7}" uniqueName="7" name="Investment_Amount" queryTableFieldId="7"/>
    <tableColumn id="8" xr3:uid="{4CA513CF-BE18-49F7-9150-C52AB91B1F9A}" uniqueName="8" name="Expected_Return_%" queryTableFieldId="8"/>
    <tableColumn id="9" xr3:uid="{C393B2A0-2A8F-4848-9323-3737C51560EB}" uniqueName="9" name="Actual_Return_%" queryTableFieldId="9"/>
    <tableColumn id="10" xr3:uid="{D55FF80C-3AFB-4EEC-AB2C-9E0714721BCD}" uniqueName="10" name="Investment_Date" queryTableFieldId="10" dataDxfId="9"/>
    <tableColumn id="11" xr3:uid="{DC258F55-EC3B-45C3-9F6A-A6BAC1A5C217}" uniqueName="11" name="DURATION" queryTableFieldId="11"/>
    <tableColumn id="12" xr3:uid="{6675FD84-E635-4779-ACB9-F64F44769BAC}" uniqueName="12" name="DURATION IN YEARS" queryTableFieldId="12"/>
    <tableColumn id="13" xr3:uid="{8B35FE5A-816D-420E-88B0-31AD22030017}" uniqueName="13" name="YEARLY  INTEREST" queryTableFieldId="13"/>
    <tableColumn id="14" xr3:uid="{C220AF30-3923-4288-A2F4-8A743AA7AB13}" uniqueName="14" name="TOTALINTEREST"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A3DA29-8C25-4D75-B02D-D18D03B61BD9}" name="_INVESTEMENTDATA_" displayName="_INVESTEMENTDATA_" ref="A1:N1002" tableType="queryTable" totalsRowShown="0">
  <autoFilter ref="A1:N1002" xr:uid="{A8A3DA29-8C25-4D75-B02D-D18D03B61BD9}"/>
  <tableColumns count="14">
    <tableColumn id="1" xr3:uid="{DA58C3BD-C530-4FB7-8DF9-4F40215E27E8}" uniqueName="1" name="Investor_ID" queryTableFieldId="1" dataDxfId="8"/>
    <tableColumn id="2" xr3:uid="{0BF68308-F904-423A-9E28-96F85848ADED}" uniqueName="2" name="Gender" queryTableFieldId="2" dataDxfId="7"/>
    <tableColumn id="3" xr3:uid="{B9350276-1289-4CFD-A6F8-8CD656ED6EA1}" uniqueName="3" name="Age" queryTableFieldId="3"/>
    <tableColumn id="4" xr3:uid="{53C647D7-489C-4008-B049-4C2120592362}" uniqueName="4" name="Investment_Type" queryTableFieldId="4" dataDxfId="6"/>
    <tableColumn id="5" xr3:uid="{10C14946-7EF0-4AEE-83CC-FA9A3594C823}" uniqueName="5" name="Sector" queryTableFieldId="5" dataDxfId="5"/>
    <tableColumn id="6" xr3:uid="{B48CE94C-2128-48E4-BA0E-063F21F382CD}" uniqueName="6" name="Region" queryTableFieldId="6" dataDxfId="4"/>
    <tableColumn id="7" xr3:uid="{097E267C-896A-4554-B427-B1E780DC05A8}" uniqueName="7" name="Investment_Amount" queryTableFieldId="7"/>
    <tableColumn id="8" xr3:uid="{01ADF1B6-3A57-46FD-9A4B-7DFEABFB1C79}" uniqueName="8" name="Expected_Return_%" queryTableFieldId="8"/>
    <tableColumn id="9" xr3:uid="{BDF3325E-9E4E-4854-B56C-CBDAF9EE21C2}" uniqueName="9" name="Actual_Return_%" queryTableFieldId="9"/>
    <tableColumn id="10" xr3:uid="{0C7C44DC-72FE-49E4-8097-C2C30A26606A}" uniqueName="10" name="Investment_Date" queryTableFieldId="10" dataDxfId="3"/>
    <tableColumn id="11" xr3:uid="{157747F4-B503-4BEC-A2A3-6A092F8D3E3D}" uniqueName="11" name="DURATION" queryTableFieldId="11"/>
    <tableColumn id="12" xr3:uid="{8A12DDCB-964D-4CB8-9F04-6D75F948AD04}" uniqueName="12" name="DAILY INTEREST" queryTableFieldId="12"/>
    <tableColumn id="13" xr3:uid="{21DC805F-E70A-4CE2-A79D-879FC5D8C1BA}" uniqueName="13" name="DAILYINTEREST AMOUNT" queryTableFieldId="13"/>
    <tableColumn id="14" xr3:uid="{92C9BEE9-B891-493E-98FD-30A1070FBD40}" uniqueName="14" name="ACCRUEDINTEREST"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779ED9-83C8-4CEA-88BC-15E67938A017}" name="_INVESTEMENTDATA" displayName="_INVESTEMENTDATA" ref="A1:M1002" totalsRowCount="1">
  <autoFilter ref="A1:M1001" xr:uid="{8C779ED9-83C8-4CEA-88BC-15E67938A017}"/>
  <tableColumns count="13">
    <tableColumn id="1" xr3:uid="{7E6C4142-28A0-4531-9F67-C8D676BC5756}" name="Investor_ID" totalsRowLabel="Total"/>
    <tableColumn id="2" xr3:uid="{C6384B76-0E0C-4C42-BD74-6E720713752F}" name="Gender"/>
    <tableColumn id="3" xr3:uid="{0A488945-3951-4FF8-8213-A658892182A4}" name="Age"/>
    <tableColumn id="4" xr3:uid="{BC03764D-C448-4A2B-B7FC-F9B213E0789A}" name="Investment_Type"/>
    <tableColumn id="5" xr3:uid="{12245581-F795-4E7F-9927-070B3D74177E}" name="Sector"/>
    <tableColumn id="6" xr3:uid="{49CF0612-E264-4FE3-A5AA-DB9A1D532A4C}" name="Region" totalsRowFunction="count"/>
    <tableColumn id="7" xr3:uid="{CBF222FB-5BDC-408C-A472-9B244EC45B1C}" name="Investment_Amount" totalsRowFunction="sum"/>
    <tableColumn id="13" xr3:uid="{362D829A-8394-4E1D-B4B7-7F5F26F1ADA4}" name="Duration" dataDxfId="2">
      <calculatedColumnFormula>RANDBETWEEN(7,365)</calculatedColumnFormula>
    </tableColumn>
    <tableColumn id="8" xr3:uid="{171A27BE-5406-4D51-AB6D-2302B7A5467E}" name="Expected_Return_%" totalsRowFunction="average"/>
    <tableColumn id="9" xr3:uid="{C7A39CA0-B830-42B5-B712-496EFF4E2901}" name="Actual_Return_%"/>
    <tableColumn id="10" xr3:uid="{6734FAD3-C8D9-4A42-8F5E-DA5E302AA1A1}" name="Investment_Date" totalsRowFunction="count"/>
    <tableColumn id="11" xr3:uid="{389C9FDD-13F8-44BC-91FD-4C7F3E7E7143}" name="WHT" dataDxfId="1">
      <calculatedColumnFormula>_INVESTEMENTDATA[[#This Row],[Investment_Amount]]*0.18</calculatedColumnFormula>
    </tableColumn>
    <tableColumn id="12" xr3:uid="{01311C4E-90C7-4E15-9545-44551496A5E1}" name="accrued interest" dataDxfId="0">
      <calculatedColumnFormula>_INVESTEMENTDATA[[#This Row],[Investment_Amount]]*0.18*25</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A35CE-3EA9-4311-AF2F-F5E30340A388}">
  <dimension ref="A1:G19"/>
  <sheetViews>
    <sheetView workbookViewId="0">
      <selection activeCell="J23" sqref="J23"/>
    </sheetView>
  </sheetViews>
  <sheetFormatPr defaultRowHeight="15" x14ac:dyDescent="0.25"/>
  <cols>
    <col min="1" max="1" width="27.85546875" bestFit="1" customWidth="1"/>
    <col min="2" max="2" width="32.42578125" bestFit="1" customWidth="1"/>
    <col min="3" max="3" width="23.140625" bestFit="1" customWidth="1"/>
    <col min="4" max="4" width="27.7109375" bestFit="1" customWidth="1"/>
    <col min="5" max="5" width="20.85546875" bestFit="1" customWidth="1"/>
    <col min="6" max="6" width="16" bestFit="1" customWidth="1"/>
    <col min="7" max="7" width="17" bestFit="1" customWidth="1"/>
  </cols>
  <sheetData>
    <row r="1" spans="1:7" ht="23.25" x14ac:dyDescent="0.35">
      <c r="A1" s="16" t="s">
        <v>1862</v>
      </c>
      <c r="B1" s="17"/>
      <c r="C1" s="17"/>
    </row>
    <row r="2" spans="1:7" x14ac:dyDescent="0.25">
      <c r="A2" s="2"/>
      <c r="B2" s="2"/>
      <c r="C2" s="2"/>
      <c r="D2" s="2"/>
    </row>
    <row r="3" spans="1:7" x14ac:dyDescent="0.25">
      <c r="A3" s="4" t="s">
        <v>1843</v>
      </c>
      <c r="B3" s="4" t="s">
        <v>1845</v>
      </c>
      <c r="C3" s="4" t="s">
        <v>1844</v>
      </c>
      <c r="D3" s="4" t="s">
        <v>1846</v>
      </c>
      <c r="E3" s="4" t="s">
        <v>1849</v>
      </c>
      <c r="F3" s="3" t="s">
        <v>1859</v>
      </c>
      <c r="G3" s="4" t="s">
        <v>1857</v>
      </c>
    </row>
    <row r="4" spans="1:7" x14ac:dyDescent="0.25">
      <c r="A4" s="4">
        <v>2542016533</v>
      </c>
      <c r="B4" s="4">
        <v>2542016.5329999998</v>
      </c>
      <c r="C4" s="4">
        <v>1177400058.1000009</v>
      </c>
      <c r="D4" s="4">
        <v>1177400.058100001</v>
      </c>
      <c r="E4" s="15">
        <v>1000</v>
      </c>
      <c r="F4" s="5" t="s">
        <v>30</v>
      </c>
      <c r="G4" s="4">
        <v>391067069</v>
      </c>
    </row>
    <row r="5" spans="1:7" x14ac:dyDescent="0.25">
      <c r="A5" s="2"/>
      <c r="B5" s="2"/>
      <c r="C5" s="2"/>
      <c r="D5" s="2"/>
      <c r="F5" s="5" t="s">
        <v>47</v>
      </c>
      <c r="G5" s="4">
        <v>427259466</v>
      </c>
    </row>
    <row r="6" spans="1:7" x14ac:dyDescent="0.25">
      <c r="A6" s="2"/>
      <c r="B6" s="2"/>
      <c r="C6" s="2"/>
      <c r="D6" s="2"/>
      <c r="F6" s="5" t="s">
        <v>14</v>
      </c>
      <c r="G6" s="4">
        <v>442918123</v>
      </c>
    </row>
    <row r="7" spans="1:7" x14ac:dyDescent="0.25">
      <c r="A7" s="3" t="s">
        <v>1859</v>
      </c>
      <c r="B7" s="4" t="s">
        <v>1857</v>
      </c>
      <c r="C7" s="4" t="s">
        <v>1858</v>
      </c>
      <c r="D7" s="2"/>
      <c r="F7" s="5" t="s">
        <v>41</v>
      </c>
      <c r="G7" s="4">
        <v>460303238</v>
      </c>
    </row>
    <row r="8" spans="1:7" x14ac:dyDescent="0.25">
      <c r="A8" s="5" t="s">
        <v>1850</v>
      </c>
      <c r="B8" s="4">
        <v>376194952</v>
      </c>
      <c r="C8" s="4">
        <v>284560230.50000006</v>
      </c>
      <c r="D8" s="2"/>
      <c r="F8" s="5" t="s">
        <v>35</v>
      </c>
      <c r="G8" s="4">
        <v>430605276</v>
      </c>
    </row>
    <row r="9" spans="1:7" x14ac:dyDescent="0.25">
      <c r="A9" s="5" t="s">
        <v>1851</v>
      </c>
      <c r="B9" s="4">
        <v>356174951</v>
      </c>
      <c r="C9" s="4">
        <v>229077726.10000005</v>
      </c>
      <c r="D9" s="2"/>
      <c r="F9" s="5" t="s">
        <v>20</v>
      </c>
      <c r="G9" s="4">
        <v>389863361</v>
      </c>
    </row>
    <row r="10" spans="1:7" x14ac:dyDescent="0.25">
      <c r="A10" s="5" t="s">
        <v>1852</v>
      </c>
      <c r="B10" s="4">
        <v>422646918</v>
      </c>
      <c r="C10" s="4">
        <v>232245987.60000005</v>
      </c>
      <c r="D10" s="2"/>
      <c r="F10" s="5" t="s">
        <v>1848</v>
      </c>
      <c r="G10" s="4">
        <v>2542016533</v>
      </c>
    </row>
    <row r="11" spans="1:7" x14ac:dyDescent="0.25">
      <c r="A11" s="5" t="s">
        <v>1853</v>
      </c>
      <c r="B11" s="4">
        <v>363401153</v>
      </c>
      <c r="C11" s="4">
        <v>166378333.59999999</v>
      </c>
      <c r="D11" s="2"/>
    </row>
    <row r="12" spans="1:7" x14ac:dyDescent="0.25">
      <c r="A12" s="5" t="s">
        <v>1854</v>
      </c>
      <c r="B12" s="4">
        <v>389109150</v>
      </c>
      <c r="C12" s="4">
        <v>133897127.30000003</v>
      </c>
      <c r="D12" s="2"/>
    </row>
    <row r="13" spans="1:7" x14ac:dyDescent="0.25">
      <c r="A13" s="5" t="s">
        <v>1855</v>
      </c>
      <c r="B13" s="4">
        <v>335869028</v>
      </c>
      <c r="C13" s="4">
        <v>83770641.400000036</v>
      </c>
      <c r="D13" s="2"/>
      <c r="F13" s="3" t="s">
        <v>1847</v>
      </c>
      <c r="G13" s="4" t="s">
        <v>1857</v>
      </c>
    </row>
    <row r="14" spans="1:7" x14ac:dyDescent="0.25">
      <c r="A14" s="5" t="s">
        <v>1856</v>
      </c>
      <c r="B14" s="4">
        <v>298620381</v>
      </c>
      <c r="C14" s="4">
        <v>47470011.599999979</v>
      </c>
      <c r="D14" s="2"/>
      <c r="F14" s="5" t="s">
        <v>38</v>
      </c>
      <c r="G14" s="4">
        <v>492505048</v>
      </c>
    </row>
    <row r="15" spans="1:7" x14ac:dyDescent="0.25">
      <c r="A15" s="5" t="s">
        <v>1848</v>
      </c>
      <c r="B15" s="4">
        <v>2542016533</v>
      </c>
      <c r="C15" s="4">
        <v>1177400058.1000001</v>
      </c>
      <c r="D15" s="2"/>
      <c r="F15" s="5" t="s">
        <v>12</v>
      </c>
      <c r="G15" s="4">
        <v>502842970</v>
      </c>
    </row>
    <row r="16" spans="1:7" x14ac:dyDescent="0.25">
      <c r="D16" s="2"/>
      <c r="F16" s="5" t="s">
        <v>46</v>
      </c>
      <c r="G16" s="4">
        <v>596528020</v>
      </c>
    </row>
    <row r="17" spans="6:7" x14ac:dyDescent="0.25">
      <c r="F17" s="5" t="s">
        <v>28</v>
      </c>
      <c r="G17" s="4">
        <v>481912855</v>
      </c>
    </row>
    <row r="18" spans="6:7" x14ac:dyDescent="0.25">
      <c r="F18" s="5" t="s">
        <v>18</v>
      </c>
      <c r="G18" s="4">
        <v>468227640</v>
      </c>
    </row>
    <row r="19" spans="6:7" x14ac:dyDescent="0.25">
      <c r="F19" s="5" t="s">
        <v>1848</v>
      </c>
      <c r="G19" s="4">
        <v>2542016533</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05052-0651-4A81-B470-4BC56907253E}">
  <dimension ref="A1:U43"/>
  <sheetViews>
    <sheetView showGridLines="0" topLeftCell="A2" workbookViewId="0">
      <selection activeCell="U8" sqref="U8"/>
    </sheetView>
  </sheetViews>
  <sheetFormatPr defaultRowHeight="15" x14ac:dyDescent="0.25"/>
  <sheetData>
    <row r="1" spans="1:21" x14ac:dyDescent="0.25">
      <c r="A1" s="6"/>
      <c r="B1" s="7"/>
      <c r="C1" s="7"/>
      <c r="D1" s="7"/>
      <c r="E1" s="7"/>
      <c r="F1" s="7"/>
      <c r="G1" s="7"/>
      <c r="H1" s="7"/>
      <c r="I1" s="7"/>
      <c r="J1" s="7"/>
      <c r="K1" s="7"/>
      <c r="L1" s="7"/>
      <c r="M1" s="7"/>
      <c r="N1" s="7"/>
      <c r="O1" s="7"/>
      <c r="P1" s="7"/>
      <c r="Q1" s="7"/>
      <c r="R1" s="7"/>
      <c r="S1" s="7"/>
      <c r="T1" s="7"/>
      <c r="U1" s="8"/>
    </row>
    <row r="2" spans="1:21" x14ac:dyDescent="0.25">
      <c r="A2" s="9"/>
      <c r="S2" t="s">
        <v>1861</v>
      </c>
      <c r="U2" s="10"/>
    </row>
    <row r="3" spans="1:21" x14ac:dyDescent="0.25">
      <c r="A3" s="9"/>
      <c r="U3" s="10"/>
    </row>
    <row r="4" spans="1:21" x14ac:dyDescent="0.25">
      <c r="A4" s="9"/>
      <c r="U4" s="10"/>
    </row>
    <row r="5" spans="1:21" x14ac:dyDescent="0.25">
      <c r="A5" s="9"/>
      <c r="U5" s="10"/>
    </row>
    <row r="6" spans="1:21" x14ac:dyDescent="0.25">
      <c r="A6" s="9"/>
      <c r="Q6" t="s">
        <v>1860</v>
      </c>
      <c r="U6" s="10"/>
    </row>
    <row r="7" spans="1:21" x14ac:dyDescent="0.25">
      <c r="A7" s="9"/>
      <c r="U7" s="10"/>
    </row>
    <row r="8" spans="1:21" x14ac:dyDescent="0.25">
      <c r="A8" s="9"/>
      <c r="U8" s="10"/>
    </row>
    <row r="9" spans="1:21" x14ac:dyDescent="0.25">
      <c r="A9" s="9"/>
      <c r="D9" s="14"/>
      <c r="Q9" t="s">
        <v>1860</v>
      </c>
      <c r="U9" s="10"/>
    </row>
    <row r="10" spans="1:21" x14ac:dyDescent="0.25">
      <c r="A10" s="9"/>
      <c r="U10" s="10"/>
    </row>
    <row r="11" spans="1:21" x14ac:dyDescent="0.25">
      <c r="A11" s="9"/>
      <c r="U11" s="10"/>
    </row>
    <row r="12" spans="1:21" x14ac:dyDescent="0.25">
      <c r="A12" s="9"/>
      <c r="U12" s="10"/>
    </row>
    <row r="13" spans="1:21" x14ac:dyDescent="0.25">
      <c r="A13" s="9"/>
      <c r="U13" s="10"/>
    </row>
    <row r="14" spans="1:21" x14ac:dyDescent="0.25">
      <c r="A14" s="9"/>
      <c r="U14" s="10"/>
    </row>
    <row r="15" spans="1:21" x14ac:dyDescent="0.25">
      <c r="A15" s="9"/>
      <c r="U15" s="10"/>
    </row>
    <row r="16" spans="1:21" x14ac:dyDescent="0.25">
      <c r="A16" s="9"/>
      <c r="U16" s="10"/>
    </row>
    <row r="17" spans="1:21" x14ac:dyDescent="0.25">
      <c r="A17" s="9"/>
      <c r="U17" s="10"/>
    </row>
    <row r="18" spans="1:21" x14ac:dyDescent="0.25">
      <c r="A18" s="9"/>
      <c r="U18" s="10"/>
    </row>
    <row r="19" spans="1:21" x14ac:dyDescent="0.25">
      <c r="A19" s="9"/>
      <c r="U19" s="10"/>
    </row>
    <row r="20" spans="1:21" x14ac:dyDescent="0.25">
      <c r="A20" s="9"/>
      <c r="U20" s="10"/>
    </row>
    <row r="21" spans="1:21" x14ac:dyDescent="0.25">
      <c r="A21" s="9"/>
      <c r="U21" s="10"/>
    </row>
    <row r="22" spans="1:21" x14ac:dyDescent="0.25">
      <c r="A22" s="9"/>
      <c r="U22" s="10"/>
    </row>
    <row r="23" spans="1:21" x14ac:dyDescent="0.25">
      <c r="A23" s="9"/>
      <c r="U23" s="10"/>
    </row>
    <row r="24" spans="1:21" x14ac:dyDescent="0.25">
      <c r="A24" s="9"/>
      <c r="U24" s="10"/>
    </row>
    <row r="25" spans="1:21" x14ac:dyDescent="0.25">
      <c r="A25" s="9"/>
      <c r="U25" s="10"/>
    </row>
    <row r="26" spans="1:21" x14ac:dyDescent="0.25">
      <c r="A26" s="9"/>
      <c r="U26" s="10"/>
    </row>
    <row r="27" spans="1:21" x14ac:dyDescent="0.25">
      <c r="A27" s="9"/>
      <c r="U27" s="10"/>
    </row>
    <row r="28" spans="1:21" x14ac:dyDescent="0.25">
      <c r="A28" s="9"/>
      <c r="U28" s="10"/>
    </row>
    <row r="29" spans="1:21" x14ac:dyDescent="0.25">
      <c r="A29" s="9"/>
      <c r="U29" s="10"/>
    </row>
    <row r="30" spans="1:21" x14ac:dyDescent="0.25">
      <c r="A30" s="9"/>
      <c r="U30" s="10"/>
    </row>
    <row r="31" spans="1:21" x14ac:dyDescent="0.25">
      <c r="A31" s="9"/>
      <c r="U31" s="10"/>
    </row>
    <row r="32" spans="1:21" x14ac:dyDescent="0.25">
      <c r="A32" s="9"/>
      <c r="U32" s="10"/>
    </row>
    <row r="33" spans="1:21" x14ac:dyDescent="0.25">
      <c r="A33" s="9"/>
      <c r="U33" s="10"/>
    </row>
    <row r="34" spans="1:21" x14ac:dyDescent="0.25">
      <c r="A34" s="9"/>
      <c r="U34" s="10"/>
    </row>
    <row r="35" spans="1:21" x14ac:dyDescent="0.25">
      <c r="A35" s="9"/>
      <c r="U35" s="10"/>
    </row>
    <row r="36" spans="1:21" x14ac:dyDescent="0.25">
      <c r="A36" s="9"/>
      <c r="U36" s="10"/>
    </row>
    <row r="37" spans="1:21" x14ac:dyDescent="0.25">
      <c r="A37" s="9"/>
      <c r="U37" s="10"/>
    </row>
    <row r="38" spans="1:21" x14ac:dyDescent="0.25">
      <c r="A38" s="9"/>
      <c r="U38" s="10"/>
    </row>
    <row r="39" spans="1:21" x14ac:dyDescent="0.25">
      <c r="A39" s="9"/>
      <c r="U39" s="10"/>
    </row>
    <row r="40" spans="1:21" x14ac:dyDescent="0.25">
      <c r="A40" s="9"/>
      <c r="U40" s="10"/>
    </row>
    <row r="41" spans="1:21" x14ac:dyDescent="0.25">
      <c r="A41" s="9"/>
      <c r="U41" s="10"/>
    </row>
    <row r="42" spans="1:21" x14ac:dyDescent="0.25">
      <c r="A42" s="9"/>
      <c r="U42" s="10"/>
    </row>
    <row r="43" spans="1:21" ht="15.75" thickBot="1" x14ac:dyDescent="0.3">
      <c r="A43" s="11"/>
      <c r="B43" s="12"/>
      <c r="C43" s="12"/>
      <c r="D43" s="12"/>
      <c r="E43" s="12"/>
      <c r="F43" s="12"/>
      <c r="G43" s="12"/>
      <c r="H43" s="12"/>
      <c r="I43" s="12"/>
      <c r="J43" s="12"/>
      <c r="K43" s="12"/>
      <c r="L43" s="12"/>
      <c r="M43" s="12"/>
      <c r="N43" s="12"/>
      <c r="O43" s="12"/>
      <c r="P43" s="12"/>
      <c r="Q43" s="12"/>
      <c r="R43" s="12"/>
      <c r="S43" s="12"/>
      <c r="T43" s="12"/>
      <c r="U43"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14538-FD10-49FD-939A-FAFD5528D1BD}">
  <dimension ref="A1:N1002"/>
  <sheetViews>
    <sheetView tabSelected="1" workbookViewId="0">
      <selection activeCell="B1" sqref="B1"/>
    </sheetView>
  </sheetViews>
  <sheetFormatPr defaultRowHeight="15" x14ac:dyDescent="0.25"/>
  <cols>
    <col min="1" max="1" width="13.42578125" bestFit="1" customWidth="1"/>
    <col min="2" max="2" width="10" bestFit="1" customWidth="1"/>
    <col min="3" max="3" width="6.7109375" bestFit="1" customWidth="1"/>
    <col min="4" max="4" width="18.85546875" bestFit="1" customWidth="1"/>
    <col min="5" max="5" width="16.140625" bestFit="1" customWidth="1"/>
    <col min="6" max="6" width="12.7109375" bestFit="1" customWidth="1"/>
    <col min="7" max="7" width="21.85546875" bestFit="1" customWidth="1"/>
    <col min="8" max="8" width="21.28515625" bestFit="1" customWidth="1"/>
    <col min="9" max="9" width="18.5703125" bestFit="1" customWidth="1"/>
    <col min="10" max="10" width="18.7109375" bestFit="1" customWidth="1"/>
    <col min="11" max="11" width="12.85546875" bestFit="1" customWidth="1"/>
    <col min="12" max="12" width="21.5703125" bestFit="1" customWidth="1"/>
    <col min="13" max="13" width="19" bestFit="1" customWidth="1"/>
    <col min="14" max="14" width="17.140625" bestFit="1" customWidth="1"/>
  </cols>
  <sheetData>
    <row r="1" spans="1:14" x14ac:dyDescent="0.25">
      <c r="A1" t="s">
        <v>0</v>
      </c>
      <c r="B1" t="s">
        <v>1</v>
      </c>
      <c r="C1" t="s">
        <v>2</v>
      </c>
      <c r="D1" t="s">
        <v>3</v>
      </c>
      <c r="E1" t="s">
        <v>4</v>
      </c>
      <c r="F1" t="s">
        <v>5</v>
      </c>
      <c r="G1" t="s">
        <v>6</v>
      </c>
      <c r="H1" t="s">
        <v>7</v>
      </c>
      <c r="I1" t="s">
        <v>8</v>
      </c>
      <c r="J1" t="s">
        <v>9</v>
      </c>
      <c r="K1" t="s">
        <v>1835</v>
      </c>
      <c r="L1" t="s">
        <v>1840</v>
      </c>
      <c r="M1" t="s">
        <v>1841</v>
      </c>
      <c r="N1" t="s">
        <v>1842</v>
      </c>
    </row>
    <row r="2" spans="1:14" x14ac:dyDescent="0.25">
      <c r="A2" t="s">
        <v>10</v>
      </c>
      <c r="B2" t="s">
        <v>11</v>
      </c>
      <c r="C2">
        <v>34</v>
      </c>
      <c r="D2" t="s">
        <v>12</v>
      </c>
      <c r="E2" t="s">
        <v>13</v>
      </c>
      <c r="F2" t="s">
        <v>14</v>
      </c>
      <c r="G2">
        <v>347717</v>
      </c>
      <c r="H2">
        <v>8.42</v>
      </c>
      <c r="I2">
        <v>24.97</v>
      </c>
      <c r="J2" s="1">
        <v>45067</v>
      </c>
      <c r="K2">
        <v>88</v>
      </c>
      <c r="L2">
        <v>3</v>
      </c>
      <c r="M2">
        <v>34771.700000000004</v>
      </c>
      <c r="N2">
        <v>104315.1</v>
      </c>
    </row>
    <row r="3" spans="1:14" x14ac:dyDescent="0.25">
      <c r="A3" t="s">
        <v>16</v>
      </c>
      <c r="B3" t="s">
        <v>17</v>
      </c>
      <c r="C3">
        <v>30</v>
      </c>
      <c r="D3" t="s">
        <v>18</v>
      </c>
      <c r="E3" t="s">
        <v>19</v>
      </c>
      <c r="F3" t="s">
        <v>20</v>
      </c>
      <c r="G3">
        <v>3409611</v>
      </c>
      <c r="H3">
        <v>33.56</v>
      </c>
      <c r="I3">
        <v>-1.8</v>
      </c>
      <c r="J3" s="1">
        <v>43746</v>
      </c>
      <c r="K3">
        <v>286</v>
      </c>
      <c r="L3">
        <v>6</v>
      </c>
      <c r="M3">
        <v>340961.10000000003</v>
      </c>
      <c r="N3">
        <v>2045766.6</v>
      </c>
    </row>
    <row r="4" spans="1:14" x14ac:dyDescent="0.25">
      <c r="A4" t="s">
        <v>22</v>
      </c>
      <c r="B4" t="s">
        <v>11</v>
      </c>
      <c r="C4">
        <v>36</v>
      </c>
      <c r="D4" t="s">
        <v>18</v>
      </c>
      <c r="E4" t="s">
        <v>23</v>
      </c>
      <c r="F4" t="s">
        <v>14</v>
      </c>
      <c r="G4">
        <v>4665064</v>
      </c>
      <c r="H4">
        <v>27.02</v>
      </c>
      <c r="I4">
        <v>14.85</v>
      </c>
      <c r="J4" s="1">
        <v>43142</v>
      </c>
      <c r="K4">
        <v>192</v>
      </c>
      <c r="L4">
        <v>8</v>
      </c>
      <c r="M4">
        <v>466506.4</v>
      </c>
      <c r="N4">
        <v>3732051.2</v>
      </c>
    </row>
    <row r="5" spans="1:14" x14ac:dyDescent="0.25">
      <c r="A5" t="s">
        <v>25</v>
      </c>
      <c r="B5" t="s">
        <v>17</v>
      </c>
      <c r="C5">
        <v>34</v>
      </c>
      <c r="D5" t="s">
        <v>18</v>
      </c>
      <c r="E5" t="s">
        <v>19</v>
      </c>
      <c r="F5" t="s">
        <v>20</v>
      </c>
      <c r="G5">
        <v>4043271</v>
      </c>
      <c r="H5">
        <v>17.190000000000001</v>
      </c>
      <c r="I5">
        <v>31.51</v>
      </c>
      <c r="J5" s="1">
        <v>44671</v>
      </c>
      <c r="K5">
        <v>137</v>
      </c>
      <c r="L5">
        <v>4</v>
      </c>
      <c r="M5">
        <v>404327.10000000003</v>
      </c>
      <c r="N5">
        <v>1617308.4000000001</v>
      </c>
    </row>
    <row r="6" spans="1:14" x14ac:dyDescent="0.25">
      <c r="A6" t="s">
        <v>27</v>
      </c>
      <c r="B6" t="s">
        <v>11</v>
      </c>
      <c r="C6">
        <v>22</v>
      </c>
      <c r="D6" t="s">
        <v>28</v>
      </c>
      <c r="E6" t="s">
        <v>29</v>
      </c>
      <c r="F6" t="s">
        <v>30</v>
      </c>
      <c r="G6">
        <v>1954049</v>
      </c>
      <c r="H6">
        <v>10.77</v>
      </c>
      <c r="I6">
        <v>-0.26</v>
      </c>
      <c r="J6" s="1">
        <v>43893</v>
      </c>
      <c r="K6">
        <v>31</v>
      </c>
      <c r="L6">
        <v>6</v>
      </c>
      <c r="M6">
        <v>195404.90000000002</v>
      </c>
      <c r="N6">
        <v>1172429.4000000001</v>
      </c>
    </row>
    <row r="7" spans="1:14" x14ac:dyDescent="0.25">
      <c r="A7" t="s">
        <v>32</v>
      </c>
      <c r="B7" t="s">
        <v>11</v>
      </c>
      <c r="C7">
        <v>43</v>
      </c>
      <c r="D7" t="s">
        <v>28</v>
      </c>
      <c r="E7" t="s">
        <v>23</v>
      </c>
      <c r="F7" t="s">
        <v>14</v>
      </c>
      <c r="G7">
        <v>2839982</v>
      </c>
      <c r="H7">
        <v>26.98</v>
      </c>
      <c r="I7">
        <v>-5.53</v>
      </c>
      <c r="J7" s="1">
        <v>43668</v>
      </c>
      <c r="K7">
        <v>148</v>
      </c>
      <c r="L7">
        <v>6</v>
      </c>
      <c r="M7">
        <v>283998.2</v>
      </c>
      <c r="N7">
        <v>1703989.2000000002</v>
      </c>
    </row>
    <row r="8" spans="1:14" x14ac:dyDescent="0.25">
      <c r="A8" t="s">
        <v>34</v>
      </c>
      <c r="B8" t="s">
        <v>11</v>
      </c>
      <c r="C8">
        <v>33</v>
      </c>
      <c r="D8" t="s">
        <v>28</v>
      </c>
      <c r="E8" t="s">
        <v>23</v>
      </c>
      <c r="F8" t="s">
        <v>35</v>
      </c>
      <c r="G8">
        <v>2013638</v>
      </c>
      <c r="H8">
        <v>17.829999999999998</v>
      </c>
      <c r="I8">
        <v>26.44</v>
      </c>
      <c r="J8" s="1">
        <v>43730</v>
      </c>
      <c r="K8">
        <v>189</v>
      </c>
      <c r="L8">
        <v>6</v>
      </c>
      <c r="M8">
        <v>201363.80000000002</v>
      </c>
      <c r="N8">
        <v>1208182.8</v>
      </c>
    </row>
    <row r="9" spans="1:14" x14ac:dyDescent="0.25">
      <c r="A9" t="s">
        <v>37</v>
      </c>
      <c r="B9" t="s">
        <v>11</v>
      </c>
      <c r="C9">
        <v>62</v>
      </c>
      <c r="D9" t="s">
        <v>38</v>
      </c>
      <c r="E9" t="s">
        <v>29</v>
      </c>
      <c r="F9" t="s">
        <v>35</v>
      </c>
      <c r="G9">
        <v>326813</v>
      </c>
      <c r="H9">
        <v>19.95</v>
      </c>
      <c r="I9">
        <v>10.25</v>
      </c>
      <c r="J9" s="1">
        <v>45186</v>
      </c>
      <c r="K9">
        <v>148</v>
      </c>
      <c r="L9">
        <v>2</v>
      </c>
      <c r="M9">
        <v>32681.300000000003</v>
      </c>
      <c r="N9">
        <v>65362.600000000006</v>
      </c>
    </row>
    <row r="10" spans="1:14" x14ac:dyDescent="0.25">
      <c r="A10" t="s">
        <v>40</v>
      </c>
      <c r="B10" t="s">
        <v>11</v>
      </c>
      <c r="C10">
        <v>21</v>
      </c>
      <c r="D10" t="s">
        <v>12</v>
      </c>
      <c r="E10" t="s">
        <v>29</v>
      </c>
      <c r="F10" t="s">
        <v>41</v>
      </c>
      <c r="G10">
        <v>3203500</v>
      </c>
      <c r="H10">
        <v>27.34</v>
      </c>
      <c r="I10">
        <v>4.21</v>
      </c>
      <c r="J10" s="1">
        <v>44842</v>
      </c>
      <c r="K10">
        <v>34</v>
      </c>
      <c r="L10">
        <v>3</v>
      </c>
      <c r="M10">
        <v>320350</v>
      </c>
      <c r="N10">
        <v>961050</v>
      </c>
    </row>
    <row r="11" spans="1:14" x14ac:dyDescent="0.25">
      <c r="A11" t="s">
        <v>43</v>
      </c>
      <c r="B11" t="s">
        <v>17</v>
      </c>
      <c r="C11">
        <v>56</v>
      </c>
      <c r="D11" t="s">
        <v>28</v>
      </c>
      <c r="E11" t="s">
        <v>19</v>
      </c>
      <c r="F11" t="s">
        <v>35</v>
      </c>
      <c r="G11">
        <v>257550</v>
      </c>
      <c r="H11">
        <v>7.28</v>
      </c>
      <c r="I11">
        <v>40.03</v>
      </c>
      <c r="J11" s="1">
        <v>43776</v>
      </c>
      <c r="K11">
        <v>350</v>
      </c>
      <c r="L11">
        <v>6</v>
      </c>
      <c r="M11">
        <v>25755</v>
      </c>
      <c r="N11">
        <v>154530</v>
      </c>
    </row>
    <row r="12" spans="1:14" x14ac:dyDescent="0.25">
      <c r="A12" t="s">
        <v>45</v>
      </c>
      <c r="B12" t="s">
        <v>17</v>
      </c>
      <c r="C12">
        <v>21</v>
      </c>
      <c r="D12" t="s">
        <v>46</v>
      </c>
      <c r="E12" t="s">
        <v>23</v>
      </c>
      <c r="F12" t="s">
        <v>47</v>
      </c>
      <c r="G12">
        <v>4383630</v>
      </c>
      <c r="H12">
        <v>7.43</v>
      </c>
      <c r="I12">
        <v>4.57</v>
      </c>
      <c r="J12" s="1">
        <v>44560</v>
      </c>
      <c r="K12">
        <v>275</v>
      </c>
      <c r="L12">
        <v>4</v>
      </c>
      <c r="M12">
        <v>438363</v>
      </c>
      <c r="N12">
        <v>1753452</v>
      </c>
    </row>
    <row r="13" spans="1:14" x14ac:dyDescent="0.25">
      <c r="A13" t="s">
        <v>49</v>
      </c>
      <c r="B13" t="s">
        <v>17</v>
      </c>
      <c r="C13">
        <v>21</v>
      </c>
      <c r="D13" t="s">
        <v>38</v>
      </c>
      <c r="E13" t="s">
        <v>50</v>
      </c>
      <c r="F13" t="s">
        <v>20</v>
      </c>
      <c r="G13">
        <v>3568731</v>
      </c>
      <c r="H13">
        <v>19.57</v>
      </c>
      <c r="I13">
        <v>10.58</v>
      </c>
      <c r="J13" s="1">
        <v>43118</v>
      </c>
      <c r="K13">
        <v>142</v>
      </c>
      <c r="L13">
        <v>8</v>
      </c>
      <c r="M13">
        <v>356873.10000000003</v>
      </c>
      <c r="N13">
        <v>2854984.8000000003</v>
      </c>
    </row>
    <row r="14" spans="1:14" x14ac:dyDescent="0.25">
      <c r="A14" t="s">
        <v>52</v>
      </c>
      <c r="B14" t="s">
        <v>11</v>
      </c>
      <c r="C14">
        <v>53</v>
      </c>
      <c r="D14" t="s">
        <v>12</v>
      </c>
      <c r="E14" t="s">
        <v>29</v>
      </c>
      <c r="F14" t="s">
        <v>30</v>
      </c>
      <c r="G14">
        <v>4968252</v>
      </c>
      <c r="H14">
        <v>26.85</v>
      </c>
      <c r="I14">
        <v>-6.38</v>
      </c>
      <c r="J14" s="1">
        <v>43452</v>
      </c>
      <c r="K14">
        <v>118</v>
      </c>
      <c r="L14">
        <v>7</v>
      </c>
      <c r="M14">
        <v>496825.2</v>
      </c>
      <c r="N14">
        <v>3477776.4</v>
      </c>
    </row>
    <row r="15" spans="1:14" x14ac:dyDescent="0.25">
      <c r="A15" t="s">
        <v>54</v>
      </c>
      <c r="B15" t="s">
        <v>11</v>
      </c>
      <c r="C15">
        <v>25</v>
      </c>
      <c r="D15" t="s">
        <v>38</v>
      </c>
      <c r="E15" t="s">
        <v>23</v>
      </c>
      <c r="F15" t="s">
        <v>20</v>
      </c>
      <c r="G15">
        <v>702461</v>
      </c>
      <c r="H15">
        <v>27.56</v>
      </c>
      <c r="I15">
        <v>25.39</v>
      </c>
      <c r="J15" s="1">
        <v>45329</v>
      </c>
      <c r="K15">
        <v>259</v>
      </c>
      <c r="L15">
        <v>2</v>
      </c>
      <c r="M15">
        <v>70246.100000000006</v>
      </c>
      <c r="N15">
        <v>140492.20000000001</v>
      </c>
    </row>
    <row r="16" spans="1:14" x14ac:dyDescent="0.25">
      <c r="A16" t="s">
        <v>56</v>
      </c>
      <c r="B16" t="s">
        <v>17</v>
      </c>
      <c r="C16">
        <v>44</v>
      </c>
      <c r="D16" t="s">
        <v>28</v>
      </c>
      <c r="E16" t="s">
        <v>57</v>
      </c>
      <c r="F16" t="s">
        <v>20</v>
      </c>
      <c r="G16">
        <v>2171807</v>
      </c>
      <c r="H16">
        <v>24.41</v>
      </c>
      <c r="I16">
        <v>28.98</v>
      </c>
      <c r="J16" s="1">
        <v>43392</v>
      </c>
      <c r="K16">
        <v>286</v>
      </c>
      <c r="L16">
        <v>7</v>
      </c>
      <c r="M16">
        <v>217180.7</v>
      </c>
      <c r="N16">
        <v>1520264.9000000001</v>
      </c>
    </row>
    <row r="17" spans="1:14" x14ac:dyDescent="0.25">
      <c r="A17" t="s">
        <v>59</v>
      </c>
      <c r="B17" t="s">
        <v>11</v>
      </c>
      <c r="C17">
        <v>51</v>
      </c>
      <c r="D17" t="s">
        <v>12</v>
      </c>
      <c r="E17" t="s">
        <v>19</v>
      </c>
      <c r="F17" t="s">
        <v>30</v>
      </c>
      <c r="G17">
        <v>4642025</v>
      </c>
      <c r="H17">
        <v>5.86</v>
      </c>
      <c r="I17">
        <v>18.760000000000002</v>
      </c>
      <c r="J17" s="1">
        <v>45115</v>
      </c>
      <c r="K17">
        <v>88</v>
      </c>
      <c r="L17">
        <v>3</v>
      </c>
      <c r="M17">
        <v>464202.5</v>
      </c>
      <c r="N17">
        <v>1392607.5</v>
      </c>
    </row>
    <row r="18" spans="1:14" x14ac:dyDescent="0.25">
      <c r="A18" t="s">
        <v>61</v>
      </c>
      <c r="B18" t="s">
        <v>17</v>
      </c>
      <c r="C18">
        <v>22</v>
      </c>
      <c r="D18" t="s">
        <v>46</v>
      </c>
      <c r="E18" t="s">
        <v>19</v>
      </c>
      <c r="F18" t="s">
        <v>30</v>
      </c>
      <c r="G18">
        <v>1323904</v>
      </c>
      <c r="H18">
        <v>28.48</v>
      </c>
      <c r="I18">
        <v>1.67</v>
      </c>
      <c r="J18" s="1">
        <v>43153</v>
      </c>
      <c r="K18">
        <v>130</v>
      </c>
      <c r="L18">
        <v>8</v>
      </c>
      <c r="M18">
        <v>132390.39999999999</v>
      </c>
      <c r="N18">
        <v>1059123.2</v>
      </c>
    </row>
    <row r="19" spans="1:14" x14ac:dyDescent="0.25">
      <c r="A19" t="s">
        <v>63</v>
      </c>
      <c r="B19" t="s">
        <v>17</v>
      </c>
      <c r="C19">
        <v>62</v>
      </c>
      <c r="D19" t="s">
        <v>28</v>
      </c>
      <c r="E19" t="s">
        <v>19</v>
      </c>
      <c r="F19" t="s">
        <v>41</v>
      </c>
      <c r="G19">
        <v>4727975</v>
      </c>
      <c r="H19">
        <v>7.74</v>
      </c>
      <c r="I19">
        <v>35.299999999999997</v>
      </c>
      <c r="J19" s="1">
        <v>44105</v>
      </c>
      <c r="K19">
        <v>350</v>
      </c>
      <c r="L19">
        <v>5</v>
      </c>
      <c r="M19">
        <v>472797.5</v>
      </c>
      <c r="N19">
        <v>2363987.5</v>
      </c>
    </row>
    <row r="20" spans="1:14" x14ac:dyDescent="0.25">
      <c r="A20" t="s">
        <v>65</v>
      </c>
      <c r="B20" t="s">
        <v>17</v>
      </c>
      <c r="C20">
        <v>63</v>
      </c>
      <c r="D20" t="s">
        <v>38</v>
      </c>
      <c r="E20" t="s">
        <v>50</v>
      </c>
      <c r="F20" t="s">
        <v>41</v>
      </c>
      <c r="G20">
        <v>1211110</v>
      </c>
      <c r="H20">
        <v>12.68</v>
      </c>
      <c r="I20">
        <v>37.53</v>
      </c>
      <c r="J20" s="1">
        <v>44704</v>
      </c>
      <c r="K20">
        <v>180</v>
      </c>
      <c r="L20">
        <v>4</v>
      </c>
      <c r="M20">
        <v>121111</v>
      </c>
      <c r="N20">
        <v>484444</v>
      </c>
    </row>
    <row r="21" spans="1:14" x14ac:dyDescent="0.25">
      <c r="A21" t="s">
        <v>67</v>
      </c>
      <c r="B21" t="s">
        <v>17</v>
      </c>
      <c r="C21">
        <v>65</v>
      </c>
      <c r="D21" t="s">
        <v>46</v>
      </c>
      <c r="E21" t="s">
        <v>57</v>
      </c>
      <c r="F21" t="s">
        <v>14</v>
      </c>
      <c r="G21">
        <v>2957269</v>
      </c>
      <c r="H21">
        <v>19.559999999999999</v>
      </c>
      <c r="I21">
        <v>-7.21</v>
      </c>
      <c r="J21" s="1">
        <v>44313</v>
      </c>
      <c r="K21">
        <v>352</v>
      </c>
      <c r="L21">
        <v>5</v>
      </c>
      <c r="M21">
        <v>295726.90000000002</v>
      </c>
      <c r="N21">
        <v>1478634.5</v>
      </c>
    </row>
    <row r="22" spans="1:14" x14ac:dyDescent="0.25">
      <c r="A22" t="s">
        <v>69</v>
      </c>
      <c r="B22" t="s">
        <v>17</v>
      </c>
      <c r="C22">
        <v>37</v>
      </c>
      <c r="D22" t="s">
        <v>18</v>
      </c>
      <c r="E22" t="s">
        <v>23</v>
      </c>
      <c r="F22" t="s">
        <v>14</v>
      </c>
      <c r="G22">
        <v>4045550</v>
      </c>
      <c r="H22">
        <v>33</v>
      </c>
      <c r="I22">
        <v>21.19</v>
      </c>
      <c r="J22" s="1">
        <v>43545</v>
      </c>
      <c r="K22">
        <v>258</v>
      </c>
      <c r="L22">
        <v>7</v>
      </c>
      <c r="M22">
        <v>404555</v>
      </c>
      <c r="N22">
        <v>2831885</v>
      </c>
    </row>
    <row r="23" spans="1:14" x14ac:dyDescent="0.25">
      <c r="A23" t="s">
        <v>71</v>
      </c>
      <c r="B23" t="s">
        <v>17</v>
      </c>
      <c r="C23">
        <v>60</v>
      </c>
      <c r="D23" t="s">
        <v>12</v>
      </c>
      <c r="E23" t="s">
        <v>57</v>
      </c>
      <c r="F23" t="s">
        <v>35</v>
      </c>
      <c r="G23">
        <v>3808223</v>
      </c>
      <c r="H23">
        <v>29.94</v>
      </c>
      <c r="I23">
        <v>16.350000000000001</v>
      </c>
      <c r="J23" s="1">
        <v>44923</v>
      </c>
      <c r="K23">
        <v>323</v>
      </c>
      <c r="L23">
        <v>3</v>
      </c>
      <c r="M23">
        <v>380822.30000000005</v>
      </c>
      <c r="N23">
        <v>1142466.9000000001</v>
      </c>
    </row>
    <row r="24" spans="1:14" x14ac:dyDescent="0.25">
      <c r="A24" t="s">
        <v>73</v>
      </c>
      <c r="B24" t="s">
        <v>17</v>
      </c>
      <c r="C24">
        <v>51</v>
      </c>
      <c r="D24" t="s">
        <v>12</v>
      </c>
      <c r="E24" t="s">
        <v>50</v>
      </c>
      <c r="F24" t="s">
        <v>47</v>
      </c>
      <c r="G24">
        <v>4591221</v>
      </c>
      <c r="H24">
        <v>18.829999999999998</v>
      </c>
      <c r="I24">
        <v>8.35</v>
      </c>
      <c r="J24" s="1">
        <v>44638</v>
      </c>
      <c r="K24">
        <v>335</v>
      </c>
      <c r="L24">
        <v>4</v>
      </c>
      <c r="M24">
        <v>459122.10000000003</v>
      </c>
      <c r="N24">
        <v>1836488.4000000001</v>
      </c>
    </row>
    <row r="25" spans="1:14" x14ac:dyDescent="0.25">
      <c r="A25" t="s">
        <v>75</v>
      </c>
      <c r="B25" t="s">
        <v>17</v>
      </c>
      <c r="C25">
        <v>22</v>
      </c>
      <c r="D25" t="s">
        <v>46</v>
      </c>
      <c r="E25" t="s">
        <v>23</v>
      </c>
      <c r="F25" t="s">
        <v>35</v>
      </c>
      <c r="G25">
        <v>3334089</v>
      </c>
      <c r="H25">
        <v>13.96</v>
      </c>
      <c r="I25">
        <v>25.86</v>
      </c>
      <c r="J25" s="1">
        <v>44492</v>
      </c>
      <c r="K25">
        <v>37</v>
      </c>
      <c r="L25">
        <v>4</v>
      </c>
      <c r="M25">
        <v>333408.90000000002</v>
      </c>
      <c r="N25">
        <v>1333635.6000000001</v>
      </c>
    </row>
    <row r="26" spans="1:14" x14ac:dyDescent="0.25">
      <c r="A26" t="s">
        <v>77</v>
      </c>
      <c r="B26" t="s">
        <v>17</v>
      </c>
      <c r="C26">
        <v>23</v>
      </c>
      <c r="D26" t="s">
        <v>12</v>
      </c>
      <c r="E26" t="s">
        <v>57</v>
      </c>
      <c r="F26" t="s">
        <v>47</v>
      </c>
      <c r="G26">
        <v>4336001</v>
      </c>
      <c r="H26">
        <v>19.54</v>
      </c>
      <c r="I26">
        <v>23.32</v>
      </c>
      <c r="J26" s="1">
        <v>45454</v>
      </c>
      <c r="K26">
        <v>273</v>
      </c>
      <c r="L26">
        <v>2</v>
      </c>
      <c r="M26">
        <v>433600.10000000003</v>
      </c>
      <c r="N26">
        <v>867200.20000000007</v>
      </c>
    </row>
    <row r="27" spans="1:14" x14ac:dyDescent="0.25">
      <c r="A27" t="s">
        <v>79</v>
      </c>
      <c r="B27" t="s">
        <v>11</v>
      </c>
      <c r="C27">
        <v>26</v>
      </c>
      <c r="D27" t="s">
        <v>18</v>
      </c>
      <c r="E27" t="s">
        <v>23</v>
      </c>
      <c r="F27" t="s">
        <v>30</v>
      </c>
      <c r="G27">
        <v>1690118</v>
      </c>
      <c r="H27">
        <v>32.26</v>
      </c>
      <c r="I27">
        <v>2.77</v>
      </c>
      <c r="J27" s="1">
        <v>43525</v>
      </c>
      <c r="K27">
        <v>188</v>
      </c>
      <c r="L27">
        <v>7</v>
      </c>
      <c r="M27">
        <v>169011.80000000002</v>
      </c>
      <c r="N27">
        <v>1183082.6000000001</v>
      </c>
    </row>
    <row r="28" spans="1:14" x14ac:dyDescent="0.25">
      <c r="A28" t="s">
        <v>81</v>
      </c>
      <c r="B28" t="s">
        <v>17</v>
      </c>
      <c r="C28">
        <v>22</v>
      </c>
      <c r="D28" t="s">
        <v>46</v>
      </c>
      <c r="E28" t="s">
        <v>23</v>
      </c>
      <c r="F28" t="s">
        <v>41</v>
      </c>
      <c r="G28">
        <v>371419</v>
      </c>
      <c r="H28">
        <v>13.44</v>
      </c>
      <c r="I28">
        <v>32.19</v>
      </c>
      <c r="J28" s="1">
        <v>45054</v>
      </c>
      <c r="K28">
        <v>9</v>
      </c>
      <c r="L28">
        <v>3</v>
      </c>
      <c r="M28">
        <v>37141.9</v>
      </c>
      <c r="N28">
        <v>111425.70000000001</v>
      </c>
    </row>
    <row r="29" spans="1:14" x14ac:dyDescent="0.25">
      <c r="A29" t="s">
        <v>83</v>
      </c>
      <c r="B29" t="s">
        <v>17</v>
      </c>
      <c r="C29">
        <v>49</v>
      </c>
      <c r="D29" t="s">
        <v>12</v>
      </c>
      <c r="E29" t="s">
        <v>13</v>
      </c>
      <c r="F29" t="s">
        <v>41</v>
      </c>
      <c r="G29">
        <v>1864407</v>
      </c>
      <c r="H29">
        <v>17.920000000000002</v>
      </c>
      <c r="I29">
        <v>5.7</v>
      </c>
      <c r="J29" s="1">
        <v>45564</v>
      </c>
      <c r="K29">
        <v>33</v>
      </c>
      <c r="L29">
        <v>1</v>
      </c>
      <c r="M29">
        <v>186440.7</v>
      </c>
      <c r="N29">
        <v>186440.7</v>
      </c>
    </row>
    <row r="30" spans="1:14" x14ac:dyDescent="0.25">
      <c r="A30" t="s">
        <v>85</v>
      </c>
      <c r="B30" t="s">
        <v>11</v>
      </c>
      <c r="C30">
        <v>64</v>
      </c>
      <c r="D30" t="s">
        <v>46</v>
      </c>
      <c r="E30" t="s">
        <v>13</v>
      </c>
      <c r="F30" t="s">
        <v>41</v>
      </c>
      <c r="G30">
        <v>3849343</v>
      </c>
      <c r="H30">
        <v>7.83</v>
      </c>
      <c r="I30">
        <v>0.47</v>
      </c>
      <c r="J30" s="1">
        <v>43622</v>
      </c>
      <c r="K30">
        <v>242</v>
      </c>
      <c r="L30">
        <v>7</v>
      </c>
      <c r="M30">
        <v>384934.30000000005</v>
      </c>
      <c r="N30">
        <v>2694540.1000000006</v>
      </c>
    </row>
    <row r="31" spans="1:14" x14ac:dyDescent="0.25">
      <c r="A31" t="s">
        <v>87</v>
      </c>
      <c r="B31" t="s">
        <v>17</v>
      </c>
      <c r="C31">
        <v>62</v>
      </c>
      <c r="D31" t="s">
        <v>12</v>
      </c>
      <c r="E31" t="s">
        <v>23</v>
      </c>
      <c r="F31" t="s">
        <v>30</v>
      </c>
      <c r="G31">
        <v>478608</v>
      </c>
      <c r="H31">
        <v>30.31</v>
      </c>
      <c r="I31">
        <v>35.46</v>
      </c>
      <c r="J31" s="1">
        <v>43611</v>
      </c>
      <c r="K31">
        <v>224</v>
      </c>
      <c r="L31">
        <v>7</v>
      </c>
      <c r="M31">
        <v>47860.800000000003</v>
      </c>
      <c r="N31">
        <v>335025.60000000003</v>
      </c>
    </row>
    <row r="32" spans="1:14" x14ac:dyDescent="0.25">
      <c r="A32" t="s">
        <v>89</v>
      </c>
      <c r="B32" t="s">
        <v>11</v>
      </c>
      <c r="C32">
        <v>38</v>
      </c>
      <c r="D32" t="s">
        <v>38</v>
      </c>
      <c r="E32" t="s">
        <v>13</v>
      </c>
      <c r="F32" t="s">
        <v>47</v>
      </c>
      <c r="G32">
        <v>1491629</v>
      </c>
      <c r="H32">
        <v>17.54</v>
      </c>
      <c r="I32">
        <v>4.53</v>
      </c>
      <c r="J32" s="1">
        <v>44156</v>
      </c>
      <c r="K32">
        <v>324</v>
      </c>
      <c r="L32">
        <v>5</v>
      </c>
      <c r="M32">
        <v>149162.9</v>
      </c>
      <c r="N32">
        <v>745814.5</v>
      </c>
    </row>
    <row r="33" spans="1:14" x14ac:dyDescent="0.25">
      <c r="A33" t="s">
        <v>91</v>
      </c>
      <c r="B33" t="s">
        <v>11</v>
      </c>
      <c r="C33">
        <v>56</v>
      </c>
      <c r="D33" t="s">
        <v>12</v>
      </c>
      <c r="E33" t="s">
        <v>19</v>
      </c>
      <c r="F33" t="s">
        <v>47</v>
      </c>
      <c r="G33">
        <v>1252552</v>
      </c>
      <c r="H33">
        <v>17.73</v>
      </c>
      <c r="I33">
        <v>-4.96</v>
      </c>
      <c r="J33" s="1">
        <v>44230</v>
      </c>
      <c r="K33">
        <v>57</v>
      </c>
      <c r="L33">
        <v>5</v>
      </c>
      <c r="M33">
        <v>125255.20000000001</v>
      </c>
      <c r="N33">
        <v>626276</v>
      </c>
    </row>
    <row r="34" spans="1:14" x14ac:dyDescent="0.25">
      <c r="A34" t="s">
        <v>93</v>
      </c>
      <c r="B34" t="s">
        <v>17</v>
      </c>
      <c r="C34">
        <v>62</v>
      </c>
      <c r="D34" t="s">
        <v>18</v>
      </c>
      <c r="E34" t="s">
        <v>57</v>
      </c>
      <c r="F34" t="s">
        <v>14</v>
      </c>
      <c r="G34">
        <v>2837100</v>
      </c>
      <c r="H34">
        <v>27.84</v>
      </c>
      <c r="I34">
        <v>24.49</v>
      </c>
      <c r="J34" s="1">
        <v>43537</v>
      </c>
      <c r="K34">
        <v>16</v>
      </c>
      <c r="L34">
        <v>7</v>
      </c>
      <c r="M34">
        <v>283710</v>
      </c>
      <c r="N34">
        <v>1985970</v>
      </c>
    </row>
    <row r="35" spans="1:14" x14ac:dyDescent="0.25">
      <c r="A35" t="s">
        <v>95</v>
      </c>
      <c r="B35" t="s">
        <v>11</v>
      </c>
      <c r="C35">
        <v>59</v>
      </c>
      <c r="D35" t="s">
        <v>46</v>
      </c>
      <c r="E35" t="s">
        <v>13</v>
      </c>
      <c r="F35" t="s">
        <v>41</v>
      </c>
      <c r="G35">
        <v>4614435</v>
      </c>
      <c r="H35">
        <v>6.74</v>
      </c>
      <c r="I35">
        <v>8.9499999999999993</v>
      </c>
      <c r="J35" s="1">
        <v>44633</v>
      </c>
      <c r="K35">
        <v>193</v>
      </c>
      <c r="L35">
        <v>4</v>
      </c>
      <c r="M35">
        <v>461443.5</v>
      </c>
      <c r="N35">
        <v>1845774</v>
      </c>
    </row>
    <row r="36" spans="1:14" x14ac:dyDescent="0.25">
      <c r="A36" t="s">
        <v>97</v>
      </c>
      <c r="B36" t="s">
        <v>17</v>
      </c>
      <c r="C36">
        <v>45</v>
      </c>
      <c r="D36" t="s">
        <v>38</v>
      </c>
      <c r="E36" t="s">
        <v>50</v>
      </c>
      <c r="F36" t="s">
        <v>47</v>
      </c>
      <c r="G36">
        <v>922255</v>
      </c>
      <c r="H36">
        <v>21.03</v>
      </c>
      <c r="I36">
        <v>-0.98</v>
      </c>
      <c r="J36" s="1">
        <v>44294</v>
      </c>
      <c r="K36">
        <v>229</v>
      </c>
      <c r="L36">
        <v>5</v>
      </c>
      <c r="M36">
        <v>92225.5</v>
      </c>
      <c r="N36">
        <v>461127.5</v>
      </c>
    </row>
    <row r="37" spans="1:14" x14ac:dyDescent="0.25">
      <c r="A37" t="s">
        <v>99</v>
      </c>
      <c r="B37" t="s">
        <v>17</v>
      </c>
      <c r="C37">
        <v>58</v>
      </c>
      <c r="D37" t="s">
        <v>46</v>
      </c>
      <c r="E37" t="s">
        <v>13</v>
      </c>
      <c r="F37" t="s">
        <v>41</v>
      </c>
      <c r="G37">
        <v>2844015</v>
      </c>
      <c r="H37">
        <v>28.24</v>
      </c>
      <c r="I37">
        <v>-7.03</v>
      </c>
      <c r="J37" s="1">
        <v>44038</v>
      </c>
      <c r="K37">
        <v>192</v>
      </c>
      <c r="L37">
        <v>5</v>
      </c>
      <c r="M37">
        <v>284401.5</v>
      </c>
      <c r="N37">
        <v>1422007.5</v>
      </c>
    </row>
    <row r="38" spans="1:14" x14ac:dyDescent="0.25">
      <c r="A38" t="s">
        <v>101</v>
      </c>
      <c r="B38" t="s">
        <v>11</v>
      </c>
      <c r="C38">
        <v>56</v>
      </c>
      <c r="D38" t="s">
        <v>46</v>
      </c>
      <c r="E38" t="s">
        <v>50</v>
      </c>
      <c r="F38" t="s">
        <v>14</v>
      </c>
      <c r="G38">
        <v>1471699</v>
      </c>
      <c r="H38">
        <v>19.52</v>
      </c>
      <c r="I38">
        <v>0.11</v>
      </c>
      <c r="J38" s="1">
        <v>43367</v>
      </c>
      <c r="K38">
        <v>251</v>
      </c>
      <c r="L38">
        <v>7</v>
      </c>
      <c r="M38">
        <v>147169.9</v>
      </c>
      <c r="N38">
        <v>1030189.2999999999</v>
      </c>
    </row>
    <row r="39" spans="1:14" x14ac:dyDescent="0.25">
      <c r="A39" t="s">
        <v>103</v>
      </c>
      <c r="B39" t="s">
        <v>17</v>
      </c>
      <c r="C39">
        <v>58</v>
      </c>
      <c r="D39" t="s">
        <v>28</v>
      </c>
      <c r="E39" t="s">
        <v>23</v>
      </c>
      <c r="F39" t="s">
        <v>47</v>
      </c>
      <c r="G39">
        <v>4687548</v>
      </c>
      <c r="H39">
        <v>28.94</v>
      </c>
      <c r="I39">
        <v>-6.55</v>
      </c>
      <c r="J39" s="1">
        <v>44247</v>
      </c>
      <c r="K39">
        <v>303</v>
      </c>
      <c r="L39">
        <v>5</v>
      </c>
      <c r="M39">
        <v>468754.80000000005</v>
      </c>
      <c r="N39">
        <v>2343774</v>
      </c>
    </row>
    <row r="40" spans="1:14" x14ac:dyDescent="0.25">
      <c r="A40" t="s">
        <v>105</v>
      </c>
      <c r="B40" t="s">
        <v>11</v>
      </c>
      <c r="C40">
        <v>46</v>
      </c>
      <c r="D40" t="s">
        <v>38</v>
      </c>
      <c r="E40" t="s">
        <v>29</v>
      </c>
      <c r="F40" t="s">
        <v>35</v>
      </c>
      <c r="G40">
        <v>3453688</v>
      </c>
      <c r="H40">
        <v>32.89</v>
      </c>
      <c r="I40">
        <v>4.54</v>
      </c>
      <c r="J40" s="1">
        <v>43859</v>
      </c>
      <c r="K40">
        <v>96</v>
      </c>
      <c r="L40">
        <v>6</v>
      </c>
      <c r="M40">
        <v>345368.80000000005</v>
      </c>
      <c r="N40">
        <v>2072212.8000000003</v>
      </c>
    </row>
    <row r="41" spans="1:14" x14ac:dyDescent="0.25">
      <c r="A41" t="s">
        <v>107</v>
      </c>
      <c r="B41" t="s">
        <v>11</v>
      </c>
      <c r="C41">
        <v>61</v>
      </c>
      <c r="D41" t="s">
        <v>38</v>
      </c>
      <c r="E41" t="s">
        <v>29</v>
      </c>
      <c r="F41" t="s">
        <v>35</v>
      </c>
      <c r="G41">
        <v>4903718</v>
      </c>
      <c r="H41">
        <v>31.63</v>
      </c>
      <c r="I41">
        <v>-9.5500000000000007</v>
      </c>
      <c r="J41" s="1">
        <v>44786</v>
      </c>
      <c r="K41">
        <v>273</v>
      </c>
      <c r="L41">
        <v>3</v>
      </c>
      <c r="M41">
        <v>490371.80000000005</v>
      </c>
      <c r="N41">
        <v>1471115.4000000001</v>
      </c>
    </row>
    <row r="42" spans="1:14" x14ac:dyDescent="0.25">
      <c r="A42" t="s">
        <v>109</v>
      </c>
      <c r="B42" t="s">
        <v>17</v>
      </c>
      <c r="C42">
        <v>32</v>
      </c>
      <c r="D42" t="s">
        <v>38</v>
      </c>
      <c r="E42" t="s">
        <v>29</v>
      </c>
      <c r="F42" t="s">
        <v>20</v>
      </c>
      <c r="G42">
        <v>4200577</v>
      </c>
      <c r="H42">
        <v>10.46</v>
      </c>
      <c r="I42">
        <v>-0.2</v>
      </c>
      <c r="J42" s="1">
        <v>43622</v>
      </c>
      <c r="K42">
        <v>307</v>
      </c>
      <c r="L42">
        <v>7</v>
      </c>
      <c r="M42">
        <v>420057.7</v>
      </c>
      <c r="N42">
        <v>2940403.9</v>
      </c>
    </row>
    <row r="43" spans="1:14" x14ac:dyDescent="0.25">
      <c r="A43" t="s">
        <v>110</v>
      </c>
      <c r="B43" t="s">
        <v>11</v>
      </c>
      <c r="C43">
        <v>39</v>
      </c>
      <c r="D43" t="s">
        <v>46</v>
      </c>
      <c r="E43" t="s">
        <v>29</v>
      </c>
      <c r="F43" t="s">
        <v>47</v>
      </c>
      <c r="G43">
        <v>159311</v>
      </c>
      <c r="H43">
        <v>32.58</v>
      </c>
      <c r="I43">
        <v>32.35</v>
      </c>
      <c r="J43" s="1">
        <v>43987</v>
      </c>
      <c r="K43">
        <v>77</v>
      </c>
      <c r="L43">
        <v>6</v>
      </c>
      <c r="M43">
        <v>15931.1</v>
      </c>
      <c r="N43">
        <v>95586.6</v>
      </c>
    </row>
    <row r="44" spans="1:14" x14ac:dyDescent="0.25">
      <c r="A44" t="s">
        <v>112</v>
      </c>
      <c r="B44" t="s">
        <v>17</v>
      </c>
      <c r="C44">
        <v>31</v>
      </c>
      <c r="D44" t="s">
        <v>28</v>
      </c>
      <c r="E44" t="s">
        <v>13</v>
      </c>
      <c r="F44" t="s">
        <v>20</v>
      </c>
      <c r="G44">
        <v>2338909</v>
      </c>
      <c r="H44">
        <v>17.23</v>
      </c>
      <c r="I44">
        <v>40.51</v>
      </c>
      <c r="J44" s="1">
        <v>43996</v>
      </c>
      <c r="K44">
        <v>210</v>
      </c>
      <c r="L44">
        <v>6</v>
      </c>
      <c r="M44">
        <v>233890.90000000002</v>
      </c>
      <c r="N44">
        <v>1403345.4000000001</v>
      </c>
    </row>
    <row r="45" spans="1:14" x14ac:dyDescent="0.25">
      <c r="A45" t="s">
        <v>114</v>
      </c>
      <c r="B45" t="s">
        <v>11</v>
      </c>
      <c r="C45">
        <v>51</v>
      </c>
      <c r="D45" t="s">
        <v>28</v>
      </c>
      <c r="E45" t="s">
        <v>57</v>
      </c>
      <c r="F45" t="s">
        <v>35</v>
      </c>
      <c r="G45">
        <v>3994063</v>
      </c>
      <c r="H45">
        <v>6.32</v>
      </c>
      <c r="I45">
        <v>-1.92</v>
      </c>
      <c r="J45" s="1">
        <v>43396</v>
      </c>
      <c r="K45">
        <v>328</v>
      </c>
      <c r="L45">
        <v>7</v>
      </c>
      <c r="M45">
        <v>399406.30000000005</v>
      </c>
      <c r="N45">
        <v>2795844.1000000006</v>
      </c>
    </row>
    <row r="46" spans="1:14" x14ac:dyDescent="0.25">
      <c r="A46" t="s">
        <v>116</v>
      </c>
      <c r="B46" t="s">
        <v>17</v>
      </c>
      <c r="C46">
        <v>60</v>
      </c>
      <c r="D46" t="s">
        <v>12</v>
      </c>
      <c r="E46" t="s">
        <v>57</v>
      </c>
      <c r="F46" t="s">
        <v>41</v>
      </c>
      <c r="G46">
        <v>2724747</v>
      </c>
      <c r="H46">
        <v>9.73</v>
      </c>
      <c r="I46">
        <v>27.83</v>
      </c>
      <c r="J46" s="1">
        <v>44240</v>
      </c>
      <c r="K46">
        <v>46</v>
      </c>
      <c r="L46">
        <v>5</v>
      </c>
      <c r="M46">
        <v>272474.7</v>
      </c>
      <c r="N46">
        <v>1362373.5</v>
      </c>
    </row>
    <row r="47" spans="1:14" x14ac:dyDescent="0.25">
      <c r="A47" t="s">
        <v>118</v>
      </c>
      <c r="B47" t="s">
        <v>11</v>
      </c>
      <c r="C47">
        <v>59</v>
      </c>
      <c r="D47" t="s">
        <v>18</v>
      </c>
      <c r="E47" t="s">
        <v>29</v>
      </c>
      <c r="F47" t="s">
        <v>35</v>
      </c>
      <c r="G47">
        <v>4011666</v>
      </c>
      <c r="H47">
        <v>30.94</v>
      </c>
      <c r="I47">
        <v>20.65</v>
      </c>
      <c r="J47" s="1">
        <v>45036</v>
      </c>
      <c r="K47">
        <v>342</v>
      </c>
      <c r="L47">
        <v>3</v>
      </c>
      <c r="M47">
        <v>401166.60000000003</v>
      </c>
      <c r="N47">
        <v>1203499.8</v>
      </c>
    </row>
    <row r="48" spans="1:14" x14ac:dyDescent="0.25">
      <c r="A48" t="s">
        <v>120</v>
      </c>
      <c r="B48" t="s">
        <v>11</v>
      </c>
      <c r="C48">
        <v>65</v>
      </c>
      <c r="D48" t="s">
        <v>28</v>
      </c>
      <c r="E48" t="s">
        <v>19</v>
      </c>
      <c r="F48" t="s">
        <v>41</v>
      </c>
      <c r="G48">
        <v>3090675</v>
      </c>
      <c r="H48">
        <v>22.66</v>
      </c>
      <c r="I48">
        <v>32.31</v>
      </c>
      <c r="J48" s="1">
        <v>45271</v>
      </c>
      <c r="K48">
        <v>110</v>
      </c>
      <c r="L48">
        <v>2</v>
      </c>
      <c r="M48">
        <v>309067.5</v>
      </c>
      <c r="N48">
        <v>618135</v>
      </c>
    </row>
    <row r="49" spans="1:14" x14ac:dyDescent="0.25">
      <c r="A49" t="s">
        <v>122</v>
      </c>
      <c r="B49" t="s">
        <v>17</v>
      </c>
      <c r="C49">
        <v>25</v>
      </c>
      <c r="D49" t="s">
        <v>12</v>
      </c>
      <c r="E49" t="s">
        <v>57</v>
      </c>
      <c r="F49" t="s">
        <v>20</v>
      </c>
      <c r="G49">
        <v>4649690</v>
      </c>
      <c r="H49">
        <v>8.5399999999999991</v>
      </c>
      <c r="I49">
        <v>36.54</v>
      </c>
      <c r="J49" s="1">
        <v>44018</v>
      </c>
      <c r="K49">
        <v>336</v>
      </c>
      <c r="L49">
        <v>6</v>
      </c>
      <c r="M49">
        <v>464969</v>
      </c>
      <c r="N49">
        <v>2789814</v>
      </c>
    </row>
    <row r="50" spans="1:14" x14ac:dyDescent="0.25">
      <c r="A50" t="s">
        <v>124</v>
      </c>
      <c r="B50" t="s">
        <v>11</v>
      </c>
      <c r="C50">
        <v>51</v>
      </c>
      <c r="D50" t="s">
        <v>12</v>
      </c>
      <c r="E50" t="s">
        <v>50</v>
      </c>
      <c r="F50" t="s">
        <v>47</v>
      </c>
      <c r="G50">
        <v>2033509</v>
      </c>
      <c r="H50">
        <v>11.56</v>
      </c>
      <c r="I50">
        <v>36.92</v>
      </c>
      <c r="J50" s="1">
        <v>45234</v>
      </c>
      <c r="K50">
        <v>148</v>
      </c>
      <c r="L50">
        <v>2</v>
      </c>
      <c r="M50">
        <v>203350.90000000002</v>
      </c>
      <c r="N50">
        <v>406701.80000000005</v>
      </c>
    </row>
    <row r="51" spans="1:14" x14ac:dyDescent="0.25">
      <c r="A51" t="s">
        <v>126</v>
      </c>
      <c r="B51" t="s">
        <v>11</v>
      </c>
      <c r="C51">
        <v>49</v>
      </c>
      <c r="D51" t="s">
        <v>46</v>
      </c>
      <c r="E51" t="s">
        <v>23</v>
      </c>
      <c r="F51" t="s">
        <v>41</v>
      </c>
      <c r="G51">
        <v>2583484</v>
      </c>
      <c r="H51">
        <v>13.83</v>
      </c>
      <c r="I51">
        <v>34.81</v>
      </c>
      <c r="J51" s="1">
        <v>43895</v>
      </c>
      <c r="K51">
        <v>22</v>
      </c>
      <c r="L51">
        <v>6</v>
      </c>
      <c r="M51">
        <v>258348.40000000002</v>
      </c>
      <c r="N51">
        <v>1550090.4000000001</v>
      </c>
    </row>
    <row r="52" spans="1:14" x14ac:dyDescent="0.25">
      <c r="A52" t="s">
        <v>128</v>
      </c>
      <c r="B52" t="s">
        <v>11</v>
      </c>
      <c r="C52">
        <v>50</v>
      </c>
      <c r="D52" t="s">
        <v>12</v>
      </c>
      <c r="E52" t="s">
        <v>13</v>
      </c>
      <c r="F52" t="s">
        <v>20</v>
      </c>
      <c r="G52">
        <v>4573125</v>
      </c>
      <c r="H52">
        <v>11.49</v>
      </c>
      <c r="I52">
        <v>40.71</v>
      </c>
      <c r="J52" s="1">
        <v>43360</v>
      </c>
      <c r="K52">
        <v>109</v>
      </c>
      <c r="L52">
        <v>7</v>
      </c>
      <c r="M52">
        <v>457312.5</v>
      </c>
      <c r="N52">
        <v>3201187.5</v>
      </c>
    </row>
    <row r="53" spans="1:14" x14ac:dyDescent="0.25">
      <c r="A53" t="s">
        <v>130</v>
      </c>
      <c r="B53" t="s">
        <v>17</v>
      </c>
      <c r="C53">
        <v>25</v>
      </c>
      <c r="D53" t="s">
        <v>28</v>
      </c>
      <c r="E53" t="s">
        <v>57</v>
      </c>
      <c r="F53" t="s">
        <v>30</v>
      </c>
      <c r="G53">
        <v>538827</v>
      </c>
      <c r="H53">
        <v>32.17</v>
      </c>
      <c r="I53">
        <v>16.75</v>
      </c>
      <c r="J53" s="1">
        <v>44993</v>
      </c>
      <c r="K53">
        <v>168</v>
      </c>
      <c r="L53">
        <v>3</v>
      </c>
      <c r="M53">
        <v>53882.700000000004</v>
      </c>
      <c r="N53">
        <v>161648.1</v>
      </c>
    </row>
    <row r="54" spans="1:14" x14ac:dyDescent="0.25">
      <c r="A54" t="s">
        <v>132</v>
      </c>
      <c r="B54" t="s">
        <v>11</v>
      </c>
      <c r="C54">
        <v>49</v>
      </c>
      <c r="D54" t="s">
        <v>46</v>
      </c>
      <c r="E54" t="s">
        <v>13</v>
      </c>
      <c r="F54" t="s">
        <v>41</v>
      </c>
      <c r="G54">
        <v>4010554</v>
      </c>
      <c r="H54">
        <v>9.36</v>
      </c>
      <c r="I54">
        <v>-0.02</v>
      </c>
      <c r="J54" s="1">
        <v>43734</v>
      </c>
      <c r="K54">
        <v>251</v>
      </c>
      <c r="L54">
        <v>6</v>
      </c>
      <c r="M54">
        <v>401055.4</v>
      </c>
      <c r="N54">
        <v>2406332.4000000004</v>
      </c>
    </row>
    <row r="55" spans="1:14" x14ac:dyDescent="0.25">
      <c r="A55" t="s">
        <v>134</v>
      </c>
      <c r="B55" t="s">
        <v>11</v>
      </c>
      <c r="C55">
        <v>41</v>
      </c>
      <c r="D55" t="s">
        <v>18</v>
      </c>
      <c r="E55" t="s">
        <v>13</v>
      </c>
      <c r="F55" t="s">
        <v>30</v>
      </c>
      <c r="G55">
        <v>1230298</v>
      </c>
      <c r="H55">
        <v>17.22</v>
      </c>
      <c r="I55">
        <v>29.25</v>
      </c>
      <c r="J55" s="1">
        <v>43851</v>
      </c>
      <c r="K55">
        <v>64</v>
      </c>
      <c r="L55">
        <v>6</v>
      </c>
      <c r="M55">
        <v>123029.8</v>
      </c>
      <c r="N55">
        <v>738178.8</v>
      </c>
    </row>
    <row r="56" spans="1:14" x14ac:dyDescent="0.25">
      <c r="A56" t="s">
        <v>136</v>
      </c>
      <c r="B56" t="s">
        <v>11</v>
      </c>
      <c r="C56">
        <v>42</v>
      </c>
      <c r="D56" t="s">
        <v>28</v>
      </c>
      <c r="E56" t="s">
        <v>57</v>
      </c>
      <c r="F56" t="s">
        <v>35</v>
      </c>
      <c r="G56">
        <v>1370157</v>
      </c>
      <c r="H56">
        <v>34.619999999999997</v>
      </c>
      <c r="I56">
        <v>21.87</v>
      </c>
      <c r="J56" s="1">
        <v>44513</v>
      </c>
      <c r="K56">
        <v>286</v>
      </c>
      <c r="L56">
        <v>4</v>
      </c>
      <c r="M56">
        <v>137015.70000000001</v>
      </c>
      <c r="N56">
        <v>548062.80000000005</v>
      </c>
    </row>
    <row r="57" spans="1:14" x14ac:dyDescent="0.25">
      <c r="A57" t="s">
        <v>138</v>
      </c>
      <c r="B57" t="s">
        <v>11</v>
      </c>
      <c r="C57">
        <v>57</v>
      </c>
      <c r="D57" t="s">
        <v>12</v>
      </c>
      <c r="E57" t="s">
        <v>19</v>
      </c>
      <c r="F57" t="s">
        <v>14</v>
      </c>
      <c r="G57">
        <v>829336</v>
      </c>
      <c r="H57">
        <v>20.54</v>
      </c>
      <c r="I57">
        <v>4.93</v>
      </c>
      <c r="J57" s="1">
        <v>45486</v>
      </c>
      <c r="K57">
        <v>181</v>
      </c>
      <c r="L57">
        <v>2</v>
      </c>
      <c r="M57">
        <v>82933.600000000006</v>
      </c>
      <c r="N57">
        <v>165867.20000000001</v>
      </c>
    </row>
    <row r="58" spans="1:14" x14ac:dyDescent="0.25">
      <c r="A58" t="s">
        <v>140</v>
      </c>
      <c r="B58" t="s">
        <v>11</v>
      </c>
      <c r="C58">
        <v>56</v>
      </c>
      <c r="D58" t="s">
        <v>38</v>
      </c>
      <c r="E58" t="s">
        <v>50</v>
      </c>
      <c r="F58" t="s">
        <v>14</v>
      </c>
      <c r="G58">
        <v>3596642</v>
      </c>
      <c r="H58">
        <v>19.86</v>
      </c>
      <c r="I58">
        <v>42.19</v>
      </c>
      <c r="J58" s="1">
        <v>44364</v>
      </c>
      <c r="K58">
        <v>271</v>
      </c>
      <c r="L58">
        <v>5</v>
      </c>
      <c r="M58">
        <v>359664.2</v>
      </c>
      <c r="N58">
        <v>1798321</v>
      </c>
    </row>
    <row r="59" spans="1:14" x14ac:dyDescent="0.25">
      <c r="A59" t="s">
        <v>142</v>
      </c>
      <c r="B59" t="s">
        <v>11</v>
      </c>
      <c r="C59">
        <v>61</v>
      </c>
      <c r="D59" t="s">
        <v>18</v>
      </c>
      <c r="E59" t="s">
        <v>13</v>
      </c>
      <c r="F59" t="s">
        <v>14</v>
      </c>
      <c r="G59">
        <v>2610729</v>
      </c>
      <c r="H59">
        <v>26.23</v>
      </c>
      <c r="I59">
        <v>15.15</v>
      </c>
      <c r="J59" s="1">
        <v>45276</v>
      </c>
      <c r="K59">
        <v>34</v>
      </c>
      <c r="L59">
        <v>2</v>
      </c>
      <c r="M59">
        <v>261072.90000000002</v>
      </c>
      <c r="N59">
        <v>522145.80000000005</v>
      </c>
    </row>
    <row r="60" spans="1:14" x14ac:dyDescent="0.25">
      <c r="A60" t="s">
        <v>144</v>
      </c>
      <c r="B60" t="s">
        <v>11</v>
      </c>
      <c r="C60">
        <v>46</v>
      </c>
      <c r="D60" t="s">
        <v>18</v>
      </c>
      <c r="E60" t="s">
        <v>29</v>
      </c>
      <c r="F60" t="s">
        <v>20</v>
      </c>
      <c r="G60">
        <v>322367</v>
      </c>
      <c r="H60">
        <v>14.47</v>
      </c>
      <c r="I60">
        <v>4.59</v>
      </c>
      <c r="J60" s="1">
        <v>43497</v>
      </c>
      <c r="K60">
        <v>290</v>
      </c>
      <c r="L60">
        <v>7</v>
      </c>
      <c r="M60">
        <v>32236.7</v>
      </c>
      <c r="N60">
        <v>225656.9</v>
      </c>
    </row>
    <row r="61" spans="1:14" x14ac:dyDescent="0.25">
      <c r="A61" t="s">
        <v>146</v>
      </c>
      <c r="B61" t="s">
        <v>17</v>
      </c>
      <c r="C61">
        <v>47</v>
      </c>
      <c r="D61" t="s">
        <v>46</v>
      </c>
      <c r="E61" t="s">
        <v>23</v>
      </c>
      <c r="F61" t="s">
        <v>35</v>
      </c>
      <c r="G61">
        <v>2216627</v>
      </c>
      <c r="H61">
        <v>9.1999999999999993</v>
      </c>
      <c r="I61">
        <v>24.56</v>
      </c>
      <c r="J61" s="1">
        <v>43309</v>
      </c>
      <c r="K61">
        <v>139</v>
      </c>
      <c r="L61">
        <v>7</v>
      </c>
      <c r="M61">
        <v>221662.7</v>
      </c>
      <c r="N61">
        <v>1551638.9000000001</v>
      </c>
    </row>
    <row r="62" spans="1:14" x14ac:dyDescent="0.25">
      <c r="A62" t="s">
        <v>148</v>
      </c>
      <c r="B62" t="s">
        <v>17</v>
      </c>
      <c r="C62">
        <v>29</v>
      </c>
      <c r="D62" t="s">
        <v>12</v>
      </c>
      <c r="E62" t="s">
        <v>50</v>
      </c>
      <c r="F62" t="s">
        <v>20</v>
      </c>
      <c r="G62">
        <v>4831265</v>
      </c>
      <c r="H62">
        <v>20.65</v>
      </c>
      <c r="I62">
        <v>-8.3800000000000008</v>
      </c>
      <c r="J62" s="1">
        <v>44197</v>
      </c>
      <c r="K62">
        <v>323</v>
      </c>
      <c r="L62">
        <v>5</v>
      </c>
      <c r="M62">
        <v>483126.5</v>
      </c>
      <c r="N62">
        <v>2415632.5</v>
      </c>
    </row>
    <row r="63" spans="1:14" x14ac:dyDescent="0.25">
      <c r="A63" t="s">
        <v>150</v>
      </c>
      <c r="B63" t="s">
        <v>17</v>
      </c>
      <c r="C63">
        <v>51</v>
      </c>
      <c r="D63" t="s">
        <v>38</v>
      </c>
      <c r="E63" t="s">
        <v>23</v>
      </c>
      <c r="F63" t="s">
        <v>47</v>
      </c>
      <c r="G63">
        <v>1304969</v>
      </c>
      <c r="H63">
        <v>32.159999999999997</v>
      </c>
      <c r="I63">
        <v>5.99</v>
      </c>
      <c r="J63" s="1">
        <v>44801</v>
      </c>
      <c r="K63">
        <v>292</v>
      </c>
      <c r="L63">
        <v>3</v>
      </c>
      <c r="M63">
        <v>130496.90000000001</v>
      </c>
      <c r="N63">
        <v>391490.7</v>
      </c>
    </row>
    <row r="64" spans="1:14" x14ac:dyDescent="0.25">
      <c r="A64" t="s">
        <v>152</v>
      </c>
      <c r="B64" t="s">
        <v>17</v>
      </c>
      <c r="C64">
        <v>56</v>
      </c>
      <c r="D64" t="s">
        <v>38</v>
      </c>
      <c r="E64" t="s">
        <v>29</v>
      </c>
      <c r="F64" t="s">
        <v>41</v>
      </c>
      <c r="G64">
        <v>2249420</v>
      </c>
      <c r="H64">
        <v>10.33</v>
      </c>
      <c r="I64">
        <v>-8.77</v>
      </c>
      <c r="J64" s="1">
        <v>43351</v>
      </c>
      <c r="K64">
        <v>124</v>
      </c>
      <c r="L64">
        <v>7</v>
      </c>
      <c r="M64">
        <v>224942</v>
      </c>
      <c r="N64">
        <v>1574594</v>
      </c>
    </row>
    <row r="65" spans="1:14" x14ac:dyDescent="0.25">
      <c r="A65" t="s">
        <v>154</v>
      </c>
      <c r="B65" t="s">
        <v>11</v>
      </c>
      <c r="C65">
        <v>36</v>
      </c>
      <c r="D65" t="s">
        <v>38</v>
      </c>
      <c r="E65" t="s">
        <v>19</v>
      </c>
      <c r="F65" t="s">
        <v>35</v>
      </c>
      <c r="G65">
        <v>1622417</v>
      </c>
      <c r="H65">
        <v>16.89</v>
      </c>
      <c r="I65">
        <v>6.19</v>
      </c>
      <c r="J65" s="1">
        <v>44273</v>
      </c>
      <c r="K65">
        <v>55</v>
      </c>
      <c r="L65">
        <v>5</v>
      </c>
      <c r="M65">
        <v>162241.70000000001</v>
      </c>
      <c r="N65">
        <v>811208.5</v>
      </c>
    </row>
    <row r="66" spans="1:14" x14ac:dyDescent="0.25">
      <c r="A66" t="s">
        <v>156</v>
      </c>
      <c r="B66" t="s">
        <v>11</v>
      </c>
      <c r="C66">
        <v>30</v>
      </c>
      <c r="D66" t="s">
        <v>12</v>
      </c>
      <c r="E66" t="s">
        <v>29</v>
      </c>
      <c r="F66" t="s">
        <v>20</v>
      </c>
      <c r="G66">
        <v>3817993</v>
      </c>
      <c r="H66">
        <v>10.82</v>
      </c>
      <c r="I66">
        <v>-6.46</v>
      </c>
      <c r="J66" s="1">
        <v>43500</v>
      </c>
      <c r="K66">
        <v>341</v>
      </c>
      <c r="L66">
        <v>7</v>
      </c>
      <c r="M66">
        <v>381799.30000000005</v>
      </c>
      <c r="N66">
        <v>2672595.1000000006</v>
      </c>
    </row>
    <row r="67" spans="1:14" x14ac:dyDescent="0.25">
      <c r="A67" t="s">
        <v>158</v>
      </c>
      <c r="B67" t="s">
        <v>11</v>
      </c>
      <c r="C67">
        <v>47</v>
      </c>
      <c r="D67" t="s">
        <v>12</v>
      </c>
      <c r="E67" t="s">
        <v>50</v>
      </c>
      <c r="F67" t="s">
        <v>30</v>
      </c>
      <c r="G67">
        <v>3814896</v>
      </c>
      <c r="H67">
        <v>25.51</v>
      </c>
      <c r="I67">
        <v>-7.96</v>
      </c>
      <c r="J67" s="1">
        <v>44694</v>
      </c>
      <c r="K67">
        <v>161</v>
      </c>
      <c r="L67">
        <v>4</v>
      </c>
      <c r="M67">
        <v>381489.60000000003</v>
      </c>
      <c r="N67">
        <v>1525958.4000000001</v>
      </c>
    </row>
    <row r="68" spans="1:14" x14ac:dyDescent="0.25">
      <c r="A68" t="s">
        <v>160</v>
      </c>
      <c r="B68" t="s">
        <v>11</v>
      </c>
      <c r="C68">
        <v>61</v>
      </c>
      <c r="D68" t="s">
        <v>38</v>
      </c>
      <c r="E68" t="s">
        <v>50</v>
      </c>
      <c r="F68" t="s">
        <v>41</v>
      </c>
      <c r="G68">
        <v>650198</v>
      </c>
      <c r="H68">
        <v>27.54</v>
      </c>
      <c r="I68">
        <v>22.64</v>
      </c>
      <c r="J68" s="1">
        <v>45433</v>
      </c>
      <c r="K68">
        <v>358</v>
      </c>
      <c r="L68">
        <v>2</v>
      </c>
      <c r="M68">
        <v>65019.8</v>
      </c>
      <c r="N68">
        <v>130039.6</v>
      </c>
    </row>
    <row r="69" spans="1:14" x14ac:dyDescent="0.25">
      <c r="A69" t="s">
        <v>162</v>
      </c>
      <c r="B69" t="s">
        <v>11</v>
      </c>
      <c r="C69">
        <v>39</v>
      </c>
      <c r="D69" t="s">
        <v>38</v>
      </c>
      <c r="E69" t="s">
        <v>23</v>
      </c>
      <c r="F69" t="s">
        <v>30</v>
      </c>
      <c r="G69">
        <v>3070542</v>
      </c>
      <c r="H69">
        <v>16.559999999999999</v>
      </c>
      <c r="I69">
        <v>31.4</v>
      </c>
      <c r="J69" s="1">
        <v>45423</v>
      </c>
      <c r="K69">
        <v>120</v>
      </c>
      <c r="L69">
        <v>2</v>
      </c>
      <c r="M69">
        <v>307054.2</v>
      </c>
      <c r="N69">
        <v>614108.4</v>
      </c>
    </row>
    <row r="70" spans="1:14" x14ac:dyDescent="0.25">
      <c r="A70" t="s">
        <v>164</v>
      </c>
      <c r="B70" t="s">
        <v>11</v>
      </c>
      <c r="C70">
        <v>52</v>
      </c>
      <c r="D70" t="s">
        <v>18</v>
      </c>
      <c r="E70" t="s">
        <v>23</v>
      </c>
      <c r="F70" t="s">
        <v>41</v>
      </c>
      <c r="G70">
        <v>4820709</v>
      </c>
      <c r="H70">
        <v>12.48</v>
      </c>
      <c r="I70">
        <v>17.97</v>
      </c>
      <c r="J70" s="1">
        <v>44294</v>
      </c>
      <c r="K70">
        <v>110</v>
      </c>
      <c r="L70">
        <v>5</v>
      </c>
      <c r="M70">
        <v>482070.9</v>
      </c>
      <c r="N70">
        <v>2410354.5</v>
      </c>
    </row>
    <row r="71" spans="1:14" x14ac:dyDescent="0.25">
      <c r="A71" t="s">
        <v>165</v>
      </c>
      <c r="B71" t="s">
        <v>17</v>
      </c>
      <c r="C71">
        <v>65</v>
      </c>
      <c r="D71" t="s">
        <v>38</v>
      </c>
      <c r="E71" t="s">
        <v>13</v>
      </c>
      <c r="F71" t="s">
        <v>30</v>
      </c>
      <c r="G71">
        <v>2411477</v>
      </c>
      <c r="H71">
        <v>25</v>
      </c>
      <c r="I71">
        <v>5.77</v>
      </c>
      <c r="J71" s="1">
        <v>44852</v>
      </c>
      <c r="K71">
        <v>243</v>
      </c>
      <c r="L71">
        <v>3</v>
      </c>
      <c r="M71">
        <v>241147.7</v>
      </c>
      <c r="N71">
        <v>723443.10000000009</v>
      </c>
    </row>
    <row r="72" spans="1:14" x14ac:dyDescent="0.25">
      <c r="A72" t="s">
        <v>167</v>
      </c>
      <c r="B72" t="s">
        <v>17</v>
      </c>
      <c r="C72">
        <v>39</v>
      </c>
      <c r="D72" t="s">
        <v>38</v>
      </c>
      <c r="E72" t="s">
        <v>29</v>
      </c>
      <c r="F72" t="s">
        <v>20</v>
      </c>
      <c r="G72">
        <v>1350073</v>
      </c>
      <c r="H72">
        <v>34.29</v>
      </c>
      <c r="I72">
        <v>-5.44</v>
      </c>
      <c r="J72" s="1">
        <v>45348</v>
      </c>
      <c r="K72">
        <v>127</v>
      </c>
      <c r="L72">
        <v>2</v>
      </c>
      <c r="M72">
        <v>135007.30000000002</v>
      </c>
      <c r="N72">
        <v>270014.60000000003</v>
      </c>
    </row>
    <row r="73" spans="1:14" x14ac:dyDescent="0.25">
      <c r="A73" t="s">
        <v>169</v>
      </c>
      <c r="B73" t="s">
        <v>11</v>
      </c>
      <c r="C73">
        <v>46</v>
      </c>
      <c r="D73" t="s">
        <v>28</v>
      </c>
      <c r="E73" t="s">
        <v>23</v>
      </c>
      <c r="F73" t="s">
        <v>14</v>
      </c>
      <c r="G73">
        <v>3695521</v>
      </c>
      <c r="H73">
        <v>7.06</v>
      </c>
      <c r="I73">
        <v>3.32</v>
      </c>
      <c r="J73" s="1">
        <v>44336</v>
      </c>
      <c r="K73">
        <v>30</v>
      </c>
      <c r="L73">
        <v>5</v>
      </c>
      <c r="M73">
        <v>369552.10000000003</v>
      </c>
      <c r="N73">
        <v>1847760.5000000002</v>
      </c>
    </row>
    <row r="74" spans="1:14" x14ac:dyDescent="0.25">
      <c r="A74" t="s">
        <v>171</v>
      </c>
      <c r="B74" t="s">
        <v>17</v>
      </c>
      <c r="C74">
        <v>46</v>
      </c>
      <c r="D74" t="s">
        <v>46</v>
      </c>
      <c r="E74" t="s">
        <v>23</v>
      </c>
      <c r="F74" t="s">
        <v>41</v>
      </c>
      <c r="G74">
        <v>1786322</v>
      </c>
      <c r="H74">
        <v>15.39</v>
      </c>
      <c r="I74">
        <v>42.2</v>
      </c>
      <c r="J74" s="1">
        <v>43458</v>
      </c>
      <c r="K74">
        <v>66</v>
      </c>
      <c r="L74">
        <v>7</v>
      </c>
      <c r="M74">
        <v>178632.2</v>
      </c>
      <c r="N74">
        <v>1250425.4000000001</v>
      </c>
    </row>
    <row r="75" spans="1:14" x14ac:dyDescent="0.25">
      <c r="A75" t="s">
        <v>173</v>
      </c>
      <c r="B75" t="s">
        <v>11</v>
      </c>
      <c r="C75">
        <v>21</v>
      </c>
      <c r="D75" t="s">
        <v>12</v>
      </c>
      <c r="E75" t="s">
        <v>19</v>
      </c>
      <c r="F75" t="s">
        <v>14</v>
      </c>
      <c r="G75">
        <v>3834745</v>
      </c>
      <c r="H75">
        <v>25.42</v>
      </c>
      <c r="I75">
        <v>-7.4</v>
      </c>
      <c r="J75" s="1">
        <v>44175</v>
      </c>
      <c r="K75">
        <v>228</v>
      </c>
      <c r="L75">
        <v>5</v>
      </c>
      <c r="M75">
        <v>383474.5</v>
      </c>
      <c r="N75">
        <v>1917372.5</v>
      </c>
    </row>
    <row r="76" spans="1:14" x14ac:dyDescent="0.25">
      <c r="A76" t="s">
        <v>175</v>
      </c>
      <c r="B76" t="s">
        <v>11</v>
      </c>
      <c r="C76">
        <v>54</v>
      </c>
      <c r="D76" t="s">
        <v>12</v>
      </c>
      <c r="E76" t="s">
        <v>23</v>
      </c>
      <c r="F76" t="s">
        <v>14</v>
      </c>
      <c r="G76">
        <v>1652043</v>
      </c>
      <c r="H76">
        <v>11.73</v>
      </c>
      <c r="I76">
        <v>30.18</v>
      </c>
      <c r="J76" s="1">
        <v>43970</v>
      </c>
      <c r="K76">
        <v>252</v>
      </c>
      <c r="L76">
        <v>6</v>
      </c>
      <c r="M76">
        <v>165204.30000000002</v>
      </c>
      <c r="N76">
        <v>991225.8</v>
      </c>
    </row>
    <row r="77" spans="1:14" x14ac:dyDescent="0.25">
      <c r="A77" t="s">
        <v>177</v>
      </c>
      <c r="B77" t="s">
        <v>11</v>
      </c>
      <c r="C77">
        <v>48</v>
      </c>
      <c r="D77" t="s">
        <v>28</v>
      </c>
      <c r="E77" t="s">
        <v>19</v>
      </c>
      <c r="F77" t="s">
        <v>35</v>
      </c>
      <c r="G77">
        <v>3122025</v>
      </c>
      <c r="H77">
        <v>18.54</v>
      </c>
      <c r="I77">
        <v>-2.58</v>
      </c>
      <c r="J77" s="1">
        <v>44828</v>
      </c>
      <c r="K77">
        <v>54</v>
      </c>
      <c r="L77">
        <v>3</v>
      </c>
      <c r="M77">
        <v>312202.5</v>
      </c>
      <c r="N77">
        <v>936607.5</v>
      </c>
    </row>
    <row r="78" spans="1:14" x14ac:dyDescent="0.25">
      <c r="A78" t="s">
        <v>179</v>
      </c>
      <c r="B78" t="s">
        <v>17</v>
      </c>
      <c r="C78">
        <v>52</v>
      </c>
      <c r="D78" t="s">
        <v>46</v>
      </c>
      <c r="E78" t="s">
        <v>13</v>
      </c>
      <c r="F78" t="s">
        <v>41</v>
      </c>
      <c r="G78">
        <v>4270793</v>
      </c>
      <c r="H78">
        <v>9.07</v>
      </c>
      <c r="I78">
        <v>31.13</v>
      </c>
      <c r="J78" s="1">
        <v>45478</v>
      </c>
      <c r="K78">
        <v>51</v>
      </c>
      <c r="L78">
        <v>2</v>
      </c>
      <c r="M78">
        <v>427079.30000000005</v>
      </c>
      <c r="N78">
        <v>854158.60000000009</v>
      </c>
    </row>
    <row r="79" spans="1:14" x14ac:dyDescent="0.25">
      <c r="A79" t="s">
        <v>181</v>
      </c>
      <c r="B79" t="s">
        <v>17</v>
      </c>
      <c r="C79">
        <v>63</v>
      </c>
      <c r="D79" t="s">
        <v>18</v>
      </c>
      <c r="E79" t="s">
        <v>23</v>
      </c>
      <c r="F79" t="s">
        <v>14</v>
      </c>
      <c r="G79">
        <v>4063475</v>
      </c>
      <c r="H79">
        <v>30.51</v>
      </c>
      <c r="I79">
        <v>-4.46</v>
      </c>
      <c r="J79" s="1">
        <v>44354</v>
      </c>
      <c r="K79">
        <v>245</v>
      </c>
      <c r="L79">
        <v>5</v>
      </c>
      <c r="M79">
        <v>406347.5</v>
      </c>
      <c r="N79">
        <v>2031737.5</v>
      </c>
    </row>
    <row r="80" spans="1:14" x14ac:dyDescent="0.25">
      <c r="A80" t="s">
        <v>183</v>
      </c>
      <c r="B80" t="s">
        <v>17</v>
      </c>
      <c r="C80">
        <v>60</v>
      </c>
      <c r="D80" t="s">
        <v>28</v>
      </c>
      <c r="E80" t="s">
        <v>57</v>
      </c>
      <c r="F80" t="s">
        <v>47</v>
      </c>
      <c r="G80">
        <v>1589934</v>
      </c>
      <c r="H80">
        <v>6.13</v>
      </c>
      <c r="I80">
        <v>36.5</v>
      </c>
      <c r="J80" s="1">
        <v>45552</v>
      </c>
      <c r="K80">
        <v>206</v>
      </c>
      <c r="L80">
        <v>1</v>
      </c>
      <c r="M80">
        <v>158993.40000000002</v>
      </c>
      <c r="N80">
        <v>158993.40000000002</v>
      </c>
    </row>
    <row r="81" spans="1:14" x14ac:dyDescent="0.25">
      <c r="A81" t="s">
        <v>185</v>
      </c>
      <c r="B81" t="s">
        <v>11</v>
      </c>
      <c r="C81">
        <v>63</v>
      </c>
      <c r="D81" t="s">
        <v>12</v>
      </c>
      <c r="E81" t="s">
        <v>23</v>
      </c>
      <c r="F81" t="s">
        <v>30</v>
      </c>
      <c r="G81">
        <v>2477026</v>
      </c>
      <c r="H81">
        <v>12.08</v>
      </c>
      <c r="I81">
        <v>5.36</v>
      </c>
      <c r="J81" s="1">
        <v>43141</v>
      </c>
      <c r="K81">
        <v>121</v>
      </c>
      <c r="L81">
        <v>8</v>
      </c>
      <c r="M81">
        <v>247702.6</v>
      </c>
      <c r="N81">
        <v>1981620.8</v>
      </c>
    </row>
    <row r="82" spans="1:14" x14ac:dyDescent="0.25">
      <c r="A82" t="s">
        <v>187</v>
      </c>
      <c r="B82" t="s">
        <v>17</v>
      </c>
      <c r="C82">
        <v>36</v>
      </c>
      <c r="D82" t="s">
        <v>38</v>
      </c>
      <c r="E82" t="s">
        <v>23</v>
      </c>
      <c r="F82" t="s">
        <v>20</v>
      </c>
      <c r="G82">
        <v>3119731</v>
      </c>
      <c r="H82">
        <v>25.35</v>
      </c>
      <c r="I82">
        <v>14.61</v>
      </c>
      <c r="J82" s="1">
        <v>44108</v>
      </c>
      <c r="K82">
        <v>124</v>
      </c>
      <c r="L82">
        <v>5</v>
      </c>
      <c r="M82">
        <v>311973.10000000003</v>
      </c>
      <c r="N82">
        <v>1559865.5000000002</v>
      </c>
    </row>
    <row r="83" spans="1:14" x14ac:dyDescent="0.25">
      <c r="A83" t="s">
        <v>189</v>
      </c>
      <c r="B83" t="s">
        <v>11</v>
      </c>
      <c r="C83">
        <v>42</v>
      </c>
      <c r="D83" t="s">
        <v>46</v>
      </c>
      <c r="E83" t="s">
        <v>13</v>
      </c>
      <c r="F83" t="s">
        <v>47</v>
      </c>
      <c r="G83">
        <v>2758892</v>
      </c>
      <c r="H83">
        <v>5.89</v>
      </c>
      <c r="I83">
        <v>36.659999999999997</v>
      </c>
      <c r="J83" s="1">
        <v>43200</v>
      </c>
      <c r="K83">
        <v>312</v>
      </c>
      <c r="L83">
        <v>8</v>
      </c>
      <c r="M83">
        <v>275889.2</v>
      </c>
      <c r="N83">
        <v>2207113.6</v>
      </c>
    </row>
    <row r="84" spans="1:14" x14ac:dyDescent="0.25">
      <c r="A84" t="s">
        <v>191</v>
      </c>
      <c r="B84" t="s">
        <v>17</v>
      </c>
      <c r="C84">
        <v>52</v>
      </c>
      <c r="D84" t="s">
        <v>28</v>
      </c>
      <c r="E84" t="s">
        <v>23</v>
      </c>
      <c r="F84" t="s">
        <v>47</v>
      </c>
      <c r="G84">
        <v>158107</v>
      </c>
      <c r="H84">
        <v>12.85</v>
      </c>
      <c r="I84">
        <v>-9.0399999999999991</v>
      </c>
      <c r="J84" s="1">
        <v>45053</v>
      </c>
      <c r="K84">
        <v>143</v>
      </c>
      <c r="L84">
        <v>3</v>
      </c>
      <c r="M84">
        <v>15810.7</v>
      </c>
      <c r="N84">
        <v>47432.100000000006</v>
      </c>
    </row>
    <row r="85" spans="1:14" x14ac:dyDescent="0.25">
      <c r="A85" t="s">
        <v>193</v>
      </c>
      <c r="B85" t="s">
        <v>11</v>
      </c>
      <c r="C85">
        <v>59</v>
      </c>
      <c r="D85" t="s">
        <v>12</v>
      </c>
      <c r="E85" t="s">
        <v>57</v>
      </c>
      <c r="F85" t="s">
        <v>20</v>
      </c>
      <c r="G85">
        <v>371284</v>
      </c>
      <c r="H85">
        <v>22.3</v>
      </c>
      <c r="I85">
        <v>43.47</v>
      </c>
      <c r="J85" s="1">
        <v>43610</v>
      </c>
      <c r="K85">
        <v>82</v>
      </c>
      <c r="L85">
        <v>7</v>
      </c>
      <c r="M85">
        <v>37128.400000000001</v>
      </c>
      <c r="N85">
        <v>259898.80000000002</v>
      </c>
    </row>
    <row r="86" spans="1:14" x14ac:dyDescent="0.25">
      <c r="A86" t="s">
        <v>195</v>
      </c>
      <c r="B86" t="s">
        <v>11</v>
      </c>
      <c r="C86">
        <v>22</v>
      </c>
      <c r="D86" t="s">
        <v>28</v>
      </c>
      <c r="E86" t="s">
        <v>13</v>
      </c>
      <c r="F86" t="s">
        <v>14</v>
      </c>
      <c r="G86">
        <v>2174141</v>
      </c>
      <c r="H86">
        <v>29.74</v>
      </c>
      <c r="I86">
        <v>-4.6900000000000004</v>
      </c>
      <c r="J86" s="1">
        <v>44837</v>
      </c>
      <c r="K86">
        <v>215</v>
      </c>
      <c r="L86">
        <v>3</v>
      </c>
      <c r="M86">
        <v>217414.1</v>
      </c>
      <c r="N86">
        <v>652242.30000000005</v>
      </c>
    </row>
    <row r="87" spans="1:14" x14ac:dyDescent="0.25">
      <c r="A87" t="s">
        <v>197</v>
      </c>
      <c r="B87" t="s">
        <v>11</v>
      </c>
      <c r="C87">
        <v>24</v>
      </c>
      <c r="D87" t="s">
        <v>28</v>
      </c>
      <c r="E87" t="s">
        <v>23</v>
      </c>
      <c r="F87" t="s">
        <v>20</v>
      </c>
      <c r="G87">
        <v>1595114</v>
      </c>
      <c r="H87">
        <v>27.49</v>
      </c>
      <c r="I87">
        <v>10.29</v>
      </c>
      <c r="J87" s="1">
        <v>45494</v>
      </c>
      <c r="K87">
        <v>186</v>
      </c>
      <c r="L87">
        <v>1</v>
      </c>
      <c r="M87">
        <v>159511.40000000002</v>
      </c>
      <c r="N87">
        <v>159511.40000000002</v>
      </c>
    </row>
    <row r="88" spans="1:14" x14ac:dyDescent="0.25">
      <c r="A88" t="s">
        <v>199</v>
      </c>
      <c r="B88" t="s">
        <v>11</v>
      </c>
      <c r="C88">
        <v>34</v>
      </c>
      <c r="D88" t="s">
        <v>46</v>
      </c>
      <c r="E88" t="s">
        <v>57</v>
      </c>
      <c r="F88" t="s">
        <v>47</v>
      </c>
      <c r="G88">
        <v>4635752</v>
      </c>
      <c r="H88">
        <v>33.619999999999997</v>
      </c>
      <c r="I88">
        <v>1.63</v>
      </c>
      <c r="J88" s="1">
        <v>43821</v>
      </c>
      <c r="K88">
        <v>203</v>
      </c>
      <c r="L88">
        <v>6</v>
      </c>
      <c r="M88">
        <v>463575.2</v>
      </c>
      <c r="N88">
        <v>2781451.2</v>
      </c>
    </row>
    <row r="89" spans="1:14" x14ac:dyDescent="0.25">
      <c r="A89" t="s">
        <v>201</v>
      </c>
      <c r="B89" t="s">
        <v>17</v>
      </c>
      <c r="C89">
        <v>47</v>
      </c>
      <c r="D89" t="s">
        <v>18</v>
      </c>
      <c r="E89" t="s">
        <v>13</v>
      </c>
      <c r="F89" t="s">
        <v>41</v>
      </c>
      <c r="G89">
        <v>3779544</v>
      </c>
      <c r="H89">
        <v>11.23</v>
      </c>
      <c r="I89">
        <v>-4.92</v>
      </c>
      <c r="J89" s="1">
        <v>43146</v>
      </c>
      <c r="K89">
        <v>65</v>
      </c>
      <c r="L89">
        <v>8</v>
      </c>
      <c r="M89">
        <v>377954.4</v>
      </c>
      <c r="N89">
        <v>3023635.2</v>
      </c>
    </row>
    <row r="90" spans="1:14" x14ac:dyDescent="0.25">
      <c r="A90" t="s">
        <v>203</v>
      </c>
      <c r="B90" t="s">
        <v>17</v>
      </c>
      <c r="C90">
        <v>45</v>
      </c>
      <c r="D90" t="s">
        <v>12</v>
      </c>
      <c r="E90" t="s">
        <v>57</v>
      </c>
      <c r="F90" t="s">
        <v>47</v>
      </c>
      <c r="G90">
        <v>2878354</v>
      </c>
      <c r="H90">
        <v>25.96</v>
      </c>
      <c r="I90">
        <v>7.63</v>
      </c>
      <c r="J90" s="1">
        <v>43494</v>
      </c>
      <c r="K90">
        <v>15</v>
      </c>
      <c r="L90">
        <v>7</v>
      </c>
      <c r="M90">
        <v>287835.40000000002</v>
      </c>
      <c r="N90">
        <v>2014847.8000000003</v>
      </c>
    </row>
    <row r="91" spans="1:14" x14ac:dyDescent="0.25">
      <c r="A91" t="s">
        <v>205</v>
      </c>
      <c r="B91" t="s">
        <v>17</v>
      </c>
      <c r="C91">
        <v>40</v>
      </c>
      <c r="D91" t="s">
        <v>18</v>
      </c>
      <c r="E91" t="s">
        <v>23</v>
      </c>
      <c r="F91" t="s">
        <v>41</v>
      </c>
      <c r="G91">
        <v>3188786</v>
      </c>
      <c r="H91">
        <v>21.74</v>
      </c>
      <c r="I91">
        <v>-7.54</v>
      </c>
      <c r="J91" s="1">
        <v>45030</v>
      </c>
      <c r="K91">
        <v>193</v>
      </c>
      <c r="L91">
        <v>3</v>
      </c>
      <c r="M91">
        <v>318878.60000000003</v>
      </c>
      <c r="N91">
        <v>956635.8</v>
      </c>
    </row>
    <row r="92" spans="1:14" x14ac:dyDescent="0.25">
      <c r="A92" t="s">
        <v>207</v>
      </c>
      <c r="B92" t="s">
        <v>17</v>
      </c>
      <c r="C92">
        <v>65</v>
      </c>
      <c r="D92" t="s">
        <v>46</v>
      </c>
      <c r="E92" t="s">
        <v>19</v>
      </c>
      <c r="F92" t="s">
        <v>30</v>
      </c>
      <c r="G92">
        <v>3883719</v>
      </c>
      <c r="H92">
        <v>12.07</v>
      </c>
      <c r="I92">
        <v>0.39</v>
      </c>
      <c r="J92" s="1">
        <v>44486</v>
      </c>
      <c r="K92">
        <v>362</v>
      </c>
      <c r="L92">
        <v>4</v>
      </c>
      <c r="M92">
        <v>388371.9</v>
      </c>
      <c r="N92">
        <v>1553487.6</v>
      </c>
    </row>
    <row r="93" spans="1:14" x14ac:dyDescent="0.25">
      <c r="A93" t="s">
        <v>209</v>
      </c>
      <c r="B93" t="s">
        <v>11</v>
      </c>
      <c r="C93">
        <v>54</v>
      </c>
      <c r="D93" t="s">
        <v>46</v>
      </c>
      <c r="E93" t="s">
        <v>50</v>
      </c>
      <c r="F93" t="s">
        <v>35</v>
      </c>
      <c r="G93">
        <v>4326814</v>
      </c>
      <c r="H93">
        <v>26.65</v>
      </c>
      <c r="I93">
        <v>24.44</v>
      </c>
      <c r="J93" s="1">
        <v>44406</v>
      </c>
      <c r="K93">
        <v>232</v>
      </c>
      <c r="L93">
        <v>4</v>
      </c>
      <c r="M93">
        <v>432681.4</v>
      </c>
      <c r="N93">
        <v>1730725.6</v>
      </c>
    </row>
    <row r="94" spans="1:14" x14ac:dyDescent="0.25">
      <c r="A94" t="s">
        <v>211</v>
      </c>
      <c r="B94" t="s">
        <v>11</v>
      </c>
      <c r="C94">
        <v>24</v>
      </c>
      <c r="D94" t="s">
        <v>28</v>
      </c>
      <c r="E94" t="s">
        <v>23</v>
      </c>
      <c r="F94" t="s">
        <v>35</v>
      </c>
      <c r="G94">
        <v>2858292</v>
      </c>
      <c r="H94">
        <v>29.62</v>
      </c>
      <c r="I94">
        <v>20.149999999999999</v>
      </c>
      <c r="J94" s="1">
        <v>43199</v>
      </c>
      <c r="K94">
        <v>286</v>
      </c>
      <c r="L94">
        <v>8</v>
      </c>
      <c r="M94">
        <v>285829.2</v>
      </c>
      <c r="N94">
        <v>2286633.6</v>
      </c>
    </row>
    <row r="95" spans="1:14" x14ac:dyDescent="0.25">
      <c r="A95" t="s">
        <v>213</v>
      </c>
      <c r="B95" t="s">
        <v>11</v>
      </c>
      <c r="C95">
        <v>25</v>
      </c>
      <c r="D95" t="s">
        <v>38</v>
      </c>
      <c r="E95" t="s">
        <v>57</v>
      </c>
      <c r="F95" t="s">
        <v>35</v>
      </c>
      <c r="G95">
        <v>1768834</v>
      </c>
      <c r="H95">
        <v>23.34</v>
      </c>
      <c r="I95">
        <v>42.16</v>
      </c>
      <c r="J95" s="1">
        <v>43313</v>
      </c>
      <c r="K95">
        <v>173</v>
      </c>
      <c r="L95">
        <v>7</v>
      </c>
      <c r="M95">
        <v>176883.40000000002</v>
      </c>
      <c r="N95">
        <v>1238183.8000000003</v>
      </c>
    </row>
    <row r="96" spans="1:14" x14ac:dyDescent="0.25">
      <c r="A96" t="s">
        <v>215</v>
      </c>
      <c r="B96" t="s">
        <v>17</v>
      </c>
      <c r="C96">
        <v>30</v>
      </c>
      <c r="D96" t="s">
        <v>18</v>
      </c>
      <c r="E96" t="s">
        <v>23</v>
      </c>
      <c r="F96" t="s">
        <v>14</v>
      </c>
      <c r="G96">
        <v>1239995</v>
      </c>
      <c r="H96">
        <v>23.25</v>
      </c>
      <c r="I96">
        <v>4.95</v>
      </c>
      <c r="J96" s="1">
        <v>45358</v>
      </c>
      <c r="K96">
        <v>178</v>
      </c>
      <c r="L96">
        <v>2</v>
      </c>
      <c r="M96">
        <v>123999.5</v>
      </c>
      <c r="N96">
        <v>247999</v>
      </c>
    </row>
    <row r="97" spans="1:14" x14ac:dyDescent="0.25">
      <c r="A97" t="s">
        <v>217</v>
      </c>
      <c r="B97" t="s">
        <v>11</v>
      </c>
      <c r="C97">
        <v>58</v>
      </c>
      <c r="D97" t="s">
        <v>46</v>
      </c>
      <c r="E97" t="s">
        <v>19</v>
      </c>
      <c r="F97" t="s">
        <v>47</v>
      </c>
      <c r="G97">
        <v>4263709</v>
      </c>
      <c r="H97">
        <v>32.01</v>
      </c>
      <c r="I97">
        <v>30.05</v>
      </c>
      <c r="J97" s="1">
        <v>44214</v>
      </c>
      <c r="K97">
        <v>23</v>
      </c>
      <c r="L97">
        <v>5</v>
      </c>
      <c r="M97">
        <v>426370.9</v>
      </c>
      <c r="N97">
        <v>2131854.5</v>
      </c>
    </row>
    <row r="98" spans="1:14" x14ac:dyDescent="0.25">
      <c r="A98" t="s">
        <v>219</v>
      </c>
      <c r="B98" t="s">
        <v>17</v>
      </c>
      <c r="C98">
        <v>38</v>
      </c>
      <c r="D98" t="s">
        <v>46</v>
      </c>
      <c r="E98" t="s">
        <v>13</v>
      </c>
      <c r="F98" t="s">
        <v>41</v>
      </c>
      <c r="G98">
        <v>1392330</v>
      </c>
      <c r="H98">
        <v>20.95</v>
      </c>
      <c r="I98">
        <v>20.07</v>
      </c>
      <c r="J98" s="1">
        <v>44476</v>
      </c>
      <c r="K98">
        <v>231</v>
      </c>
      <c r="L98">
        <v>4</v>
      </c>
      <c r="M98">
        <v>139233</v>
      </c>
      <c r="N98">
        <v>556932</v>
      </c>
    </row>
    <row r="99" spans="1:14" x14ac:dyDescent="0.25">
      <c r="A99" t="s">
        <v>221</v>
      </c>
      <c r="B99" t="s">
        <v>11</v>
      </c>
      <c r="C99">
        <v>31</v>
      </c>
      <c r="D99" t="s">
        <v>28</v>
      </c>
      <c r="E99" t="s">
        <v>57</v>
      </c>
      <c r="F99" t="s">
        <v>30</v>
      </c>
      <c r="G99">
        <v>1166057</v>
      </c>
      <c r="H99">
        <v>17.62</v>
      </c>
      <c r="I99">
        <v>13.78</v>
      </c>
      <c r="J99" s="1">
        <v>44277</v>
      </c>
      <c r="K99">
        <v>121</v>
      </c>
      <c r="L99">
        <v>5</v>
      </c>
      <c r="M99">
        <v>116605.70000000001</v>
      </c>
      <c r="N99">
        <v>583028.5</v>
      </c>
    </row>
    <row r="100" spans="1:14" x14ac:dyDescent="0.25">
      <c r="A100" t="s">
        <v>223</v>
      </c>
      <c r="B100" t="s">
        <v>11</v>
      </c>
      <c r="C100">
        <v>52</v>
      </c>
      <c r="D100" t="s">
        <v>38</v>
      </c>
      <c r="E100" t="s">
        <v>13</v>
      </c>
      <c r="F100" t="s">
        <v>20</v>
      </c>
      <c r="G100">
        <v>1206187</v>
      </c>
      <c r="H100">
        <v>20.260000000000002</v>
      </c>
      <c r="I100">
        <v>-4.68</v>
      </c>
      <c r="J100" s="1">
        <v>43673</v>
      </c>
      <c r="K100">
        <v>319</v>
      </c>
      <c r="L100">
        <v>6</v>
      </c>
      <c r="M100">
        <v>120618.70000000001</v>
      </c>
      <c r="N100">
        <v>723712.20000000007</v>
      </c>
    </row>
    <row r="101" spans="1:14" x14ac:dyDescent="0.25">
      <c r="A101" t="s">
        <v>225</v>
      </c>
      <c r="B101" t="s">
        <v>11</v>
      </c>
      <c r="C101">
        <v>26</v>
      </c>
      <c r="D101" t="s">
        <v>18</v>
      </c>
      <c r="E101" t="s">
        <v>13</v>
      </c>
      <c r="F101" t="s">
        <v>14</v>
      </c>
      <c r="G101">
        <v>1095723</v>
      </c>
      <c r="H101">
        <v>27.08</v>
      </c>
      <c r="I101">
        <v>34.82</v>
      </c>
      <c r="J101" s="1">
        <v>45543</v>
      </c>
      <c r="K101">
        <v>346</v>
      </c>
      <c r="L101">
        <v>1</v>
      </c>
      <c r="M101">
        <v>109572.3</v>
      </c>
      <c r="N101">
        <v>109572.3</v>
      </c>
    </row>
    <row r="102" spans="1:14" x14ac:dyDescent="0.25">
      <c r="A102" t="s">
        <v>227</v>
      </c>
      <c r="B102" t="s">
        <v>11</v>
      </c>
      <c r="C102">
        <v>62</v>
      </c>
      <c r="D102" t="s">
        <v>12</v>
      </c>
      <c r="E102" t="s">
        <v>50</v>
      </c>
      <c r="F102" t="s">
        <v>14</v>
      </c>
      <c r="G102">
        <v>787718</v>
      </c>
      <c r="H102">
        <v>16.32</v>
      </c>
      <c r="I102">
        <v>6.53</v>
      </c>
      <c r="J102" s="1">
        <v>44767</v>
      </c>
      <c r="K102">
        <v>233</v>
      </c>
      <c r="L102">
        <v>3</v>
      </c>
      <c r="M102">
        <v>78771.8</v>
      </c>
      <c r="N102">
        <v>236315.40000000002</v>
      </c>
    </row>
    <row r="103" spans="1:14" x14ac:dyDescent="0.25">
      <c r="A103" t="s">
        <v>229</v>
      </c>
      <c r="B103" t="s">
        <v>17</v>
      </c>
      <c r="C103">
        <v>62</v>
      </c>
      <c r="D103" t="s">
        <v>18</v>
      </c>
      <c r="E103" t="s">
        <v>57</v>
      </c>
      <c r="F103" t="s">
        <v>20</v>
      </c>
      <c r="G103">
        <v>787301</v>
      </c>
      <c r="H103">
        <v>15.96</v>
      </c>
      <c r="I103">
        <v>11.97</v>
      </c>
      <c r="J103" s="1">
        <v>43946</v>
      </c>
      <c r="K103">
        <v>136</v>
      </c>
      <c r="L103">
        <v>6</v>
      </c>
      <c r="M103">
        <v>78730.100000000006</v>
      </c>
      <c r="N103">
        <v>472380.60000000003</v>
      </c>
    </row>
    <row r="104" spans="1:14" x14ac:dyDescent="0.25">
      <c r="A104" t="s">
        <v>231</v>
      </c>
      <c r="B104" t="s">
        <v>11</v>
      </c>
      <c r="C104">
        <v>62</v>
      </c>
      <c r="D104" t="s">
        <v>46</v>
      </c>
      <c r="E104" t="s">
        <v>50</v>
      </c>
      <c r="F104" t="s">
        <v>20</v>
      </c>
      <c r="G104">
        <v>2399347</v>
      </c>
      <c r="H104">
        <v>34.97</v>
      </c>
      <c r="I104">
        <v>-1.03</v>
      </c>
      <c r="J104" s="1">
        <v>43679</v>
      </c>
      <c r="K104">
        <v>274</v>
      </c>
      <c r="L104">
        <v>6</v>
      </c>
      <c r="M104">
        <v>239934.7</v>
      </c>
      <c r="N104">
        <v>1439608.2000000002</v>
      </c>
    </row>
    <row r="105" spans="1:14" x14ac:dyDescent="0.25">
      <c r="A105" t="s">
        <v>233</v>
      </c>
      <c r="B105" t="s">
        <v>17</v>
      </c>
      <c r="C105">
        <v>24</v>
      </c>
      <c r="D105" t="s">
        <v>12</v>
      </c>
      <c r="E105" t="s">
        <v>19</v>
      </c>
      <c r="F105" t="s">
        <v>30</v>
      </c>
      <c r="G105">
        <v>1250053</v>
      </c>
      <c r="H105">
        <v>15.21</v>
      </c>
      <c r="I105">
        <v>31.6</v>
      </c>
      <c r="J105" s="1">
        <v>43527</v>
      </c>
      <c r="K105">
        <v>94</v>
      </c>
      <c r="L105">
        <v>7</v>
      </c>
      <c r="M105">
        <v>125005.3</v>
      </c>
      <c r="N105">
        <v>875037.1</v>
      </c>
    </row>
    <row r="106" spans="1:14" x14ac:dyDescent="0.25">
      <c r="A106" t="s">
        <v>235</v>
      </c>
      <c r="B106" t="s">
        <v>17</v>
      </c>
      <c r="C106">
        <v>27</v>
      </c>
      <c r="D106" t="s">
        <v>12</v>
      </c>
      <c r="E106" t="s">
        <v>50</v>
      </c>
      <c r="F106" t="s">
        <v>35</v>
      </c>
      <c r="G106">
        <v>4116454</v>
      </c>
      <c r="H106">
        <v>13.92</v>
      </c>
      <c r="I106">
        <v>18.79</v>
      </c>
      <c r="J106" s="1">
        <v>43716</v>
      </c>
      <c r="K106">
        <v>125</v>
      </c>
      <c r="L106">
        <v>6</v>
      </c>
      <c r="M106">
        <v>411645.4</v>
      </c>
      <c r="N106">
        <v>2469872.4000000004</v>
      </c>
    </row>
    <row r="107" spans="1:14" x14ac:dyDescent="0.25">
      <c r="A107" t="s">
        <v>237</v>
      </c>
      <c r="B107" t="s">
        <v>17</v>
      </c>
      <c r="C107">
        <v>46</v>
      </c>
      <c r="D107" t="s">
        <v>46</v>
      </c>
      <c r="E107" t="s">
        <v>23</v>
      </c>
      <c r="F107" t="s">
        <v>20</v>
      </c>
      <c r="G107">
        <v>306798</v>
      </c>
      <c r="H107">
        <v>17.059999999999999</v>
      </c>
      <c r="I107">
        <v>25.09</v>
      </c>
      <c r="J107" s="1">
        <v>43838</v>
      </c>
      <c r="K107">
        <v>68</v>
      </c>
      <c r="L107">
        <v>6</v>
      </c>
      <c r="M107">
        <v>30679.800000000003</v>
      </c>
      <c r="N107">
        <v>184078.80000000002</v>
      </c>
    </row>
    <row r="108" spans="1:14" x14ac:dyDescent="0.25">
      <c r="A108" t="s">
        <v>239</v>
      </c>
      <c r="B108" t="s">
        <v>11</v>
      </c>
      <c r="C108">
        <v>24</v>
      </c>
      <c r="D108" t="s">
        <v>38</v>
      </c>
      <c r="E108" t="s">
        <v>50</v>
      </c>
      <c r="F108" t="s">
        <v>41</v>
      </c>
      <c r="G108">
        <v>970444</v>
      </c>
      <c r="H108">
        <v>31.23</v>
      </c>
      <c r="I108">
        <v>-1.61</v>
      </c>
      <c r="J108" s="1">
        <v>45261</v>
      </c>
      <c r="K108">
        <v>357</v>
      </c>
      <c r="L108">
        <v>2</v>
      </c>
      <c r="M108">
        <v>97044.400000000009</v>
      </c>
      <c r="N108">
        <v>194088.80000000002</v>
      </c>
    </row>
    <row r="109" spans="1:14" x14ac:dyDescent="0.25">
      <c r="A109" t="s">
        <v>241</v>
      </c>
      <c r="B109" t="s">
        <v>17</v>
      </c>
      <c r="C109">
        <v>64</v>
      </c>
      <c r="D109" t="s">
        <v>12</v>
      </c>
      <c r="E109" t="s">
        <v>29</v>
      </c>
      <c r="F109" t="s">
        <v>14</v>
      </c>
      <c r="G109">
        <v>971829</v>
      </c>
      <c r="H109">
        <v>7.25</v>
      </c>
      <c r="I109">
        <v>16.010000000000002</v>
      </c>
      <c r="J109" s="1">
        <v>44381</v>
      </c>
      <c r="K109">
        <v>131</v>
      </c>
      <c r="L109">
        <v>5</v>
      </c>
      <c r="M109">
        <v>97182.900000000009</v>
      </c>
      <c r="N109">
        <v>485914.50000000006</v>
      </c>
    </row>
    <row r="110" spans="1:14" x14ac:dyDescent="0.25">
      <c r="A110" t="s">
        <v>243</v>
      </c>
      <c r="B110" t="s">
        <v>11</v>
      </c>
      <c r="C110">
        <v>50</v>
      </c>
      <c r="D110" t="s">
        <v>18</v>
      </c>
      <c r="E110" t="s">
        <v>50</v>
      </c>
      <c r="F110" t="s">
        <v>35</v>
      </c>
      <c r="G110">
        <v>116654</v>
      </c>
      <c r="H110">
        <v>26.85</v>
      </c>
      <c r="I110">
        <v>-9.0500000000000007</v>
      </c>
      <c r="J110" s="1">
        <v>44055</v>
      </c>
      <c r="K110">
        <v>189</v>
      </c>
      <c r="L110">
        <v>5</v>
      </c>
      <c r="M110">
        <v>11665.400000000001</v>
      </c>
      <c r="N110">
        <v>58327.000000000007</v>
      </c>
    </row>
    <row r="111" spans="1:14" x14ac:dyDescent="0.25">
      <c r="A111" t="s">
        <v>245</v>
      </c>
      <c r="B111" t="s">
        <v>11</v>
      </c>
      <c r="C111">
        <v>46</v>
      </c>
      <c r="D111" t="s">
        <v>46</v>
      </c>
      <c r="E111" t="s">
        <v>13</v>
      </c>
      <c r="F111" t="s">
        <v>14</v>
      </c>
      <c r="G111">
        <v>1165057</v>
      </c>
      <c r="H111">
        <v>21.07</v>
      </c>
      <c r="I111">
        <v>24.74</v>
      </c>
      <c r="J111" s="1">
        <v>43146</v>
      </c>
      <c r="K111">
        <v>346</v>
      </c>
      <c r="L111">
        <v>8</v>
      </c>
      <c r="M111">
        <v>116505.70000000001</v>
      </c>
      <c r="N111">
        <v>932045.60000000009</v>
      </c>
    </row>
    <row r="112" spans="1:14" x14ac:dyDescent="0.25">
      <c r="A112" t="s">
        <v>246</v>
      </c>
      <c r="B112" t="s">
        <v>11</v>
      </c>
      <c r="C112">
        <v>43</v>
      </c>
      <c r="D112" t="s">
        <v>28</v>
      </c>
      <c r="E112" t="s">
        <v>19</v>
      </c>
      <c r="F112" t="s">
        <v>41</v>
      </c>
      <c r="G112">
        <v>4952131</v>
      </c>
      <c r="H112">
        <v>9.0399999999999991</v>
      </c>
      <c r="I112">
        <v>9.74</v>
      </c>
      <c r="J112" s="1">
        <v>44903</v>
      </c>
      <c r="K112">
        <v>293</v>
      </c>
      <c r="L112">
        <v>3</v>
      </c>
      <c r="M112">
        <v>495213.10000000003</v>
      </c>
      <c r="N112">
        <v>1485639.3</v>
      </c>
    </row>
    <row r="113" spans="1:14" x14ac:dyDescent="0.25">
      <c r="A113" t="s">
        <v>248</v>
      </c>
      <c r="B113" t="s">
        <v>11</v>
      </c>
      <c r="C113">
        <v>31</v>
      </c>
      <c r="D113" t="s">
        <v>46</v>
      </c>
      <c r="E113" t="s">
        <v>13</v>
      </c>
      <c r="F113" t="s">
        <v>30</v>
      </c>
      <c r="G113">
        <v>1366651</v>
      </c>
      <c r="H113">
        <v>23.59</v>
      </c>
      <c r="I113">
        <v>19.03</v>
      </c>
      <c r="J113" s="1">
        <v>44466</v>
      </c>
      <c r="K113">
        <v>100</v>
      </c>
      <c r="L113">
        <v>4</v>
      </c>
      <c r="M113">
        <v>136665.1</v>
      </c>
      <c r="N113">
        <v>546660.4</v>
      </c>
    </row>
    <row r="114" spans="1:14" x14ac:dyDescent="0.25">
      <c r="A114" t="s">
        <v>250</v>
      </c>
      <c r="B114" t="s">
        <v>11</v>
      </c>
      <c r="C114">
        <v>53</v>
      </c>
      <c r="D114" t="s">
        <v>18</v>
      </c>
      <c r="E114" t="s">
        <v>19</v>
      </c>
      <c r="F114" t="s">
        <v>35</v>
      </c>
      <c r="G114">
        <v>3126036</v>
      </c>
      <c r="H114">
        <v>7.08</v>
      </c>
      <c r="I114">
        <v>-3.52</v>
      </c>
      <c r="J114" s="1">
        <v>45223</v>
      </c>
      <c r="K114">
        <v>19</v>
      </c>
      <c r="L114">
        <v>2</v>
      </c>
      <c r="M114">
        <v>312603.60000000003</v>
      </c>
      <c r="N114">
        <v>625207.20000000007</v>
      </c>
    </row>
    <row r="115" spans="1:14" x14ac:dyDescent="0.25">
      <c r="A115" t="s">
        <v>252</v>
      </c>
      <c r="B115" t="s">
        <v>17</v>
      </c>
      <c r="C115">
        <v>60</v>
      </c>
      <c r="D115" t="s">
        <v>46</v>
      </c>
      <c r="E115" t="s">
        <v>23</v>
      </c>
      <c r="F115" t="s">
        <v>47</v>
      </c>
      <c r="G115">
        <v>2543132</v>
      </c>
      <c r="H115">
        <v>32.520000000000003</v>
      </c>
      <c r="I115">
        <v>1.99</v>
      </c>
      <c r="J115" s="1">
        <v>45004</v>
      </c>
      <c r="K115">
        <v>125</v>
      </c>
      <c r="L115">
        <v>3</v>
      </c>
      <c r="M115">
        <v>254313.2</v>
      </c>
      <c r="N115">
        <v>762939.60000000009</v>
      </c>
    </row>
    <row r="116" spans="1:14" x14ac:dyDescent="0.25">
      <c r="A116" t="s">
        <v>254</v>
      </c>
      <c r="B116" t="s">
        <v>17</v>
      </c>
      <c r="C116">
        <v>49</v>
      </c>
      <c r="D116" t="s">
        <v>38</v>
      </c>
      <c r="E116" t="s">
        <v>29</v>
      </c>
      <c r="F116" t="s">
        <v>20</v>
      </c>
      <c r="G116">
        <v>418894</v>
      </c>
      <c r="H116">
        <v>33.49</v>
      </c>
      <c r="I116">
        <v>30.34</v>
      </c>
      <c r="J116" s="1">
        <v>44388</v>
      </c>
      <c r="K116">
        <v>111</v>
      </c>
      <c r="L116">
        <v>5</v>
      </c>
      <c r="M116">
        <v>41889.4</v>
      </c>
      <c r="N116">
        <v>209447</v>
      </c>
    </row>
    <row r="117" spans="1:14" x14ac:dyDescent="0.25">
      <c r="A117" t="s">
        <v>256</v>
      </c>
      <c r="B117" t="s">
        <v>17</v>
      </c>
      <c r="C117">
        <v>55</v>
      </c>
      <c r="D117" t="s">
        <v>38</v>
      </c>
      <c r="E117" t="s">
        <v>29</v>
      </c>
      <c r="F117" t="s">
        <v>14</v>
      </c>
      <c r="G117">
        <v>4246257</v>
      </c>
      <c r="H117">
        <v>7.13</v>
      </c>
      <c r="I117">
        <v>6.87</v>
      </c>
      <c r="J117" s="1">
        <v>43197</v>
      </c>
      <c r="K117">
        <v>329</v>
      </c>
      <c r="L117">
        <v>8</v>
      </c>
      <c r="M117">
        <v>424625.7</v>
      </c>
      <c r="N117">
        <v>3397005.6</v>
      </c>
    </row>
    <row r="118" spans="1:14" x14ac:dyDescent="0.25">
      <c r="A118" t="s">
        <v>258</v>
      </c>
      <c r="B118" t="s">
        <v>17</v>
      </c>
      <c r="C118">
        <v>33</v>
      </c>
      <c r="D118" t="s">
        <v>12</v>
      </c>
      <c r="E118" t="s">
        <v>13</v>
      </c>
      <c r="F118" t="s">
        <v>41</v>
      </c>
      <c r="G118">
        <v>471277</v>
      </c>
      <c r="H118">
        <v>22.31</v>
      </c>
      <c r="I118">
        <v>4.05</v>
      </c>
      <c r="J118" s="1">
        <v>44967</v>
      </c>
      <c r="K118">
        <v>358</v>
      </c>
      <c r="L118">
        <v>3</v>
      </c>
      <c r="M118">
        <v>47127.700000000004</v>
      </c>
      <c r="N118">
        <v>141383.1</v>
      </c>
    </row>
    <row r="119" spans="1:14" x14ac:dyDescent="0.25">
      <c r="A119" t="s">
        <v>260</v>
      </c>
      <c r="B119" t="s">
        <v>17</v>
      </c>
      <c r="C119">
        <v>45</v>
      </c>
      <c r="D119" t="s">
        <v>28</v>
      </c>
      <c r="E119" t="s">
        <v>13</v>
      </c>
      <c r="F119" t="s">
        <v>20</v>
      </c>
      <c r="G119">
        <v>2729193</v>
      </c>
      <c r="H119">
        <v>20.3</v>
      </c>
      <c r="I119">
        <v>34.409999999999997</v>
      </c>
      <c r="J119" s="1">
        <v>43218</v>
      </c>
      <c r="K119">
        <v>272</v>
      </c>
      <c r="L119">
        <v>8</v>
      </c>
      <c r="M119">
        <v>272919.3</v>
      </c>
      <c r="N119">
        <v>2183354.4</v>
      </c>
    </row>
    <row r="120" spans="1:14" x14ac:dyDescent="0.25">
      <c r="A120" t="s">
        <v>262</v>
      </c>
      <c r="B120" t="s">
        <v>11</v>
      </c>
      <c r="C120">
        <v>56</v>
      </c>
      <c r="D120" t="s">
        <v>38</v>
      </c>
      <c r="E120" t="s">
        <v>50</v>
      </c>
      <c r="F120" t="s">
        <v>20</v>
      </c>
      <c r="G120">
        <v>4233228</v>
      </c>
      <c r="H120">
        <v>8</v>
      </c>
      <c r="I120">
        <v>-7.9</v>
      </c>
      <c r="J120" s="1">
        <v>45098</v>
      </c>
      <c r="K120">
        <v>299</v>
      </c>
      <c r="L120">
        <v>3</v>
      </c>
      <c r="M120">
        <v>423322.80000000005</v>
      </c>
      <c r="N120">
        <v>1269968.4000000001</v>
      </c>
    </row>
    <row r="121" spans="1:14" x14ac:dyDescent="0.25">
      <c r="A121" t="s">
        <v>264</v>
      </c>
      <c r="B121" t="s">
        <v>11</v>
      </c>
      <c r="C121">
        <v>26</v>
      </c>
      <c r="D121" t="s">
        <v>12</v>
      </c>
      <c r="E121" t="s">
        <v>50</v>
      </c>
      <c r="F121" t="s">
        <v>14</v>
      </c>
      <c r="G121">
        <v>1181365</v>
      </c>
      <c r="H121">
        <v>15.27</v>
      </c>
      <c r="I121">
        <v>43.23</v>
      </c>
      <c r="J121" s="1">
        <v>44532</v>
      </c>
      <c r="K121">
        <v>281</v>
      </c>
      <c r="L121">
        <v>4</v>
      </c>
      <c r="M121">
        <v>118136.5</v>
      </c>
      <c r="N121">
        <v>472546</v>
      </c>
    </row>
    <row r="122" spans="1:14" x14ac:dyDescent="0.25">
      <c r="A122" t="s">
        <v>266</v>
      </c>
      <c r="B122" t="s">
        <v>11</v>
      </c>
      <c r="C122">
        <v>40</v>
      </c>
      <c r="D122" t="s">
        <v>18</v>
      </c>
      <c r="E122" t="s">
        <v>23</v>
      </c>
      <c r="F122" t="s">
        <v>35</v>
      </c>
      <c r="G122">
        <v>2072807</v>
      </c>
      <c r="H122">
        <v>17.190000000000001</v>
      </c>
      <c r="I122">
        <v>-8.1300000000000008</v>
      </c>
      <c r="J122" s="1">
        <v>45461</v>
      </c>
      <c r="K122">
        <v>12</v>
      </c>
      <c r="L122">
        <v>2</v>
      </c>
      <c r="M122">
        <v>207280.7</v>
      </c>
      <c r="N122">
        <v>414561.4</v>
      </c>
    </row>
    <row r="123" spans="1:14" x14ac:dyDescent="0.25">
      <c r="A123" t="s">
        <v>268</v>
      </c>
      <c r="B123" t="s">
        <v>11</v>
      </c>
      <c r="C123">
        <v>51</v>
      </c>
      <c r="D123" t="s">
        <v>18</v>
      </c>
      <c r="E123" t="s">
        <v>13</v>
      </c>
      <c r="F123" t="s">
        <v>41</v>
      </c>
      <c r="G123">
        <v>2476536</v>
      </c>
      <c r="H123">
        <v>12.84</v>
      </c>
      <c r="I123">
        <v>39.369999999999997</v>
      </c>
      <c r="J123" s="1">
        <v>44759</v>
      </c>
      <c r="K123">
        <v>17</v>
      </c>
      <c r="L123">
        <v>4</v>
      </c>
      <c r="M123">
        <v>247653.6</v>
      </c>
      <c r="N123">
        <v>990614.4</v>
      </c>
    </row>
    <row r="124" spans="1:14" x14ac:dyDescent="0.25">
      <c r="A124" t="s">
        <v>270</v>
      </c>
      <c r="B124" t="s">
        <v>11</v>
      </c>
      <c r="C124">
        <v>32</v>
      </c>
      <c r="D124" t="s">
        <v>38</v>
      </c>
      <c r="E124" t="s">
        <v>50</v>
      </c>
      <c r="F124" t="s">
        <v>30</v>
      </c>
      <c r="G124">
        <v>3828023</v>
      </c>
      <c r="H124">
        <v>15.28</v>
      </c>
      <c r="I124">
        <v>4.76</v>
      </c>
      <c r="J124" s="1">
        <v>45126</v>
      </c>
      <c r="K124">
        <v>338</v>
      </c>
      <c r="L124">
        <v>3</v>
      </c>
      <c r="M124">
        <v>382802.30000000005</v>
      </c>
      <c r="N124">
        <v>1148406.9000000001</v>
      </c>
    </row>
    <row r="125" spans="1:14" x14ac:dyDescent="0.25">
      <c r="A125" t="s">
        <v>272</v>
      </c>
      <c r="B125" t="s">
        <v>17</v>
      </c>
      <c r="C125">
        <v>29</v>
      </c>
      <c r="D125" t="s">
        <v>18</v>
      </c>
      <c r="E125" t="s">
        <v>57</v>
      </c>
      <c r="F125" t="s">
        <v>47</v>
      </c>
      <c r="G125">
        <v>528100</v>
      </c>
      <c r="H125">
        <v>10.42</v>
      </c>
      <c r="I125">
        <v>18.75</v>
      </c>
      <c r="J125" s="1">
        <v>45108</v>
      </c>
      <c r="K125">
        <v>299</v>
      </c>
      <c r="L125">
        <v>3</v>
      </c>
      <c r="M125">
        <v>52810</v>
      </c>
      <c r="N125">
        <v>158430</v>
      </c>
    </row>
    <row r="126" spans="1:14" x14ac:dyDescent="0.25">
      <c r="A126" t="s">
        <v>274</v>
      </c>
      <c r="B126" t="s">
        <v>17</v>
      </c>
      <c r="C126">
        <v>42</v>
      </c>
      <c r="D126" t="s">
        <v>18</v>
      </c>
      <c r="E126" t="s">
        <v>57</v>
      </c>
      <c r="F126" t="s">
        <v>41</v>
      </c>
      <c r="G126">
        <v>4171180</v>
      </c>
      <c r="H126">
        <v>5.09</v>
      </c>
      <c r="I126">
        <v>20.73</v>
      </c>
      <c r="J126" s="1">
        <v>43218</v>
      </c>
      <c r="K126">
        <v>274</v>
      </c>
      <c r="L126">
        <v>8</v>
      </c>
      <c r="M126">
        <v>417118</v>
      </c>
      <c r="N126">
        <v>3336944</v>
      </c>
    </row>
    <row r="127" spans="1:14" x14ac:dyDescent="0.25">
      <c r="A127" t="s">
        <v>275</v>
      </c>
      <c r="B127" t="s">
        <v>17</v>
      </c>
      <c r="C127">
        <v>39</v>
      </c>
      <c r="D127" t="s">
        <v>28</v>
      </c>
      <c r="E127" t="s">
        <v>50</v>
      </c>
      <c r="F127" t="s">
        <v>41</v>
      </c>
      <c r="G127">
        <v>1030809</v>
      </c>
      <c r="H127">
        <v>24.59</v>
      </c>
      <c r="I127">
        <v>4.9000000000000004</v>
      </c>
      <c r="J127" s="1">
        <v>43838</v>
      </c>
      <c r="K127">
        <v>321</v>
      </c>
      <c r="L127">
        <v>6</v>
      </c>
      <c r="M127">
        <v>103080.90000000001</v>
      </c>
      <c r="N127">
        <v>618485.4</v>
      </c>
    </row>
    <row r="128" spans="1:14" x14ac:dyDescent="0.25">
      <c r="A128" t="s">
        <v>276</v>
      </c>
      <c r="B128" t="s">
        <v>11</v>
      </c>
      <c r="C128">
        <v>38</v>
      </c>
      <c r="D128" t="s">
        <v>28</v>
      </c>
      <c r="E128" t="s">
        <v>29</v>
      </c>
      <c r="F128" t="s">
        <v>20</v>
      </c>
      <c r="G128">
        <v>4220164</v>
      </c>
      <c r="H128">
        <v>5.33</v>
      </c>
      <c r="I128">
        <v>-3.43</v>
      </c>
      <c r="J128" s="1">
        <v>45136</v>
      </c>
      <c r="K128">
        <v>177</v>
      </c>
      <c r="L128">
        <v>2</v>
      </c>
      <c r="M128">
        <v>422016.4</v>
      </c>
      <c r="N128">
        <v>844032.8</v>
      </c>
    </row>
    <row r="129" spans="1:14" x14ac:dyDescent="0.25">
      <c r="A129" t="s">
        <v>278</v>
      </c>
      <c r="B129" t="s">
        <v>11</v>
      </c>
      <c r="C129">
        <v>44</v>
      </c>
      <c r="D129" t="s">
        <v>38</v>
      </c>
      <c r="E129" t="s">
        <v>23</v>
      </c>
      <c r="F129" t="s">
        <v>30</v>
      </c>
      <c r="G129">
        <v>2016758</v>
      </c>
      <c r="H129">
        <v>31.67</v>
      </c>
      <c r="I129">
        <v>13.85</v>
      </c>
      <c r="J129" s="1">
        <v>45049</v>
      </c>
      <c r="K129">
        <v>142</v>
      </c>
      <c r="L129">
        <v>3</v>
      </c>
      <c r="M129">
        <v>201675.80000000002</v>
      </c>
      <c r="N129">
        <v>605027.4</v>
      </c>
    </row>
    <row r="130" spans="1:14" x14ac:dyDescent="0.25">
      <c r="A130" t="s">
        <v>280</v>
      </c>
      <c r="B130" t="s">
        <v>17</v>
      </c>
      <c r="C130">
        <v>38</v>
      </c>
      <c r="D130" t="s">
        <v>46</v>
      </c>
      <c r="E130" t="s">
        <v>57</v>
      </c>
      <c r="F130" t="s">
        <v>47</v>
      </c>
      <c r="G130">
        <v>4184208</v>
      </c>
      <c r="H130">
        <v>21.06</v>
      </c>
      <c r="I130">
        <v>-0.67</v>
      </c>
      <c r="J130" s="1">
        <v>44377</v>
      </c>
      <c r="K130">
        <v>190</v>
      </c>
      <c r="L130">
        <v>5</v>
      </c>
      <c r="M130">
        <v>418420.80000000005</v>
      </c>
      <c r="N130">
        <v>2092104.0000000002</v>
      </c>
    </row>
    <row r="131" spans="1:14" x14ac:dyDescent="0.25">
      <c r="A131" t="s">
        <v>282</v>
      </c>
      <c r="B131" t="s">
        <v>11</v>
      </c>
      <c r="C131">
        <v>36</v>
      </c>
      <c r="D131" t="s">
        <v>28</v>
      </c>
      <c r="E131" t="s">
        <v>13</v>
      </c>
      <c r="F131" t="s">
        <v>14</v>
      </c>
      <c r="G131">
        <v>4831877</v>
      </c>
      <c r="H131">
        <v>16.79</v>
      </c>
      <c r="I131">
        <v>22.8</v>
      </c>
      <c r="J131" s="1">
        <v>44211</v>
      </c>
      <c r="K131">
        <v>200</v>
      </c>
      <c r="L131">
        <v>5</v>
      </c>
      <c r="M131">
        <v>483187.7</v>
      </c>
      <c r="N131">
        <v>2415938.5</v>
      </c>
    </row>
    <row r="132" spans="1:14" x14ac:dyDescent="0.25">
      <c r="A132" t="s">
        <v>284</v>
      </c>
      <c r="B132" t="s">
        <v>11</v>
      </c>
      <c r="C132">
        <v>50</v>
      </c>
      <c r="D132" t="s">
        <v>38</v>
      </c>
      <c r="E132" t="s">
        <v>13</v>
      </c>
      <c r="F132" t="s">
        <v>14</v>
      </c>
      <c r="G132">
        <v>870774</v>
      </c>
      <c r="H132">
        <v>27.77</v>
      </c>
      <c r="I132">
        <v>16.84</v>
      </c>
      <c r="J132" s="1">
        <v>44054</v>
      </c>
      <c r="K132">
        <v>100</v>
      </c>
      <c r="L132">
        <v>5</v>
      </c>
      <c r="M132">
        <v>87077.400000000009</v>
      </c>
      <c r="N132">
        <v>435387.00000000006</v>
      </c>
    </row>
    <row r="133" spans="1:14" x14ac:dyDescent="0.25">
      <c r="A133" t="s">
        <v>286</v>
      </c>
      <c r="B133" t="s">
        <v>11</v>
      </c>
      <c r="C133">
        <v>50</v>
      </c>
      <c r="D133" t="s">
        <v>18</v>
      </c>
      <c r="E133" t="s">
        <v>19</v>
      </c>
      <c r="F133" t="s">
        <v>14</v>
      </c>
      <c r="G133">
        <v>2404007</v>
      </c>
      <c r="H133">
        <v>15.51</v>
      </c>
      <c r="I133">
        <v>-7.38</v>
      </c>
      <c r="J133" s="1">
        <v>45426</v>
      </c>
      <c r="K133">
        <v>266</v>
      </c>
      <c r="L133">
        <v>2</v>
      </c>
      <c r="M133">
        <v>240400.7</v>
      </c>
      <c r="N133">
        <v>480801.4</v>
      </c>
    </row>
    <row r="134" spans="1:14" x14ac:dyDescent="0.25">
      <c r="A134" t="s">
        <v>288</v>
      </c>
      <c r="B134" t="s">
        <v>11</v>
      </c>
      <c r="C134">
        <v>62</v>
      </c>
      <c r="D134" t="s">
        <v>38</v>
      </c>
      <c r="E134" t="s">
        <v>19</v>
      </c>
      <c r="F134" t="s">
        <v>41</v>
      </c>
      <c r="G134">
        <v>3680693</v>
      </c>
      <c r="H134">
        <v>6.22</v>
      </c>
      <c r="I134">
        <v>17</v>
      </c>
      <c r="J134" s="1">
        <v>43864</v>
      </c>
      <c r="K134">
        <v>269</v>
      </c>
      <c r="L134">
        <v>6</v>
      </c>
      <c r="M134">
        <v>368069.30000000005</v>
      </c>
      <c r="N134">
        <v>2208415.8000000003</v>
      </c>
    </row>
    <row r="135" spans="1:14" x14ac:dyDescent="0.25">
      <c r="A135" t="s">
        <v>290</v>
      </c>
      <c r="B135" t="s">
        <v>11</v>
      </c>
      <c r="C135">
        <v>30</v>
      </c>
      <c r="D135" t="s">
        <v>28</v>
      </c>
      <c r="E135" t="s">
        <v>13</v>
      </c>
      <c r="F135" t="s">
        <v>47</v>
      </c>
      <c r="G135">
        <v>4479224</v>
      </c>
      <c r="H135">
        <v>21.88</v>
      </c>
      <c r="I135">
        <v>25.37</v>
      </c>
      <c r="J135" s="1">
        <v>44822</v>
      </c>
      <c r="K135">
        <v>29</v>
      </c>
      <c r="L135">
        <v>3</v>
      </c>
      <c r="M135">
        <v>447922.4</v>
      </c>
      <c r="N135">
        <v>1343767.2000000002</v>
      </c>
    </row>
    <row r="136" spans="1:14" x14ac:dyDescent="0.25">
      <c r="A136" t="s">
        <v>292</v>
      </c>
      <c r="B136" t="s">
        <v>11</v>
      </c>
      <c r="C136">
        <v>26</v>
      </c>
      <c r="D136" t="s">
        <v>28</v>
      </c>
      <c r="E136" t="s">
        <v>19</v>
      </c>
      <c r="F136" t="s">
        <v>14</v>
      </c>
      <c r="G136">
        <v>2339474</v>
      </c>
      <c r="H136">
        <v>11.06</v>
      </c>
      <c r="I136">
        <v>12.3</v>
      </c>
      <c r="J136" s="1">
        <v>44378</v>
      </c>
      <c r="K136">
        <v>229</v>
      </c>
      <c r="L136">
        <v>5</v>
      </c>
      <c r="M136">
        <v>233947.40000000002</v>
      </c>
      <c r="N136">
        <v>1169737</v>
      </c>
    </row>
    <row r="137" spans="1:14" x14ac:dyDescent="0.25">
      <c r="A137" t="s">
        <v>294</v>
      </c>
      <c r="B137" t="s">
        <v>11</v>
      </c>
      <c r="C137">
        <v>31</v>
      </c>
      <c r="D137" t="s">
        <v>38</v>
      </c>
      <c r="E137" t="s">
        <v>29</v>
      </c>
      <c r="F137" t="s">
        <v>35</v>
      </c>
      <c r="G137">
        <v>1193325</v>
      </c>
      <c r="H137">
        <v>29.86</v>
      </c>
      <c r="I137">
        <v>20.07</v>
      </c>
      <c r="J137" s="1">
        <v>43459</v>
      </c>
      <c r="K137">
        <v>336</v>
      </c>
      <c r="L137">
        <v>7</v>
      </c>
      <c r="M137">
        <v>119332.5</v>
      </c>
      <c r="N137">
        <v>835327.5</v>
      </c>
    </row>
    <row r="138" spans="1:14" x14ac:dyDescent="0.25">
      <c r="A138" t="s">
        <v>296</v>
      </c>
      <c r="B138" t="s">
        <v>11</v>
      </c>
      <c r="C138">
        <v>46</v>
      </c>
      <c r="D138" t="s">
        <v>38</v>
      </c>
      <c r="E138" t="s">
        <v>13</v>
      </c>
      <c r="F138" t="s">
        <v>14</v>
      </c>
      <c r="G138">
        <v>1983198</v>
      </c>
      <c r="H138">
        <v>17.09</v>
      </c>
      <c r="I138">
        <v>-0.16</v>
      </c>
      <c r="J138" s="1">
        <v>43806</v>
      </c>
      <c r="K138">
        <v>311</v>
      </c>
      <c r="L138">
        <v>6</v>
      </c>
      <c r="M138">
        <v>198319.80000000002</v>
      </c>
      <c r="N138">
        <v>1189918.8</v>
      </c>
    </row>
    <row r="139" spans="1:14" x14ac:dyDescent="0.25">
      <c r="A139" t="s">
        <v>298</v>
      </c>
      <c r="B139" t="s">
        <v>17</v>
      </c>
      <c r="C139">
        <v>62</v>
      </c>
      <c r="D139" t="s">
        <v>28</v>
      </c>
      <c r="E139" t="s">
        <v>13</v>
      </c>
      <c r="F139" t="s">
        <v>20</v>
      </c>
      <c r="G139">
        <v>1389344</v>
      </c>
      <c r="H139">
        <v>16.2</v>
      </c>
      <c r="I139">
        <v>30.38</v>
      </c>
      <c r="J139" s="1">
        <v>43909</v>
      </c>
      <c r="K139">
        <v>57</v>
      </c>
      <c r="L139">
        <v>6</v>
      </c>
      <c r="M139">
        <v>138934.39999999999</v>
      </c>
      <c r="N139">
        <v>833606.39999999991</v>
      </c>
    </row>
    <row r="140" spans="1:14" x14ac:dyDescent="0.25">
      <c r="A140" t="s">
        <v>300</v>
      </c>
      <c r="B140" t="s">
        <v>17</v>
      </c>
      <c r="C140">
        <v>37</v>
      </c>
      <c r="D140" t="s">
        <v>28</v>
      </c>
      <c r="E140" t="s">
        <v>13</v>
      </c>
      <c r="F140" t="s">
        <v>41</v>
      </c>
      <c r="G140">
        <v>1472920</v>
      </c>
      <c r="H140">
        <v>19.05</v>
      </c>
      <c r="I140">
        <v>-2.17</v>
      </c>
      <c r="J140" s="1">
        <v>45340</v>
      </c>
      <c r="K140">
        <v>110</v>
      </c>
      <c r="L140">
        <v>2</v>
      </c>
      <c r="M140">
        <v>147292</v>
      </c>
      <c r="N140">
        <v>294584</v>
      </c>
    </row>
    <row r="141" spans="1:14" x14ac:dyDescent="0.25">
      <c r="A141" t="s">
        <v>302</v>
      </c>
      <c r="B141" t="s">
        <v>11</v>
      </c>
      <c r="C141">
        <v>42</v>
      </c>
      <c r="D141" t="s">
        <v>38</v>
      </c>
      <c r="E141" t="s">
        <v>19</v>
      </c>
      <c r="F141" t="s">
        <v>41</v>
      </c>
      <c r="G141">
        <v>4178740</v>
      </c>
      <c r="H141">
        <v>26.21</v>
      </c>
      <c r="I141">
        <v>40.92</v>
      </c>
      <c r="J141" s="1">
        <v>44912</v>
      </c>
      <c r="K141">
        <v>55</v>
      </c>
      <c r="L141">
        <v>3</v>
      </c>
      <c r="M141">
        <v>417874</v>
      </c>
      <c r="N141">
        <v>1253622</v>
      </c>
    </row>
    <row r="142" spans="1:14" x14ac:dyDescent="0.25">
      <c r="A142" t="s">
        <v>304</v>
      </c>
      <c r="B142" t="s">
        <v>11</v>
      </c>
      <c r="C142">
        <v>44</v>
      </c>
      <c r="D142" t="s">
        <v>38</v>
      </c>
      <c r="E142" t="s">
        <v>57</v>
      </c>
      <c r="F142" t="s">
        <v>30</v>
      </c>
      <c r="G142">
        <v>612088</v>
      </c>
      <c r="H142">
        <v>30.24</v>
      </c>
      <c r="I142">
        <v>24.11</v>
      </c>
      <c r="J142" s="1">
        <v>44899</v>
      </c>
      <c r="K142">
        <v>209</v>
      </c>
      <c r="L142">
        <v>3</v>
      </c>
      <c r="M142">
        <v>61208.800000000003</v>
      </c>
      <c r="N142">
        <v>183626.40000000002</v>
      </c>
    </row>
    <row r="143" spans="1:14" x14ac:dyDescent="0.25">
      <c r="A143" t="s">
        <v>306</v>
      </c>
      <c r="B143" t="s">
        <v>17</v>
      </c>
      <c r="C143">
        <v>55</v>
      </c>
      <c r="D143" t="s">
        <v>38</v>
      </c>
      <c r="E143" t="s">
        <v>50</v>
      </c>
      <c r="F143" t="s">
        <v>14</v>
      </c>
      <c r="G143">
        <v>3335486</v>
      </c>
      <c r="H143">
        <v>17.79</v>
      </c>
      <c r="I143">
        <v>17.98</v>
      </c>
      <c r="J143" s="1">
        <v>44903</v>
      </c>
      <c r="K143">
        <v>168</v>
      </c>
      <c r="L143">
        <v>3</v>
      </c>
      <c r="M143">
        <v>333548.60000000003</v>
      </c>
      <c r="N143">
        <v>1000645.8</v>
      </c>
    </row>
    <row r="144" spans="1:14" x14ac:dyDescent="0.25">
      <c r="A144" t="s">
        <v>307</v>
      </c>
      <c r="B144" t="s">
        <v>17</v>
      </c>
      <c r="C144">
        <v>39</v>
      </c>
      <c r="D144" t="s">
        <v>46</v>
      </c>
      <c r="E144" t="s">
        <v>19</v>
      </c>
      <c r="F144" t="s">
        <v>41</v>
      </c>
      <c r="G144">
        <v>2891260</v>
      </c>
      <c r="H144">
        <v>30.84</v>
      </c>
      <c r="I144">
        <v>24.54</v>
      </c>
      <c r="J144" s="1">
        <v>43921</v>
      </c>
      <c r="K144">
        <v>206</v>
      </c>
      <c r="L144">
        <v>6</v>
      </c>
      <c r="M144">
        <v>289126</v>
      </c>
      <c r="N144">
        <v>1734756</v>
      </c>
    </row>
    <row r="145" spans="1:14" x14ac:dyDescent="0.25">
      <c r="A145" t="s">
        <v>309</v>
      </c>
      <c r="B145" t="s">
        <v>17</v>
      </c>
      <c r="C145">
        <v>56</v>
      </c>
      <c r="D145" t="s">
        <v>28</v>
      </c>
      <c r="E145" t="s">
        <v>19</v>
      </c>
      <c r="F145" t="s">
        <v>35</v>
      </c>
      <c r="G145">
        <v>2460750</v>
      </c>
      <c r="H145">
        <v>31.71</v>
      </c>
      <c r="I145">
        <v>-9.4600000000000009</v>
      </c>
      <c r="J145" s="1">
        <v>45396</v>
      </c>
      <c r="K145">
        <v>256</v>
      </c>
      <c r="L145">
        <v>2</v>
      </c>
      <c r="M145">
        <v>246075</v>
      </c>
      <c r="N145">
        <v>492150</v>
      </c>
    </row>
    <row r="146" spans="1:14" x14ac:dyDescent="0.25">
      <c r="A146" t="s">
        <v>311</v>
      </c>
      <c r="B146" t="s">
        <v>17</v>
      </c>
      <c r="C146">
        <v>45</v>
      </c>
      <c r="D146" t="s">
        <v>28</v>
      </c>
      <c r="E146" t="s">
        <v>29</v>
      </c>
      <c r="F146" t="s">
        <v>30</v>
      </c>
      <c r="G146">
        <v>2010712</v>
      </c>
      <c r="H146">
        <v>29.26</v>
      </c>
      <c r="I146">
        <v>0.95</v>
      </c>
      <c r="J146" s="1">
        <v>44918</v>
      </c>
      <c r="K146">
        <v>159</v>
      </c>
      <c r="L146">
        <v>3</v>
      </c>
      <c r="M146">
        <v>201071.2</v>
      </c>
      <c r="N146">
        <v>603213.60000000009</v>
      </c>
    </row>
    <row r="147" spans="1:14" x14ac:dyDescent="0.25">
      <c r="A147" t="s">
        <v>313</v>
      </c>
      <c r="B147" t="s">
        <v>17</v>
      </c>
      <c r="C147">
        <v>52</v>
      </c>
      <c r="D147" t="s">
        <v>18</v>
      </c>
      <c r="E147" t="s">
        <v>13</v>
      </c>
      <c r="F147" t="s">
        <v>35</v>
      </c>
      <c r="G147">
        <v>262255</v>
      </c>
      <c r="H147">
        <v>18.97</v>
      </c>
      <c r="I147">
        <v>31.43</v>
      </c>
      <c r="J147" s="1">
        <v>45101</v>
      </c>
      <c r="K147">
        <v>292</v>
      </c>
      <c r="L147">
        <v>3</v>
      </c>
      <c r="M147">
        <v>26225.5</v>
      </c>
      <c r="N147">
        <v>78676.5</v>
      </c>
    </row>
    <row r="148" spans="1:14" x14ac:dyDescent="0.25">
      <c r="A148" t="s">
        <v>315</v>
      </c>
      <c r="B148" t="s">
        <v>11</v>
      </c>
      <c r="C148">
        <v>37</v>
      </c>
      <c r="D148" t="s">
        <v>12</v>
      </c>
      <c r="E148" t="s">
        <v>29</v>
      </c>
      <c r="F148" t="s">
        <v>47</v>
      </c>
      <c r="G148">
        <v>3652157</v>
      </c>
      <c r="H148">
        <v>22.43</v>
      </c>
      <c r="I148">
        <v>27.93</v>
      </c>
      <c r="J148" s="1">
        <v>43878</v>
      </c>
      <c r="K148">
        <v>42</v>
      </c>
      <c r="L148">
        <v>6</v>
      </c>
      <c r="M148">
        <v>365215.7</v>
      </c>
      <c r="N148">
        <v>2191294.2000000002</v>
      </c>
    </row>
    <row r="149" spans="1:14" x14ac:dyDescent="0.25">
      <c r="A149" t="s">
        <v>317</v>
      </c>
      <c r="B149" t="s">
        <v>11</v>
      </c>
      <c r="C149">
        <v>61</v>
      </c>
      <c r="D149" t="s">
        <v>38</v>
      </c>
      <c r="E149" t="s">
        <v>23</v>
      </c>
      <c r="F149" t="s">
        <v>20</v>
      </c>
      <c r="G149">
        <v>1931016</v>
      </c>
      <c r="H149">
        <v>34.42</v>
      </c>
      <c r="I149">
        <v>-3.36</v>
      </c>
      <c r="J149" s="1">
        <v>43126</v>
      </c>
      <c r="K149">
        <v>175</v>
      </c>
      <c r="L149">
        <v>8</v>
      </c>
      <c r="M149">
        <v>193101.6</v>
      </c>
      <c r="N149">
        <v>1544812.8</v>
      </c>
    </row>
    <row r="150" spans="1:14" x14ac:dyDescent="0.25">
      <c r="A150" t="s">
        <v>319</v>
      </c>
      <c r="B150" t="s">
        <v>17</v>
      </c>
      <c r="C150">
        <v>47</v>
      </c>
      <c r="D150" t="s">
        <v>46</v>
      </c>
      <c r="E150" t="s">
        <v>13</v>
      </c>
      <c r="F150" t="s">
        <v>30</v>
      </c>
      <c r="G150">
        <v>3261746</v>
      </c>
      <c r="H150">
        <v>33.630000000000003</v>
      </c>
      <c r="I150">
        <v>3.8</v>
      </c>
      <c r="J150" s="1">
        <v>45534</v>
      </c>
      <c r="K150">
        <v>138</v>
      </c>
      <c r="L150">
        <v>1</v>
      </c>
      <c r="M150">
        <v>326174.60000000003</v>
      </c>
      <c r="N150">
        <v>326174.60000000003</v>
      </c>
    </row>
    <row r="151" spans="1:14" x14ac:dyDescent="0.25">
      <c r="A151" t="s">
        <v>321</v>
      </c>
      <c r="B151" t="s">
        <v>11</v>
      </c>
      <c r="C151">
        <v>35</v>
      </c>
      <c r="D151" t="s">
        <v>18</v>
      </c>
      <c r="E151" t="s">
        <v>57</v>
      </c>
      <c r="F151" t="s">
        <v>14</v>
      </c>
      <c r="G151">
        <v>2408320</v>
      </c>
      <c r="H151">
        <v>17.34</v>
      </c>
      <c r="I151">
        <v>19.45</v>
      </c>
      <c r="J151" s="1">
        <v>44056</v>
      </c>
      <c r="K151">
        <v>329</v>
      </c>
      <c r="L151">
        <v>5</v>
      </c>
      <c r="M151">
        <v>240832</v>
      </c>
      <c r="N151">
        <v>1204160</v>
      </c>
    </row>
    <row r="152" spans="1:14" x14ac:dyDescent="0.25">
      <c r="A152" t="s">
        <v>323</v>
      </c>
      <c r="B152" t="s">
        <v>11</v>
      </c>
      <c r="C152">
        <v>51</v>
      </c>
      <c r="D152" t="s">
        <v>28</v>
      </c>
      <c r="E152" t="s">
        <v>13</v>
      </c>
      <c r="F152" t="s">
        <v>41</v>
      </c>
      <c r="G152">
        <v>744391</v>
      </c>
      <c r="H152">
        <v>21.08</v>
      </c>
      <c r="I152">
        <v>-1.63</v>
      </c>
      <c r="J152" s="1">
        <v>44670</v>
      </c>
      <c r="K152">
        <v>114</v>
      </c>
      <c r="L152">
        <v>4</v>
      </c>
      <c r="M152">
        <v>74439.100000000006</v>
      </c>
      <c r="N152">
        <v>297756.40000000002</v>
      </c>
    </row>
    <row r="153" spans="1:14" x14ac:dyDescent="0.25">
      <c r="A153" t="s">
        <v>325</v>
      </c>
      <c r="B153" t="s">
        <v>11</v>
      </c>
      <c r="C153">
        <v>40</v>
      </c>
      <c r="D153" t="s">
        <v>46</v>
      </c>
      <c r="E153" t="s">
        <v>57</v>
      </c>
      <c r="F153" t="s">
        <v>30</v>
      </c>
      <c r="G153">
        <v>1790998</v>
      </c>
      <c r="H153">
        <v>22.12</v>
      </c>
      <c r="I153">
        <v>40.950000000000003</v>
      </c>
      <c r="J153" s="1">
        <v>45003</v>
      </c>
      <c r="K153">
        <v>92</v>
      </c>
      <c r="L153">
        <v>3</v>
      </c>
      <c r="M153">
        <v>179099.80000000002</v>
      </c>
      <c r="N153">
        <v>537299.4</v>
      </c>
    </row>
    <row r="154" spans="1:14" x14ac:dyDescent="0.25">
      <c r="A154" t="s">
        <v>327</v>
      </c>
      <c r="B154" t="s">
        <v>17</v>
      </c>
      <c r="C154">
        <v>42</v>
      </c>
      <c r="D154" t="s">
        <v>18</v>
      </c>
      <c r="E154" t="s">
        <v>19</v>
      </c>
      <c r="F154" t="s">
        <v>35</v>
      </c>
      <c r="G154">
        <v>949551</v>
      </c>
      <c r="H154">
        <v>17.02</v>
      </c>
      <c r="I154">
        <v>39.700000000000003</v>
      </c>
      <c r="J154" s="1">
        <v>43232</v>
      </c>
      <c r="K154">
        <v>203</v>
      </c>
      <c r="L154">
        <v>8</v>
      </c>
      <c r="M154">
        <v>94955.1</v>
      </c>
      <c r="N154">
        <v>759640.8</v>
      </c>
    </row>
    <row r="155" spans="1:14" x14ac:dyDescent="0.25">
      <c r="A155" t="s">
        <v>329</v>
      </c>
      <c r="B155" t="s">
        <v>11</v>
      </c>
      <c r="C155">
        <v>59</v>
      </c>
      <c r="D155" t="s">
        <v>46</v>
      </c>
      <c r="E155" t="s">
        <v>57</v>
      </c>
      <c r="F155" t="s">
        <v>41</v>
      </c>
      <c r="G155">
        <v>3442589</v>
      </c>
      <c r="H155">
        <v>5.46</v>
      </c>
      <c r="I155">
        <v>-5.8</v>
      </c>
      <c r="J155" s="1">
        <v>45581</v>
      </c>
      <c r="K155">
        <v>326</v>
      </c>
      <c r="L155">
        <v>1</v>
      </c>
      <c r="M155">
        <v>344258.9</v>
      </c>
      <c r="N155">
        <v>344258.9</v>
      </c>
    </row>
    <row r="156" spans="1:14" x14ac:dyDescent="0.25">
      <c r="A156" t="s">
        <v>331</v>
      </c>
      <c r="B156" t="s">
        <v>17</v>
      </c>
      <c r="C156">
        <v>34</v>
      </c>
      <c r="D156" t="s">
        <v>18</v>
      </c>
      <c r="E156" t="s">
        <v>57</v>
      </c>
      <c r="F156" t="s">
        <v>14</v>
      </c>
      <c r="G156">
        <v>4048041</v>
      </c>
      <c r="H156">
        <v>28</v>
      </c>
      <c r="I156">
        <v>32.020000000000003</v>
      </c>
      <c r="J156" s="1">
        <v>44109</v>
      </c>
      <c r="K156">
        <v>145</v>
      </c>
      <c r="L156">
        <v>5</v>
      </c>
      <c r="M156">
        <v>404804.10000000003</v>
      </c>
      <c r="N156">
        <v>2024020.5000000002</v>
      </c>
    </row>
    <row r="157" spans="1:14" x14ac:dyDescent="0.25">
      <c r="A157" t="s">
        <v>333</v>
      </c>
      <c r="B157" t="s">
        <v>11</v>
      </c>
      <c r="C157">
        <v>38</v>
      </c>
      <c r="D157" t="s">
        <v>18</v>
      </c>
      <c r="E157" t="s">
        <v>50</v>
      </c>
      <c r="F157" t="s">
        <v>20</v>
      </c>
      <c r="G157">
        <v>2594625</v>
      </c>
      <c r="H157">
        <v>31.56</v>
      </c>
      <c r="I157">
        <v>-9.74</v>
      </c>
      <c r="J157" s="1">
        <v>44401</v>
      </c>
      <c r="K157">
        <v>189</v>
      </c>
      <c r="L157">
        <v>4</v>
      </c>
      <c r="M157">
        <v>259462.5</v>
      </c>
      <c r="N157">
        <v>1037850</v>
      </c>
    </row>
    <row r="158" spans="1:14" x14ac:dyDescent="0.25">
      <c r="A158" t="s">
        <v>335</v>
      </c>
      <c r="B158" t="s">
        <v>11</v>
      </c>
      <c r="C158">
        <v>23</v>
      </c>
      <c r="D158" t="s">
        <v>46</v>
      </c>
      <c r="E158" t="s">
        <v>29</v>
      </c>
      <c r="F158" t="s">
        <v>14</v>
      </c>
      <c r="G158">
        <v>4098446</v>
      </c>
      <c r="H158">
        <v>34.520000000000003</v>
      </c>
      <c r="I158">
        <v>3.49</v>
      </c>
      <c r="J158" s="1">
        <v>43240</v>
      </c>
      <c r="K158">
        <v>22</v>
      </c>
      <c r="L158">
        <v>8</v>
      </c>
      <c r="M158">
        <v>409844.60000000003</v>
      </c>
      <c r="N158">
        <v>3278756.8000000003</v>
      </c>
    </row>
    <row r="159" spans="1:14" x14ac:dyDescent="0.25">
      <c r="A159" t="s">
        <v>337</v>
      </c>
      <c r="B159" t="s">
        <v>17</v>
      </c>
      <c r="C159">
        <v>22</v>
      </c>
      <c r="D159" t="s">
        <v>38</v>
      </c>
      <c r="E159" t="s">
        <v>50</v>
      </c>
      <c r="F159" t="s">
        <v>14</v>
      </c>
      <c r="G159">
        <v>1897184</v>
      </c>
      <c r="H159">
        <v>29.5</v>
      </c>
      <c r="I159">
        <v>25.86</v>
      </c>
      <c r="J159" s="1">
        <v>43692</v>
      </c>
      <c r="K159">
        <v>184</v>
      </c>
      <c r="L159">
        <v>6</v>
      </c>
      <c r="M159">
        <v>189718.40000000002</v>
      </c>
      <c r="N159">
        <v>1138310.4000000001</v>
      </c>
    </row>
    <row r="160" spans="1:14" x14ac:dyDescent="0.25">
      <c r="A160" t="s">
        <v>339</v>
      </c>
      <c r="B160" t="s">
        <v>11</v>
      </c>
      <c r="C160">
        <v>26</v>
      </c>
      <c r="D160" t="s">
        <v>38</v>
      </c>
      <c r="E160" t="s">
        <v>57</v>
      </c>
      <c r="F160" t="s">
        <v>35</v>
      </c>
      <c r="G160">
        <v>718725</v>
      </c>
      <c r="H160">
        <v>32.299999999999997</v>
      </c>
      <c r="I160">
        <v>-0.95</v>
      </c>
      <c r="J160" s="1">
        <v>45159</v>
      </c>
      <c r="K160">
        <v>194</v>
      </c>
      <c r="L160">
        <v>2</v>
      </c>
      <c r="M160">
        <v>71872.5</v>
      </c>
      <c r="N160">
        <v>143745</v>
      </c>
    </row>
    <row r="161" spans="1:14" x14ac:dyDescent="0.25">
      <c r="A161" t="s">
        <v>341</v>
      </c>
      <c r="B161" t="s">
        <v>11</v>
      </c>
      <c r="C161">
        <v>46</v>
      </c>
      <c r="D161" t="s">
        <v>46</v>
      </c>
      <c r="E161" t="s">
        <v>13</v>
      </c>
      <c r="F161" t="s">
        <v>41</v>
      </c>
      <c r="G161">
        <v>1594874</v>
      </c>
      <c r="H161">
        <v>18.600000000000001</v>
      </c>
      <c r="I161">
        <v>13.98</v>
      </c>
      <c r="J161" s="1">
        <v>45571</v>
      </c>
      <c r="K161">
        <v>357</v>
      </c>
      <c r="L161">
        <v>1</v>
      </c>
      <c r="M161">
        <v>159487.40000000002</v>
      </c>
      <c r="N161">
        <v>159487.40000000002</v>
      </c>
    </row>
    <row r="162" spans="1:14" x14ac:dyDescent="0.25">
      <c r="A162" t="s">
        <v>343</v>
      </c>
      <c r="B162" t="s">
        <v>11</v>
      </c>
      <c r="C162">
        <v>39</v>
      </c>
      <c r="D162" t="s">
        <v>38</v>
      </c>
      <c r="E162" t="s">
        <v>29</v>
      </c>
      <c r="F162" t="s">
        <v>41</v>
      </c>
      <c r="G162">
        <v>3614455</v>
      </c>
      <c r="H162">
        <v>30.51</v>
      </c>
      <c r="I162">
        <v>14.84</v>
      </c>
      <c r="J162" s="1">
        <v>43697</v>
      </c>
      <c r="K162">
        <v>149</v>
      </c>
      <c r="L162">
        <v>6</v>
      </c>
      <c r="M162">
        <v>361445.5</v>
      </c>
      <c r="N162">
        <v>2168673</v>
      </c>
    </row>
    <row r="163" spans="1:14" x14ac:dyDescent="0.25">
      <c r="A163" t="s">
        <v>345</v>
      </c>
      <c r="B163" t="s">
        <v>17</v>
      </c>
      <c r="C163">
        <v>41</v>
      </c>
      <c r="D163" t="s">
        <v>18</v>
      </c>
      <c r="E163" t="s">
        <v>23</v>
      </c>
      <c r="F163" t="s">
        <v>30</v>
      </c>
      <c r="G163">
        <v>4999667</v>
      </c>
      <c r="H163">
        <v>19.649999999999999</v>
      </c>
      <c r="I163">
        <v>41.35</v>
      </c>
      <c r="J163" s="1">
        <v>43431</v>
      </c>
      <c r="K163">
        <v>58</v>
      </c>
      <c r="L163">
        <v>7</v>
      </c>
      <c r="M163">
        <v>499966.7</v>
      </c>
      <c r="N163">
        <v>3499766.9</v>
      </c>
    </row>
    <row r="164" spans="1:14" x14ac:dyDescent="0.25">
      <c r="A164" t="s">
        <v>347</v>
      </c>
      <c r="B164" t="s">
        <v>17</v>
      </c>
      <c r="C164">
        <v>40</v>
      </c>
      <c r="D164" t="s">
        <v>18</v>
      </c>
      <c r="E164" t="s">
        <v>13</v>
      </c>
      <c r="F164" t="s">
        <v>30</v>
      </c>
      <c r="G164">
        <v>736903</v>
      </c>
      <c r="H164">
        <v>20.57</v>
      </c>
      <c r="I164">
        <v>27.35</v>
      </c>
      <c r="J164" s="1">
        <v>45349</v>
      </c>
      <c r="K164">
        <v>242</v>
      </c>
      <c r="L164">
        <v>2</v>
      </c>
      <c r="M164">
        <v>73690.3</v>
      </c>
      <c r="N164">
        <v>147380.6</v>
      </c>
    </row>
    <row r="165" spans="1:14" x14ac:dyDescent="0.25">
      <c r="A165" t="s">
        <v>349</v>
      </c>
      <c r="B165" t="s">
        <v>11</v>
      </c>
      <c r="C165">
        <v>23</v>
      </c>
      <c r="D165" t="s">
        <v>18</v>
      </c>
      <c r="E165" t="s">
        <v>23</v>
      </c>
      <c r="F165" t="s">
        <v>47</v>
      </c>
      <c r="G165">
        <v>908441</v>
      </c>
      <c r="H165">
        <v>32.54</v>
      </c>
      <c r="I165">
        <v>-0.15</v>
      </c>
      <c r="J165" s="1">
        <v>43140</v>
      </c>
      <c r="K165">
        <v>114</v>
      </c>
      <c r="L165">
        <v>8</v>
      </c>
      <c r="M165">
        <v>90844.1</v>
      </c>
      <c r="N165">
        <v>726752.8</v>
      </c>
    </row>
    <row r="166" spans="1:14" x14ac:dyDescent="0.25">
      <c r="A166" t="s">
        <v>351</v>
      </c>
      <c r="B166" t="s">
        <v>17</v>
      </c>
      <c r="C166">
        <v>54</v>
      </c>
      <c r="D166" t="s">
        <v>18</v>
      </c>
      <c r="E166" t="s">
        <v>50</v>
      </c>
      <c r="F166" t="s">
        <v>41</v>
      </c>
      <c r="G166">
        <v>4776012</v>
      </c>
      <c r="H166">
        <v>19.579999999999998</v>
      </c>
      <c r="I166">
        <v>21.71</v>
      </c>
      <c r="J166" s="1">
        <v>43407</v>
      </c>
      <c r="K166">
        <v>206</v>
      </c>
      <c r="L166">
        <v>7</v>
      </c>
      <c r="M166">
        <v>477601.2</v>
      </c>
      <c r="N166">
        <v>3343208.4</v>
      </c>
    </row>
    <row r="167" spans="1:14" x14ac:dyDescent="0.25">
      <c r="A167" t="s">
        <v>353</v>
      </c>
      <c r="B167" t="s">
        <v>17</v>
      </c>
      <c r="C167">
        <v>30</v>
      </c>
      <c r="D167" t="s">
        <v>46</v>
      </c>
      <c r="E167" t="s">
        <v>50</v>
      </c>
      <c r="F167" t="s">
        <v>35</v>
      </c>
      <c r="G167">
        <v>1532997</v>
      </c>
      <c r="H167">
        <v>16.05</v>
      </c>
      <c r="I167">
        <v>31.43</v>
      </c>
      <c r="J167" s="1">
        <v>44922</v>
      </c>
      <c r="K167">
        <v>171</v>
      </c>
      <c r="L167">
        <v>3</v>
      </c>
      <c r="M167">
        <v>153299.70000000001</v>
      </c>
      <c r="N167">
        <v>459899.10000000003</v>
      </c>
    </row>
    <row r="168" spans="1:14" x14ac:dyDescent="0.25">
      <c r="A168" t="s">
        <v>355</v>
      </c>
      <c r="B168" t="s">
        <v>17</v>
      </c>
      <c r="C168">
        <v>51</v>
      </c>
      <c r="D168" t="s">
        <v>28</v>
      </c>
      <c r="E168" t="s">
        <v>29</v>
      </c>
      <c r="F168" t="s">
        <v>30</v>
      </c>
      <c r="G168">
        <v>3854501</v>
      </c>
      <c r="H168">
        <v>31.87</v>
      </c>
      <c r="I168">
        <v>26.86</v>
      </c>
      <c r="J168" s="1">
        <v>43841</v>
      </c>
      <c r="K168">
        <v>219</v>
      </c>
      <c r="L168">
        <v>6</v>
      </c>
      <c r="M168">
        <v>385450.10000000003</v>
      </c>
      <c r="N168">
        <v>2312700.6</v>
      </c>
    </row>
    <row r="169" spans="1:14" x14ac:dyDescent="0.25">
      <c r="A169" t="s">
        <v>357</v>
      </c>
      <c r="B169" t="s">
        <v>17</v>
      </c>
      <c r="C169">
        <v>32</v>
      </c>
      <c r="D169" t="s">
        <v>12</v>
      </c>
      <c r="E169" t="s">
        <v>19</v>
      </c>
      <c r="F169" t="s">
        <v>20</v>
      </c>
      <c r="G169">
        <v>538834</v>
      </c>
      <c r="H169">
        <v>30.19</v>
      </c>
      <c r="I169">
        <v>15.49</v>
      </c>
      <c r="J169" s="1">
        <v>45007</v>
      </c>
      <c r="K169">
        <v>248</v>
      </c>
      <c r="L169">
        <v>3</v>
      </c>
      <c r="M169">
        <v>53883.4</v>
      </c>
      <c r="N169">
        <v>161650.20000000001</v>
      </c>
    </row>
    <row r="170" spans="1:14" x14ac:dyDescent="0.25">
      <c r="A170" t="s">
        <v>359</v>
      </c>
      <c r="B170" t="s">
        <v>11</v>
      </c>
      <c r="C170">
        <v>32</v>
      </c>
      <c r="D170" t="s">
        <v>38</v>
      </c>
      <c r="E170" t="s">
        <v>23</v>
      </c>
      <c r="F170" t="s">
        <v>35</v>
      </c>
      <c r="G170">
        <v>3425990</v>
      </c>
      <c r="H170">
        <v>28.65</v>
      </c>
      <c r="I170">
        <v>39.130000000000003</v>
      </c>
      <c r="J170" s="1">
        <v>43573</v>
      </c>
      <c r="K170">
        <v>215</v>
      </c>
      <c r="L170">
        <v>7</v>
      </c>
      <c r="M170">
        <v>342599</v>
      </c>
      <c r="N170">
        <v>2398193</v>
      </c>
    </row>
    <row r="171" spans="1:14" x14ac:dyDescent="0.25">
      <c r="A171" t="s">
        <v>361</v>
      </c>
      <c r="B171" t="s">
        <v>17</v>
      </c>
      <c r="C171">
        <v>64</v>
      </c>
      <c r="D171" t="s">
        <v>12</v>
      </c>
      <c r="E171" t="s">
        <v>23</v>
      </c>
      <c r="F171" t="s">
        <v>35</v>
      </c>
      <c r="G171">
        <v>1813145</v>
      </c>
      <c r="H171">
        <v>31.97</v>
      </c>
      <c r="I171">
        <v>20.77</v>
      </c>
      <c r="J171" s="1">
        <v>44061</v>
      </c>
      <c r="K171">
        <v>175</v>
      </c>
      <c r="L171">
        <v>5</v>
      </c>
      <c r="M171">
        <v>181314.5</v>
      </c>
      <c r="N171">
        <v>906572.5</v>
      </c>
    </row>
    <row r="172" spans="1:14" x14ac:dyDescent="0.25">
      <c r="A172" t="s">
        <v>363</v>
      </c>
      <c r="B172" t="s">
        <v>17</v>
      </c>
      <c r="C172">
        <v>50</v>
      </c>
      <c r="D172" t="s">
        <v>46</v>
      </c>
      <c r="E172" t="s">
        <v>50</v>
      </c>
      <c r="F172" t="s">
        <v>35</v>
      </c>
      <c r="G172">
        <v>4902005</v>
      </c>
      <c r="H172">
        <v>24.45</v>
      </c>
      <c r="I172">
        <v>39.21</v>
      </c>
      <c r="J172" s="1">
        <v>43578</v>
      </c>
      <c r="K172">
        <v>344</v>
      </c>
      <c r="L172">
        <v>7</v>
      </c>
      <c r="M172">
        <v>490200.5</v>
      </c>
      <c r="N172">
        <v>3431403.5</v>
      </c>
    </row>
    <row r="173" spans="1:14" x14ac:dyDescent="0.25">
      <c r="A173" t="s">
        <v>365</v>
      </c>
      <c r="B173" t="s">
        <v>11</v>
      </c>
      <c r="C173">
        <v>35</v>
      </c>
      <c r="D173" t="s">
        <v>46</v>
      </c>
      <c r="E173" t="s">
        <v>19</v>
      </c>
      <c r="F173" t="s">
        <v>30</v>
      </c>
      <c r="G173">
        <v>4727511</v>
      </c>
      <c r="H173">
        <v>34.729999999999997</v>
      </c>
      <c r="I173">
        <v>0.01</v>
      </c>
      <c r="J173" s="1">
        <v>43206</v>
      </c>
      <c r="K173">
        <v>327</v>
      </c>
      <c r="L173">
        <v>8</v>
      </c>
      <c r="M173">
        <v>472751.10000000003</v>
      </c>
      <c r="N173">
        <v>3782008.8000000003</v>
      </c>
    </row>
    <row r="174" spans="1:14" x14ac:dyDescent="0.25">
      <c r="A174" t="s">
        <v>367</v>
      </c>
      <c r="B174" t="s">
        <v>11</v>
      </c>
      <c r="C174">
        <v>39</v>
      </c>
      <c r="D174" t="s">
        <v>46</v>
      </c>
      <c r="E174" t="s">
        <v>57</v>
      </c>
      <c r="F174" t="s">
        <v>41</v>
      </c>
      <c r="G174">
        <v>4482240</v>
      </c>
      <c r="H174">
        <v>27.15</v>
      </c>
      <c r="I174">
        <v>38.549999999999997</v>
      </c>
      <c r="J174" s="1">
        <v>43230</v>
      </c>
      <c r="K174">
        <v>247</v>
      </c>
      <c r="L174">
        <v>8</v>
      </c>
      <c r="M174">
        <v>448224</v>
      </c>
      <c r="N174">
        <v>3585792</v>
      </c>
    </row>
    <row r="175" spans="1:14" x14ac:dyDescent="0.25">
      <c r="A175" t="s">
        <v>369</v>
      </c>
      <c r="B175" t="s">
        <v>17</v>
      </c>
      <c r="C175">
        <v>27</v>
      </c>
      <c r="D175" t="s">
        <v>46</v>
      </c>
      <c r="E175" t="s">
        <v>29</v>
      </c>
      <c r="F175" t="s">
        <v>35</v>
      </c>
      <c r="G175">
        <v>2731839</v>
      </c>
      <c r="H175">
        <v>30.23</v>
      </c>
      <c r="I175">
        <v>7.76</v>
      </c>
      <c r="J175" s="1">
        <v>44168</v>
      </c>
      <c r="K175">
        <v>176</v>
      </c>
      <c r="L175">
        <v>5</v>
      </c>
      <c r="M175">
        <v>273183.90000000002</v>
      </c>
      <c r="N175">
        <v>1365919.5</v>
      </c>
    </row>
    <row r="176" spans="1:14" x14ac:dyDescent="0.25">
      <c r="A176" t="s">
        <v>371</v>
      </c>
      <c r="B176" t="s">
        <v>11</v>
      </c>
      <c r="C176">
        <v>29</v>
      </c>
      <c r="D176" t="s">
        <v>12</v>
      </c>
      <c r="E176" t="s">
        <v>19</v>
      </c>
      <c r="F176" t="s">
        <v>30</v>
      </c>
      <c r="G176">
        <v>1280283</v>
      </c>
      <c r="H176">
        <v>32.61</v>
      </c>
      <c r="I176">
        <v>32.99</v>
      </c>
      <c r="J176" s="1">
        <v>45504</v>
      </c>
      <c r="K176">
        <v>180</v>
      </c>
      <c r="L176">
        <v>1</v>
      </c>
      <c r="M176">
        <v>128028.3</v>
      </c>
      <c r="N176">
        <v>128028.3</v>
      </c>
    </row>
    <row r="177" spans="1:14" x14ac:dyDescent="0.25">
      <c r="A177" t="s">
        <v>373</v>
      </c>
      <c r="B177" t="s">
        <v>17</v>
      </c>
      <c r="C177">
        <v>51</v>
      </c>
      <c r="D177" t="s">
        <v>12</v>
      </c>
      <c r="E177" t="s">
        <v>13</v>
      </c>
      <c r="F177" t="s">
        <v>35</v>
      </c>
      <c r="G177">
        <v>2093643</v>
      </c>
      <c r="H177">
        <v>16.66</v>
      </c>
      <c r="I177">
        <v>39.01</v>
      </c>
      <c r="J177" s="1">
        <v>43227</v>
      </c>
      <c r="K177">
        <v>9</v>
      </c>
      <c r="L177">
        <v>8</v>
      </c>
      <c r="M177">
        <v>209364.30000000002</v>
      </c>
      <c r="N177">
        <v>1674914.4000000001</v>
      </c>
    </row>
    <row r="178" spans="1:14" x14ac:dyDescent="0.25">
      <c r="A178" t="s">
        <v>375</v>
      </c>
      <c r="B178" t="s">
        <v>11</v>
      </c>
      <c r="C178">
        <v>36</v>
      </c>
      <c r="D178" t="s">
        <v>38</v>
      </c>
      <c r="E178" t="s">
        <v>13</v>
      </c>
      <c r="F178" t="s">
        <v>47</v>
      </c>
      <c r="G178">
        <v>4968053</v>
      </c>
      <c r="H178">
        <v>17.03</v>
      </c>
      <c r="I178">
        <v>-0.89</v>
      </c>
      <c r="J178" s="1">
        <v>44946</v>
      </c>
      <c r="K178">
        <v>251</v>
      </c>
      <c r="L178">
        <v>3</v>
      </c>
      <c r="M178">
        <v>496805.30000000005</v>
      </c>
      <c r="N178">
        <v>1490415.9000000001</v>
      </c>
    </row>
    <row r="179" spans="1:14" x14ac:dyDescent="0.25">
      <c r="A179" t="s">
        <v>377</v>
      </c>
      <c r="B179" t="s">
        <v>17</v>
      </c>
      <c r="C179">
        <v>61</v>
      </c>
      <c r="D179" t="s">
        <v>46</v>
      </c>
      <c r="E179" t="s">
        <v>13</v>
      </c>
      <c r="F179" t="s">
        <v>47</v>
      </c>
      <c r="G179">
        <v>980799</v>
      </c>
      <c r="H179">
        <v>18.3</v>
      </c>
      <c r="I179">
        <v>42.43</v>
      </c>
      <c r="J179" s="1">
        <v>43357</v>
      </c>
      <c r="K179">
        <v>180</v>
      </c>
      <c r="L179">
        <v>7</v>
      </c>
      <c r="M179">
        <v>98079.900000000009</v>
      </c>
      <c r="N179">
        <v>686559.3</v>
      </c>
    </row>
    <row r="180" spans="1:14" x14ac:dyDescent="0.25">
      <c r="A180" t="s">
        <v>379</v>
      </c>
      <c r="B180" t="s">
        <v>17</v>
      </c>
      <c r="C180">
        <v>39</v>
      </c>
      <c r="D180" t="s">
        <v>12</v>
      </c>
      <c r="E180" t="s">
        <v>13</v>
      </c>
      <c r="F180" t="s">
        <v>41</v>
      </c>
      <c r="G180">
        <v>1795594</v>
      </c>
      <c r="H180">
        <v>27.32</v>
      </c>
      <c r="I180">
        <v>0.33</v>
      </c>
      <c r="J180" s="1">
        <v>44073</v>
      </c>
      <c r="K180">
        <v>316</v>
      </c>
      <c r="L180">
        <v>5</v>
      </c>
      <c r="M180">
        <v>179559.40000000002</v>
      </c>
      <c r="N180">
        <v>897797.00000000012</v>
      </c>
    </row>
    <row r="181" spans="1:14" x14ac:dyDescent="0.25">
      <c r="A181" t="s">
        <v>381</v>
      </c>
      <c r="B181" t="s">
        <v>11</v>
      </c>
      <c r="C181">
        <v>61</v>
      </c>
      <c r="D181" t="s">
        <v>46</v>
      </c>
      <c r="E181" t="s">
        <v>50</v>
      </c>
      <c r="F181" t="s">
        <v>14</v>
      </c>
      <c r="G181">
        <v>3442735</v>
      </c>
      <c r="H181">
        <v>13.78</v>
      </c>
      <c r="I181">
        <v>34.67</v>
      </c>
      <c r="J181" s="1">
        <v>43351</v>
      </c>
      <c r="K181">
        <v>69</v>
      </c>
      <c r="L181">
        <v>7</v>
      </c>
      <c r="M181">
        <v>344273.5</v>
      </c>
      <c r="N181">
        <v>2409914.5</v>
      </c>
    </row>
    <row r="182" spans="1:14" x14ac:dyDescent="0.25">
      <c r="A182" t="s">
        <v>382</v>
      </c>
      <c r="B182" t="s">
        <v>17</v>
      </c>
      <c r="C182">
        <v>50</v>
      </c>
      <c r="D182" t="s">
        <v>28</v>
      </c>
      <c r="E182" t="s">
        <v>19</v>
      </c>
      <c r="F182" t="s">
        <v>47</v>
      </c>
      <c r="G182">
        <v>4792061</v>
      </c>
      <c r="H182">
        <v>23.36</v>
      </c>
      <c r="I182">
        <v>-7.73</v>
      </c>
      <c r="J182" s="1">
        <v>45556</v>
      </c>
      <c r="K182">
        <v>113</v>
      </c>
      <c r="L182">
        <v>1</v>
      </c>
      <c r="M182">
        <v>479206.10000000003</v>
      </c>
      <c r="N182">
        <v>479206.10000000003</v>
      </c>
    </row>
    <row r="183" spans="1:14" x14ac:dyDescent="0.25">
      <c r="A183" t="s">
        <v>384</v>
      </c>
      <c r="B183" t="s">
        <v>17</v>
      </c>
      <c r="C183">
        <v>29</v>
      </c>
      <c r="D183" t="s">
        <v>12</v>
      </c>
      <c r="E183" t="s">
        <v>29</v>
      </c>
      <c r="F183" t="s">
        <v>47</v>
      </c>
      <c r="G183">
        <v>474123</v>
      </c>
      <c r="H183">
        <v>27.44</v>
      </c>
      <c r="I183">
        <v>25.47</v>
      </c>
      <c r="J183" s="1">
        <v>43500</v>
      </c>
      <c r="K183">
        <v>305</v>
      </c>
      <c r="L183">
        <v>7</v>
      </c>
      <c r="M183">
        <v>47412.3</v>
      </c>
      <c r="N183">
        <v>331886.10000000003</v>
      </c>
    </row>
    <row r="184" spans="1:14" x14ac:dyDescent="0.25">
      <c r="A184" t="s">
        <v>385</v>
      </c>
      <c r="B184" t="s">
        <v>17</v>
      </c>
      <c r="C184">
        <v>34</v>
      </c>
      <c r="D184" t="s">
        <v>12</v>
      </c>
      <c r="E184" t="s">
        <v>13</v>
      </c>
      <c r="F184" t="s">
        <v>47</v>
      </c>
      <c r="G184">
        <v>4578350</v>
      </c>
      <c r="H184">
        <v>26.4</v>
      </c>
      <c r="I184">
        <v>-7.48</v>
      </c>
      <c r="J184" s="1">
        <v>44494</v>
      </c>
      <c r="K184">
        <v>127</v>
      </c>
      <c r="L184">
        <v>4</v>
      </c>
      <c r="M184">
        <v>457835</v>
      </c>
      <c r="N184">
        <v>1831340</v>
      </c>
    </row>
    <row r="185" spans="1:14" x14ac:dyDescent="0.25">
      <c r="A185" t="s">
        <v>387</v>
      </c>
      <c r="B185" t="s">
        <v>11</v>
      </c>
      <c r="C185">
        <v>60</v>
      </c>
      <c r="D185" t="s">
        <v>38</v>
      </c>
      <c r="E185" t="s">
        <v>29</v>
      </c>
      <c r="F185" t="s">
        <v>14</v>
      </c>
      <c r="G185">
        <v>3560777</v>
      </c>
      <c r="H185">
        <v>9.39</v>
      </c>
      <c r="I185">
        <v>38.229999999999997</v>
      </c>
      <c r="J185" s="1">
        <v>44902</v>
      </c>
      <c r="K185">
        <v>33</v>
      </c>
      <c r="L185">
        <v>3</v>
      </c>
      <c r="M185">
        <v>356077.7</v>
      </c>
      <c r="N185">
        <v>1068233.1000000001</v>
      </c>
    </row>
    <row r="186" spans="1:14" x14ac:dyDescent="0.25">
      <c r="A186" t="s">
        <v>389</v>
      </c>
      <c r="B186" t="s">
        <v>11</v>
      </c>
      <c r="C186">
        <v>22</v>
      </c>
      <c r="D186" t="s">
        <v>12</v>
      </c>
      <c r="E186" t="s">
        <v>23</v>
      </c>
      <c r="F186" t="s">
        <v>20</v>
      </c>
      <c r="G186">
        <v>3452749</v>
      </c>
      <c r="H186">
        <v>11.81</v>
      </c>
      <c r="I186">
        <v>6.37</v>
      </c>
      <c r="J186" s="1">
        <v>43998</v>
      </c>
      <c r="K186">
        <v>232</v>
      </c>
      <c r="L186">
        <v>6</v>
      </c>
      <c r="M186">
        <v>345274.9</v>
      </c>
      <c r="N186">
        <v>2071649.4000000001</v>
      </c>
    </row>
    <row r="187" spans="1:14" x14ac:dyDescent="0.25">
      <c r="A187" t="s">
        <v>391</v>
      </c>
      <c r="B187" t="s">
        <v>17</v>
      </c>
      <c r="C187">
        <v>34</v>
      </c>
      <c r="D187" t="s">
        <v>12</v>
      </c>
      <c r="E187" t="s">
        <v>13</v>
      </c>
      <c r="F187" t="s">
        <v>20</v>
      </c>
      <c r="G187">
        <v>1574126</v>
      </c>
      <c r="H187">
        <v>10.1</v>
      </c>
      <c r="I187">
        <v>22.32</v>
      </c>
      <c r="J187" s="1">
        <v>45465</v>
      </c>
      <c r="K187">
        <v>103</v>
      </c>
      <c r="L187">
        <v>2</v>
      </c>
      <c r="M187">
        <v>157412.6</v>
      </c>
      <c r="N187">
        <v>314825.2</v>
      </c>
    </row>
    <row r="188" spans="1:14" x14ac:dyDescent="0.25">
      <c r="A188" t="s">
        <v>393</v>
      </c>
      <c r="B188" t="s">
        <v>11</v>
      </c>
      <c r="C188">
        <v>52</v>
      </c>
      <c r="D188" t="s">
        <v>18</v>
      </c>
      <c r="E188" t="s">
        <v>23</v>
      </c>
      <c r="F188" t="s">
        <v>41</v>
      </c>
      <c r="G188">
        <v>1057262</v>
      </c>
      <c r="H188">
        <v>30.12</v>
      </c>
      <c r="I188">
        <v>29.28</v>
      </c>
      <c r="J188" s="1">
        <v>43277</v>
      </c>
      <c r="K188">
        <v>316</v>
      </c>
      <c r="L188">
        <v>8</v>
      </c>
      <c r="M188">
        <v>105726.20000000001</v>
      </c>
      <c r="N188">
        <v>845809.60000000009</v>
      </c>
    </row>
    <row r="189" spans="1:14" x14ac:dyDescent="0.25">
      <c r="A189" t="s">
        <v>395</v>
      </c>
      <c r="B189" t="s">
        <v>11</v>
      </c>
      <c r="C189">
        <v>44</v>
      </c>
      <c r="D189" t="s">
        <v>18</v>
      </c>
      <c r="E189" t="s">
        <v>29</v>
      </c>
      <c r="F189" t="s">
        <v>41</v>
      </c>
      <c r="G189">
        <v>2076355</v>
      </c>
      <c r="H189">
        <v>33.11</v>
      </c>
      <c r="I189">
        <v>10.72</v>
      </c>
      <c r="J189" s="1">
        <v>44903</v>
      </c>
      <c r="K189">
        <v>48</v>
      </c>
      <c r="L189">
        <v>3</v>
      </c>
      <c r="M189">
        <v>207635.5</v>
      </c>
      <c r="N189">
        <v>622906.5</v>
      </c>
    </row>
    <row r="190" spans="1:14" x14ac:dyDescent="0.25">
      <c r="A190" t="s">
        <v>396</v>
      </c>
      <c r="B190" t="s">
        <v>17</v>
      </c>
      <c r="C190">
        <v>65</v>
      </c>
      <c r="D190" t="s">
        <v>18</v>
      </c>
      <c r="E190" t="s">
        <v>57</v>
      </c>
      <c r="F190" t="s">
        <v>30</v>
      </c>
      <c r="G190">
        <v>2351459</v>
      </c>
      <c r="H190">
        <v>25.43</v>
      </c>
      <c r="I190">
        <v>2.2200000000000002</v>
      </c>
      <c r="J190" s="1">
        <v>44237</v>
      </c>
      <c r="K190">
        <v>94</v>
      </c>
      <c r="L190">
        <v>5</v>
      </c>
      <c r="M190">
        <v>235145.90000000002</v>
      </c>
      <c r="N190">
        <v>1175729.5</v>
      </c>
    </row>
    <row r="191" spans="1:14" x14ac:dyDescent="0.25">
      <c r="A191" t="s">
        <v>398</v>
      </c>
      <c r="B191" t="s">
        <v>11</v>
      </c>
      <c r="C191">
        <v>41</v>
      </c>
      <c r="D191" t="s">
        <v>28</v>
      </c>
      <c r="E191" t="s">
        <v>50</v>
      </c>
      <c r="F191" t="s">
        <v>30</v>
      </c>
      <c r="G191">
        <v>2555619</v>
      </c>
      <c r="H191">
        <v>24.5</v>
      </c>
      <c r="I191">
        <v>38.97</v>
      </c>
      <c r="J191" s="1">
        <v>45013</v>
      </c>
      <c r="K191">
        <v>184</v>
      </c>
      <c r="L191">
        <v>3</v>
      </c>
      <c r="M191">
        <v>255561.90000000002</v>
      </c>
      <c r="N191">
        <v>766685.70000000007</v>
      </c>
    </row>
    <row r="192" spans="1:14" x14ac:dyDescent="0.25">
      <c r="A192" t="s">
        <v>400</v>
      </c>
      <c r="B192" t="s">
        <v>17</v>
      </c>
      <c r="C192">
        <v>38</v>
      </c>
      <c r="D192" t="s">
        <v>28</v>
      </c>
      <c r="E192" t="s">
        <v>13</v>
      </c>
      <c r="F192" t="s">
        <v>35</v>
      </c>
      <c r="G192">
        <v>1997737</v>
      </c>
      <c r="H192">
        <v>14.36</v>
      </c>
      <c r="I192">
        <v>41.63</v>
      </c>
      <c r="J192" s="1">
        <v>44199</v>
      </c>
      <c r="K192">
        <v>335</v>
      </c>
      <c r="L192">
        <v>5</v>
      </c>
      <c r="M192">
        <v>199773.7</v>
      </c>
      <c r="N192">
        <v>998868.5</v>
      </c>
    </row>
    <row r="193" spans="1:14" x14ac:dyDescent="0.25">
      <c r="A193" t="s">
        <v>402</v>
      </c>
      <c r="B193" t="s">
        <v>11</v>
      </c>
      <c r="C193">
        <v>35</v>
      </c>
      <c r="D193" t="s">
        <v>46</v>
      </c>
      <c r="E193" t="s">
        <v>13</v>
      </c>
      <c r="F193" t="s">
        <v>14</v>
      </c>
      <c r="G193">
        <v>2099490</v>
      </c>
      <c r="H193">
        <v>26.16</v>
      </c>
      <c r="I193">
        <v>37.64</v>
      </c>
      <c r="J193" s="1">
        <v>43279</v>
      </c>
      <c r="K193">
        <v>172</v>
      </c>
      <c r="L193">
        <v>8</v>
      </c>
      <c r="M193">
        <v>209949</v>
      </c>
      <c r="N193">
        <v>1679592</v>
      </c>
    </row>
    <row r="194" spans="1:14" x14ac:dyDescent="0.25">
      <c r="A194" t="s">
        <v>404</v>
      </c>
      <c r="B194" t="s">
        <v>17</v>
      </c>
      <c r="C194">
        <v>36</v>
      </c>
      <c r="D194" t="s">
        <v>18</v>
      </c>
      <c r="E194" t="s">
        <v>13</v>
      </c>
      <c r="F194" t="s">
        <v>14</v>
      </c>
      <c r="G194">
        <v>4434255</v>
      </c>
      <c r="H194">
        <v>23.84</v>
      </c>
      <c r="I194">
        <v>16.05</v>
      </c>
      <c r="J194" s="1">
        <v>45113</v>
      </c>
      <c r="K194">
        <v>21</v>
      </c>
      <c r="L194">
        <v>3</v>
      </c>
      <c r="M194">
        <v>443425.5</v>
      </c>
      <c r="N194">
        <v>1330276.5</v>
      </c>
    </row>
    <row r="195" spans="1:14" x14ac:dyDescent="0.25">
      <c r="A195" t="s">
        <v>406</v>
      </c>
      <c r="B195" t="s">
        <v>17</v>
      </c>
      <c r="C195">
        <v>29</v>
      </c>
      <c r="D195" t="s">
        <v>38</v>
      </c>
      <c r="E195" t="s">
        <v>57</v>
      </c>
      <c r="F195" t="s">
        <v>35</v>
      </c>
      <c r="G195">
        <v>4037765</v>
      </c>
      <c r="H195">
        <v>9.5299999999999994</v>
      </c>
      <c r="I195">
        <v>41.85</v>
      </c>
      <c r="J195" s="1">
        <v>44712</v>
      </c>
      <c r="K195">
        <v>52</v>
      </c>
      <c r="L195">
        <v>4</v>
      </c>
      <c r="M195">
        <v>403776.5</v>
      </c>
      <c r="N195">
        <v>1615106</v>
      </c>
    </row>
    <row r="196" spans="1:14" x14ac:dyDescent="0.25">
      <c r="A196" t="s">
        <v>408</v>
      </c>
      <c r="B196" t="s">
        <v>11</v>
      </c>
      <c r="C196">
        <v>40</v>
      </c>
      <c r="D196" t="s">
        <v>12</v>
      </c>
      <c r="E196" t="s">
        <v>13</v>
      </c>
      <c r="F196" t="s">
        <v>35</v>
      </c>
      <c r="G196">
        <v>4282680</v>
      </c>
      <c r="H196">
        <v>18.46</v>
      </c>
      <c r="I196">
        <v>5.39</v>
      </c>
      <c r="J196" s="1">
        <v>45216</v>
      </c>
      <c r="K196">
        <v>137</v>
      </c>
      <c r="L196">
        <v>2</v>
      </c>
      <c r="M196">
        <v>428268</v>
      </c>
      <c r="N196">
        <v>856536</v>
      </c>
    </row>
    <row r="197" spans="1:14" x14ac:dyDescent="0.25">
      <c r="A197" t="s">
        <v>410</v>
      </c>
      <c r="B197" t="s">
        <v>17</v>
      </c>
      <c r="C197">
        <v>33</v>
      </c>
      <c r="D197" t="s">
        <v>46</v>
      </c>
      <c r="E197" t="s">
        <v>13</v>
      </c>
      <c r="F197" t="s">
        <v>35</v>
      </c>
      <c r="G197">
        <v>1278575</v>
      </c>
      <c r="H197">
        <v>14.59</v>
      </c>
      <c r="I197">
        <v>44.63</v>
      </c>
      <c r="J197" s="1">
        <v>45022</v>
      </c>
      <c r="K197">
        <v>101</v>
      </c>
      <c r="L197">
        <v>3</v>
      </c>
      <c r="M197">
        <v>127857.5</v>
      </c>
      <c r="N197">
        <v>383572.5</v>
      </c>
    </row>
    <row r="198" spans="1:14" x14ac:dyDescent="0.25">
      <c r="A198" t="s">
        <v>412</v>
      </c>
      <c r="B198" t="s">
        <v>11</v>
      </c>
      <c r="C198">
        <v>29</v>
      </c>
      <c r="D198" t="s">
        <v>18</v>
      </c>
      <c r="E198" t="s">
        <v>19</v>
      </c>
      <c r="F198" t="s">
        <v>41</v>
      </c>
      <c r="G198">
        <v>4757842</v>
      </c>
      <c r="H198">
        <v>16.899999999999999</v>
      </c>
      <c r="I198">
        <v>2.37</v>
      </c>
      <c r="J198" s="1">
        <v>43891</v>
      </c>
      <c r="K198">
        <v>100</v>
      </c>
      <c r="L198">
        <v>6</v>
      </c>
      <c r="M198">
        <v>475784.2</v>
      </c>
      <c r="N198">
        <v>2854705.2</v>
      </c>
    </row>
    <row r="199" spans="1:14" x14ac:dyDescent="0.25">
      <c r="A199" t="s">
        <v>414</v>
      </c>
      <c r="B199" t="s">
        <v>17</v>
      </c>
      <c r="C199">
        <v>64</v>
      </c>
      <c r="D199" t="s">
        <v>46</v>
      </c>
      <c r="E199" t="s">
        <v>19</v>
      </c>
      <c r="F199" t="s">
        <v>35</v>
      </c>
      <c r="G199">
        <v>2318964</v>
      </c>
      <c r="H199">
        <v>5.55</v>
      </c>
      <c r="I199">
        <v>-2.14</v>
      </c>
      <c r="J199" s="1">
        <v>44858</v>
      </c>
      <c r="K199">
        <v>44</v>
      </c>
      <c r="L199">
        <v>3</v>
      </c>
      <c r="M199">
        <v>231896.40000000002</v>
      </c>
      <c r="N199">
        <v>695689.20000000007</v>
      </c>
    </row>
    <row r="200" spans="1:14" x14ac:dyDescent="0.25">
      <c r="A200" t="s">
        <v>416</v>
      </c>
      <c r="B200" t="s">
        <v>11</v>
      </c>
      <c r="C200">
        <v>22</v>
      </c>
      <c r="D200" t="s">
        <v>28</v>
      </c>
      <c r="E200" t="s">
        <v>57</v>
      </c>
      <c r="F200" t="s">
        <v>20</v>
      </c>
      <c r="G200">
        <v>748066</v>
      </c>
      <c r="H200">
        <v>28.28</v>
      </c>
      <c r="I200">
        <v>14.24</v>
      </c>
      <c r="J200" s="1">
        <v>43350</v>
      </c>
      <c r="K200">
        <v>315</v>
      </c>
      <c r="L200">
        <v>7</v>
      </c>
      <c r="M200">
        <v>74806.600000000006</v>
      </c>
      <c r="N200">
        <v>523646.20000000007</v>
      </c>
    </row>
    <row r="201" spans="1:14" x14ac:dyDescent="0.25">
      <c r="A201" t="s">
        <v>418</v>
      </c>
      <c r="B201" t="s">
        <v>17</v>
      </c>
      <c r="C201">
        <v>26</v>
      </c>
      <c r="D201" t="s">
        <v>28</v>
      </c>
      <c r="E201" t="s">
        <v>57</v>
      </c>
      <c r="F201" t="s">
        <v>41</v>
      </c>
      <c r="G201">
        <v>2949752</v>
      </c>
      <c r="H201">
        <v>32.85</v>
      </c>
      <c r="I201">
        <v>28.82</v>
      </c>
      <c r="J201" s="1">
        <v>44013</v>
      </c>
      <c r="K201">
        <v>339</v>
      </c>
      <c r="L201">
        <v>6</v>
      </c>
      <c r="M201">
        <v>294975.2</v>
      </c>
      <c r="N201">
        <v>1769851.2000000002</v>
      </c>
    </row>
    <row r="202" spans="1:14" x14ac:dyDescent="0.25">
      <c r="A202" t="s">
        <v>420</v>
      </c>
      <c r="B202" t="s">
        <v>11</v>
      </c>
      <c r="C202">
        <v>24</v>
      </c>
      <c r="D202" t="s">
        <v>18</v>
      </c>
      <c r="E202" t="s">
        <v>19</v>
      </c>
      <c r="F202" t="s">
        <v>35</v>
      </c>
      <c r="G202">
        <v>1211782</v>
      </c>
      <c r="H202">
        <v>34.270000000000003</v>
      </c>
      <c r="I202">
        <v>12.16</v>
      </c>
      <c r="J202" s="1">
        <v>44066</v>
      </c>
      <c r="K202">
        <v>58</v>
      </c>
      <c r="L202">
        <v>5</v>
      </c>
      <c r="M202">
        <v>121178.20000000001</v>
      </c>
      <c r="N202">
        <v>605891</v>
      </c>
    </row>
    <row r="203" spans="1:14" x14ac:dyDescent="0.25">
      <c r="A203" t="s">
        <v>422</v>
      </c>
      <c r="B203" t="s">
        <v>11</v>
      </c>
      <c r="C203">
        <v>47</v>
      </c>
      <c r="D203" t="s">
        <v>12</v>
      </c>
      <c r="E203" t="s">
        <v>19</v>
      </c>
      <c r="F203" t="s">
        <v>41</v>
      </c>
      <c r="G203">
        <v>3502972</v>
      </c>
      <c r="H203">
        <v>33.729999999999997</v>
      </c>
      <c r="I203">
        <v>18.149999999999999</v>
      </c>
      <c r="J203" s="1">
        <v>43298</v>
      </c>
      <c r="K203">
        <v>333</v>
      </c>
      <c r="L203">
        <v>8</v>
      </c>
      <c r="M203">
        <v>350297.2</v>
      </c>
      <c r="N203">
        <v>2802377.6</v>
      </c>
    </row>
    <row r="204" spans="1:14" x14ac:dyDescent="0.25">
      <c r="A204" t="s">
        <v>424</v>
      </c>
      <c r="B204" t="s">
        <v>11</v>
      </c>
      <c r="C204">
        <v>63</v>
      </c>
      <c r="D204" t="s">
        <v>46</v>
      </c>
      <c r="E204" t="s">
        <v>19</v>
      </c>
      <c r="F204" t="s">
        <v>14</v>
      </c>
      <c r="G204">
        <v>247525</v>
      </c>
      <c r="H204">
        <v>34.36</v>
      </c>
      <c r="I204">
        <v>10.94</v>
      </c>
      <c r="J204" s="1">
        <v>45249</v>
      </c>
      <c r="K204">
        <v>12</v>
      </c>
      <c r="L204">
        <v>2</v>
      </c>
      <c r="M204">
        <v>24752.5</v>
      </c>
      <c r="N204">
        <v>49505</v>
      </c>
    </row>
    <row r="205" spans="1:14" x14ac:dyDescent="0.25">
      <c r="A205" t="s">
        <v>426</v>
      </c>
      <c r="B205" t="s">
        <v>11</v>
      </c>
      <c r="C205">
        <v>23</v>
      </c>
      <c r="D205" t="s">
        <v>18</v>
      </c>
      <c r="E205" t="s">
        <v>57</v>
      </c>
      <c r="F205" t="s">
        <v>30</v>
      </c>
      <c r="G205">
        <v>1705628</v>
      </c>
      <c r="H205">
        <v>23.24</v>
      </c>
      <c r="I205">
        <v>42.76</v>
      </c>
      <c r="J205" s="1">
        <v>43555</v>
      </c>
      <c r="K205">
        <v>154</v>
      </c>
      <c r="L205">
        <v>7</v>
      </c>
      <c r="M205">
        <v>170562.80000000002</v>
      </c>
      <c r="N205">
        <v>1193939.6000000001</v>
      </c>
    </row>
    <row r="206" spans="1:14" x14ac:dyDescent="0.25">
      <c r="A206" t="s">
        <v>428</v>
      </c>
      <c r="B206" t="s">
        <v>11</v>
      </c>
      <c r="C206">
        <v>43</v>
      </c>
      <c r="D206" t="s">
        <v>12</v>
      </c>
      <c r="E206" t="s">
        <v>19</v>
      </c>
      <c r="F206" t="s">
        <v>20</v>
      </c>
      <c r="G206">
        <v>4933594</v>
      </c>
      <c r="H206">
        <v>32.89</v>
      </c>
      <c r="I206">
        <v>10.199999999999999</v>
      </c>
      <c r="J206" s="1">
        <v>44503</v>
      </c>
      <c r="K206">
        <v>110</v>
      </c>
      <c r="L206">
        <v>4</v>
      </c>
      <c r="M206">
        <v>493359.4</v>
      </c>
      <c r="N206">
        <v>1973437.6</v>
      </c>
    </row>
    <row r="207" spans="1:14" x14ac:dyDescent="0.25">
      <c r="A207" t="s">
        <v>430</v>
      </c>
      <c r="B207" t="s">
        <v>17</v>
      </c>
      <c r="C207">
        <v>44</v>
      </c>
      <c r="D207" t="s">
        <v>38</v>
      </c>
      <c r="E207" t="s">
        <v>23</v>
      </c>
      <c r="F207" t="s">
        <v>20</v>
      </c>
      <c r="G207">
        <v>4816145</v>
      </c>
      <c r="H207">
        <v>33.270000000000003</v>
      </c>
      <c r="I207">
        <v>37.549999999999997</v>
      </c>
      <c r="J207" s="1">
        <v>43784</v>
      </c>
      <c r="K207">
        <v>53</v>
      </c>
      <c r="L207">
        <v>6</v>
      </c>
      <c r="M207">
        <v>481614.5</v>
      </c>
      <c r="N207">
        <v>2889687</v>
      </c>
    </row>
    <row r="208" spans="1:14" x14ac:dyDescent="0.25">
      <c r="A208" t="s">
        <v>432</v>
      </c>
      <c r="B208" t="s">
        <v>17</v>
      </c>
      <c r="C208">
        <v>24</v>
      </c>
      <c r="D208" t="s">
        <v>46</v>
      </c>
      <c r="E208" t="s">
        <v>57</v>
      </c>
      <c r="F208" t="s">
        <v>47</v>
      </c>
      <c r="G208">
        <v>1181622</v>
      </c>
      <c r="H208">
        <v>14.51</v>
      </c>
      <c r="I208">
        <v>2.0299999999999998</v>
      </c>
      <c r="J208" s="1">
        <v>43551</v>
      </c>
      <c r="K208">
        <v>21</v>
      </c>
      <c r="L208">
        <v>7</v>
      </c>
      <c r="M208">
        <v>118162.20000000001</v>
      </c>
      <c r="N208">
        <v>827135.40000000014</v>
      </c>
    </row>
    <row r="209" spans="1:14" x14ac:dyDescent="0.25">
      <c r="A209" t="s">
        <v>434</v>
      </c>
      <c r="B209" t="s">
        <v>11</v>
      </c>
      <c r="C209">
        <v>28</v>
      </c>
      <c r="D209" t="s">
        <v>46</v>
      </c>
      <c r="E209" t="s">
        <v>19</v>
      </c>
      <c r="F209" t="s">
        <v>35</v>
      </c>
      <c r="G209">
        <v>4240840</v>
      </c>
      <c r="H209">
        <v>18.600000000000001</v>
      </c>
      <c r="I209">
        <v>1.78</v>
      </c>
      <c r="J209" s="1">
        <v>43181</v>
      </c>
      <c r="K209">
        <v>181</v>
      </c>
      <c r="L209">
        <v>8</v>
      </c>
      <c r="M209">
        <v>424084</v>
      </c>
      <c r="N209">
        <v>3392672</v>
      </c>
    </row>
    <row r="210" spans="1:14" x14ac:dyDescent="0.25">
      <c r="A210" t="s">
        <v>436</v>
      </c>
      <c r="B210" t="s">
        <v>11</v>
      </c>
      <c r="C210">
        <v>24</v>
      </c>
      <c r="D210" t="s">
        <v>46</v>
      </c>
      <c r="E210" t="s">
        <v>23</v>
      </c>
      <c r="F210" t="s">
        <v>20</v>
      </c>
      <c r="G210">
        <v>4787159</v>
      </c>
      <c r="H210">
        <v>34.32</v>
      </c>
      <c r="I210">
        <v>-3.88</v>
      </c>
      <c r="J210" s="1">
        <v>45077</v>
      </c>
      <c r="K210">
        <v>125</v>
      </c>
      <c r="L210">
        <v>3</v>
      </c>
      <c r="M210">
        <v>478715.9</v>
      </c>
      <c r="N210">
        <v>1436147.7000000002</v>
      </c>
    </row>
    <row r="211" spans="1:14" x14ac:dyDescent="0.25">
      <c r="A211" t="s">
        <v>438</v>
      </c>
      <c r="B211" t="s">
        <v>17</v>
      </c>
      <c r="C211">
        <v>46</v>
      </c>
      <c r="D211" t="s">
        <v>38</v>
      </c>
      <c r="E211" t="s">
        <v>19</v>
      </c>
      <c r="F211" t="s">
        <v>47</v>
      </c>
      <c r="G211">
        <v>1123820</v>
      </c>
      <c r="H211">
        <v>9.2899999999999991</v>
      </c>
      <c r="I211">
        <v>39.96</v>
      </c>
      <c r="J211" s="1">
        <v>44023</v>
      </c>
      <c r="K211">
        <v>365</v>
      </c>
      <c r="L211">
        <v>6</v>
      </c>
      <c r="M211">
        <v>112382</v>
      </c>
      <c r="N211">
        <v>674292</v>
      </c>
    </row>
    <row r="212" spans="1:14" x14ac:dyDescent="0.25">
      <c r="A212" t="s">
        <v>440</v>
      </c>
      <c r="B212" t="s">
        <v>11</v>
      </c>
      <c r="C212">
        <v>33</v>
      </c>
      <c r="D212" t="s">
        <v>46</v>
      </c>
      <c r="E212" t="s">
        <v>29</v>
      </c>
      <c r="F212" t="s">
        <v>41</v>
      </c>
      <c r="G212">
        <v>4134355</v>
      </c>
      <c r="H212">
        <v>19.11</v>
      </c>
      <c r="I212">
        <v>-3.02</v>
      </c>
      <c r="J212" s="1">
        <v>43450</v>
      </c>
      <c r="K212">
        <v>33</v>
      </c>
      <c r="L212">
        <v>7</v>
      </c>
      <c r="M212">
        <v>413435.5</v>
      </c>
      <c r="N212">
        <v>2894048.5</v>
      </c>
    </row>
    <row r="213" spans="1:14" x14ac:dyDescent="0.25">
      <c r="A213" t="s">
        <v>442</v>
      </c>
      <c r="B213" t="s">
        <v>17</v>
      </c>
      <c r="C213">
        <v>30</v>
      </c>
      <c r="D213" t="s">
        <v>46</v>
      </c>
      <c r="E213" t="s">
        <v>19</v>
      </c>
      <c r="F213" t="s">
        <v>35</v>
      </c>
      <c r="G213">
        <v>456498</v>
      </c>
      <c r="H213">
        <v>10.91</v>
      </c>
      <c r="I213">
        <v>18.43</v>
      </c>
      <c r="J213" s="1">
        <v>44442</v>
      </c>
      <c r="K213">
        <v>21</v>
      </c>
      <c r="L213">
        <v>4</v>
      </c>
      <c r="M213">
        <v>45649.8</v>
      </c>
      <c r="N213">
        <v>182599.2</v>
      </c>
    </row>
    <row r="214" spans="1:14" x14ac:dyDescent="0.25">
      <c r="A214" t="s">
        <v>444</v>
      </c>
      <c r="B214" t="s">
        <v>17</v>
      </c>
      <c r="C214">
        <v>54</v>
      </c>
      <c r="D214" t="s">
        <v>12</v>
      </c>
      <c r="E214" t="s">
        <v>23</v>
      </c>
      <c r="F214" t="s">
        <v>14</v>
      </c>
      <c r="G214">
        <v>3521621</v>
      </c>
      <c r="H214">
        <v>12.91</v>
      </c>
      <c r="I214">
        <v>30.84</v>
      </c>
      <c r="J214" s="1">
        <v>44852</v>
      </c>
      <c r="K214">
        <v>187</v>
      </c>
      <c r="L214">
        <v>3</v>
      </c>
      <c r="M214">
        <v>352162.10000000003</v>
      </c>
      <c r="N214">
        <v>1056486.3</v>
      </c>
    </row>
    <row r="215" spans="1:14" x14ac:dyDescent="0.25">
      <c r="A215" t="s">
        <v>445</v>
      </c>
      <c r="B215" t="s">
        <v>17</v>
      </c>
      <c r="C215">
        <v>60</v>
      </c>
      <c r="D215" t="s">
        <v>38</v>
      </c>
      <c r="E215" t="s">
        <v>57</v>
      </c>
      <c r="F215" t="s">
        <v>41</v>
      </c>
      <c r="G215">
        <v>2652326</v>
      </c>
      <c r="H215">
        <v>21.53</v>
      </c>
      <c r="I215">
        <v>-1.66</v>
      </c>
      <c r="J215" s="1">
        <v>43722</v>
      </c>
      <c r="K215">
        <v>337</v>
      </c>
      <c r="L215">
        <v>6</v>
      </c>
      <c r="M215">
        <v>265232.60000000003</v>
      </c>
      <c r="N215">
        <v>1591395.6</v>
      </c>
    </row>
    <row r="216" spans="1:14" x14ac:dyDescent="0.25">
      <c r="A216" t="s">
        <v>447</v>
      </c>
      <c r="B216" t="s">
        <v>11</v>
      </c>
      <c r="C216">
        <v>42</v>
      </c>
      <c r="D216" t="s">
        <v>18</v>
      </c>
      <c r="E216" t="s">
        <v>57</v>
      </c>
      <c r="F216" t="s">
        <v>35</v>
      </c>
      <c r="G216">
        <v>4918752</v>
      </c>
      <c r="H216">
        <v>5.69</v>
      </c>
      <c r="I216">
        <v>-6.94</v>
      </c>
      <c r="J216" s="1">
        <v>44220</v>
      </c>
      <c r="K216">
        <v>335</v>
      </c>
      <c r="L216">
        <v>5</v>
      </c>
      <c r="M216">
        <v>491875.2</v>
      </c>
      <c r="N216">
        <v>2459376</v>
      </c>
    </row>
    <row r="217" spans="1:14" x14ac:dyDescent="0.25">
      <c r="A217" t="s">
        <v>449</v>
      </c>
      <c r="B217" t="s">
        <v>11</v>
      </c>
      <c r="C217">
        <v>65</v>
      </c>
      <c r="D217" t="s">
        <v>18</v>
      </c>
      <c r="E217" t="s">
        <v>13</v>
      </c>
      <c r="F217" t="s">
        <v>35</v>
      </c>
      <c r="G217">
        <v>120406</v>
      </c>
      <c r="H217">
        <v>19.59</v>
      </c>
      <c r="I217">
        <v>10.51</v>
      </c>
      <c r="J217" s="1">
        <v>43776</v>
      </c>
      <c r="K217">
        <v>346</v>
      </c>
      <c r="L217">
        <v>6</v>
      </c>
      <c r="M217">
        <v>12040.6</v>
      </c>
      <c r="N217">
        <v>72243.600000000006</v>
      </c>
    </row>
    <row r="218" spans="1:14" x14ac:dyDescent="0.25">
      <c r="A218" t="s">
        <v>450</v>
      </c>
      <c r="B218" t="s">
        <v>11</v>
      </c>
      <c r="C218">
        <v>62</v>
      </c>
      <c r="D218" t="s">
        <v>46</v>
      </c>
      <c r="E218" t="s">
        <v>57</v>
      </c>
      <c r="F218" t="s">
        <v>14</v>
      </c>
      <c r="G218">
        <v>396753</v>
      </c>
      <c r="H218">
        <v>21.3</v>
      </c>
      <c r="I218">
        <v>35.39</v>
      </c>
      <c r="J218" s="1">
        <v>44082</v>
      </c>
      <c r="K218">
        <v>9</v>
      </c>
      <c r="L218">
        <v>5</v>
      </c>
      <c r="M218">
        <v>39675.300000000003</v>
      </c>
      <c r="N218">
        <v>198376.5</v>
      </c>
    </row>
    <row r="219" spans="1:14" x14ac:dyDescent="0.25">
      <c r="A219" t="s">
        <v>452</v>
      </c>
      <c r="B219" t="s">
        <v>11</v>
      </c>
      <c r="C219">
        <v>31</v>
      </c>
      <c r="D219" t="s">
        <v>18</v>
      </c>
      <c r="E219" t="s">
        <v>57</v>
      </c>
      <c r="F219" t="s">
        <v>30</v>
      </c>
      <c r="G219">
        <v>1612854</v>
      </c>
      <c r="H219">
        <v>5.32</v>
      </c>
      <c r="I219">
        <v>20.88</v>
      </c>
      <c r="J219" s="1">
        <v>43264</v>
      </c>
      <c r="K219">
        <v>361</v>
      </c>
      <c r="L219">
        <v>8</v>
      </c>
      <c r="M219">
        <v>161285.40000000002</v>
      </c>
      <c r="N219">
        <v>1290283.2000000002</v>
      </c>
    </row>
    <row r="220" spans="1:14" x14ac:dyDescent="0.25">
      <c r="A220" t="s">
        <v>454</v>
      </c>
      <c r="B220" t="s">
        <v>17</v>
      </c>
      <c r="C220">
        <v>52</v>
      </c>
      <c r="D220" t="s">
        <v>46</v>
      </c>
      <c r="E220" t="s">
        <v>13</v>
      </c>
      <c r="F220" t="s">
        <v>41</v>
      </c>
      <c r="G220">
        <v>538068</v>
      </c>
      <c r="H220">
        <v>10.71</v>
      </c>
      <c r="I220">
        <v>18.82</v>
      </c>
      <c r="J220" s="1">
        <v>45442</v>
      </c>
      <c r="K220">
        <v>330</v>
      </c>
      <c r="L220">
        <v>2</v>
      </c>
      <c r="M220">
        <v>53806.8</v>
      </c>
      <c r="N220">
        <v>107613.6</v>
      </c>
    </row>
    <row r="221" spans="1:14" x14ac:dyDescent="0.25">
      <c r="A221" t="s">
        <v>456</v>
      </c>
      <c r="B221" t="s">
        <v>11</v>
      </c>
      <c r="C221">
        <v>40</v>
      </c>
      <c r="D221" t="s">
        <v>46</v>
      </c>
      <c r="E221" t="s">
        <v>13</v>
      </c>
      <c r="F221" t="s">
        <v>35</v>
      </c>
      <c r="G221">
        <v>1797233</v>
      </c>
      <c r="H221">
        <v>29.89</v>
      </c>
      <c r="I221">
        <v>6.31</v>
      </c>
      <c r="J221" s="1">
        <v>45519</v>
      </c>
      <c r="K221">
        <v>356</v>
      </c>
      <c r="L221">
        <v>1</v>
      </c>
      <c r="M221">
        <v>179723.30000000002</v>
      </c>
      <c r="N221">
        <v>179723.30000000002</v>
      </c>
    </row>
    <row r="222" spans="1:14" x14ac:dyDescent="0.25">
      <c r="A222" t="s">
        <v>458</v>
      </c>
      <c r="B222" t="s">
        <v>17</v>
      </c>
      <c r="C222">
        <v>63</v>
      </c>
      <c r="D222" t="s">
        <v>46</v>
      </c>
      <c r="E222" t="s">
        <v>19</v>
      </c>
      <c r="F222" t="s">
        <v>35</v>
      </c>
      <c r="G222">
        <v>3380286</v>
      </c>
      <c r="H222">
        <v>10.69</v>
      </c>
      <c r="I222">
        <v>10.81</v>
      </c>
      <c r="J222" s="1">
        <v>44243</v>
      </c>
      <c r="K222">
        <v>175</v>
      </c>
      <c r="L222">
        <v>5</v>
      </c>
      <c r="M222">
        <v>338028.60000000003</v>
      </c>
      <c r="N222">
        <v>1690143.0000000002</v>
      </c>
    </row>
    <row r="223" spans="1:14" x14ac:dyDescent="0.25">
      <c r="A223" t="s">
        <v>460</v>
      </c>
      <c r="B223" t="s">
        <v>17</v>
      </c>
      <c r="C223">
        <v>25</v>
      </c>
      <c r="D223" t="s">
        <v>46</v>
      </c>
      <c r="E223" t="s">
        <v>23</v>
      </c>
      <c r="F223" t="s">
        <v>30</v>
      </c>
      <c r="G223">
        <v>2375851</v>
      </c>
      <c r="H223">
        <v>9.17</v>
      </c>
      <c r="I223">
        <v>20.079999999999998</v>
      </c>
      <c r="J223" s="1">
        <v>45192</v>
      </c>
      <c r="K223">
        <v>53</v>
      </c>
      <c r="L223">
        <v>2</v>
      </c>
      <c r="M223">
        <v>237585.1</v>
      </c>
      <c r="N223">
        <v>475170.2</v>
      </c>
    </row>
    <row r="224" spans="1:14" x14ac:dyDescent="0.25">
      <c r="A224" t="s">
        <v>462</v>
      </c>
      <c r="B224" t="s">
        <v>11</v>
      </c>
      <c r="C224">
        <v>48</v>
      </c>
      <c r="D224" t="s">
        <v>46</v>
      </c>
      <c r="E224" t="s">
        <v>19</v>
      </c>
      <c r="F224" t="s">
        <v>14</v>
      </c>
      <c r="G224">
        <v>3631090</v>
      </c>
      <c r="H224">
        <v>20.39</v>
      </c>
      <c r="I224">
        <v>40.700000000000003</v>
      </c>
      <c r="J224" s="1">
        <v>43643</v>
      </c>
      <c r="K224">
        <v>290</v>
      </c>
      <c r="L224">
        <v>7</v>
      </c>
      <c r="M224">
        <v>363109</v>
      </c>
      <c r="N224">
        <v>2541763</v>
      </c>
    </row>
    <row r="225" spans="1:14" x14ac:dyDescent="0.25">
      <c r="A225" t="s">
        <v>464</v>
      </c>
      <c r="B225" t="s">
        <v>11</v>
      </c>
      <c r="C225">
        <v>56</v>
      </c>
      <c r="D225" t="s">
        <v>46</v>
      </c>
      <c r="E225" t="s">
        <v>29</v>
      </c>
      <c r="F225" t="s">
        <v>47</v>
      </c>
      <c r="G225">
        <v>1440710</v>
      </c>
      <c r="H225">
        <v>21.48</v>
      </c>
      <c r="I225">
        <v>38.979999999999997</v>
      </c>
      <c r="J225" s="1">
        <v>44936</v>
      </c>
      <c r="K225">
        <v>39</v>
      </c>
      <c r="L225">
        <v>3</v>
      </c>
      <c r="M225">
        <v>144071</v>
      </c>
      <c r="N225">
        <v>432213</v>
      </c>
    </row>
    <row r="226" spans="1:14" x14ac:dyDescent="0.25">
      <c r="A226" t="s">
        <v>466</v>
      </c>
      <c r="B226" t="s">
        <v>11</v>
      </c>
      <c r="C226">
        <v>57</v>
      </c>
      <c r="D226" t="s">
        <v>46</v>
      </c>
      <c r="E226" t="s">
        <v>19</v>
      </c>
      <c r="F226" t="s">
        <v>14</v>
      </c>
      <c r="G226">
        <v>887126</v>
      </c>
      <c r="H226">
        <v>33.299999999999997</v>
      </c>
      <c r="I226">
        <v>-8.59</v>
      </c>
      <c r="J226" s="1">
        <v>43351</v>
      </c>
      <c r="K226">
        <v>247</v>
      </c>
      <c r="L226">
        <v>7</v>
      </c>
      <c r="M226">
        <v>88712.6</v>
      </c>
      <c r="N226">
        <v>620988.20000000007</v>
      </c>
    </row>
    <row r="227" spans="1:14" x14ac:dyDescent="0.25">
      <c r="A227" t="s">
        <v>467</v>
      </c>
      <c r="B227" t="s">
        <v>11</v>
      </c>
      <c r="C227">
        <v>51</v>
      </c>
      <c r="D227" t="s">
        <v>28</v>
      </c>
      <c r="E227" t="s">
        <v>19</v>
      </c>
      <c r="F227" t="s">
        <v>41</v>
      </c>
      <c r="G227">
        <v>3269498</v>
      </c>
      <c r="H227">
        <v>14.43</v>
      </c>
      <c r="I227">
        <v>25.09</v>
      </c>
      <c r="J227" s="1">
        <v>43843</v>
      </c>
      <c r="K227">
        <v>137</v>
      </c>
      <c r="L227">
        <v>6</v>
      </c>
      <c r="M227">
        <v>326949.80000000005</v>
      </c>
      <c r="N227">
        <v>1961698.8000000003</v>
      </c>
    </row>
    <row r="228" spans="1:14" x14ac:dyDescent="0.25">
      <c r="A228" t="s">
        <v>469</v>
      </c>
      <c r="B228" t="s">
        <v>11</v>
      </c>
      <c r="C228">
        <v>46</v>
      </c>
      <c r="D228" t="s">
        <v>18</v>
      </c>
      <c r="E228" t="s">
        <v>23</v>
      </c>
      <c r="F228" t="s">
        <v>14</v>
      </c>
      <c r="G228">
        <v>4297886</v>
      </c>
      <c r="H228">
        <v>15.18</v>
      </c>
      <c r="I228">
        <v>28.82</v>
      </c>
      <c r="J228" s="1">
        <v>43777</v>
      </c>
      <c r="K228">
        <v>362</v>
      </c>
      <c r="L228">
        <v>6</v>
      </c>
      <c r="M228">
        <v>429788.60000000003</v>
      </c>
      <c r="N228">
        <v>2578731.6</v>
      </c>
    </row>
    <row r="229" spans="1:14" x14ac:dyDescent="0.25">
      <c r="A229" t="s">
        <v>471</v>
      </c>
      <c r="B229" t="s">
        <v>11</v>
      </c>
      <c r="C229">
        <v>23</v>
      </c>
      <c r="D229" t="s">
        <v>38</v>
      </c>
      <c r="E229" t="s">
        <v>50</v>
      </c>
      <c r="F229" t="s">
        <v>47</v>
      </c>
      <c r="G229">
        <v>1749204</v>
      </c>
      <c r="H229">
        <v>17.89</v>
      </c>
      <c r="I229">
        <v>16.89</v>
      </c>
      <c r="J229" s="1">
        <v>44376</v>
      </c>
      <c r="K229">
        <v>307</v>
      </c>
      <c r="L229">
        <v>5</v>
      </c>
      <c r="M229">
        <v>174920.40000000002</v>
      </c>
      <c r="N229">
        <v>874602.00000000012</v>
      </c>
    </row>
    <row r="230" spans="1:14" x14ac:dyDescent="0.25">
      <c r="A230" t="s">
        <v>473</v>
      </c>
      <c r="B230" t="s">
        <v>17</v>
      </c>
      <c r="C230">
        <v>37</v>
      </c>
      <c r="D230" t="s">
        <v>18</v>
      </c>
      <c r="E230" t="s">
        <v>13</v>
      </c>
      <c r="F230" t="s">
        <v>41</v>
      </c>
      <c r="G230">
        <v>3205796</v>
      </c>
      <c r="H230">
        <v>22.06</v>
      </c>
      <c r="I230">
        <v>38.79</v>
      </c>
      <c r="J230" s="1">
        <v>44682</v>
      </c>
      <c r="K230">
        <v>113</v>
      </c>
      <c r="L230">
        <v>4</v>
      </c>
      <c r="M230">
        <v>320579.60000000003</v>
      </c>
      <c r="N230">
        <v>1282318.4000000001</v>
      </c>
    </row>
    <row r="231" spans="1:14" x14ac:dyDescent="0.25">
      <c r="A231" t="s">
        <v>475</v>
      </c>
      <c r="B231" t="s">
        <v>17</v>
      </c>
      <c r="C231">
        <v>40</v>
      </c>
      <c r="D231" t="s">
        <v>46</v>
      </c>
      <c r="E231" t="s">
        <v>57</v>
      </c>
      <c r="F231" t="s">
        <v>20</v>
      </c>
      <c r="G231">
        <v>2543024</v>
      </c>
      <c r="H231">
        <v>12.03</v>
      </c>
      <c r="I231">
        <v>19.059999999999999</v>
      </c>
      <c r="J231" s="1">
        <v>44515</v>
      </c>
      <c r="K231">
        <v>19</v>
      </c>
      <c r="L231">
        <v>4</v>
      </c>
      <c r="M231">
        <v>254302.40000000002</v>
      </c>
      <c r="N231">
        <v>1017209.6000000001</v>
      </c>
    </row>
    <row r="232" spans="1:14" x14ac:dyDescent="0.25">
      <c r="A232" t="s">
        <v>477</v>
      </c>
      <c r="B232" t="s">
        <v>17</v>
      </c>
      <c r="C232">
        <v>25</v>
      </c>
      <c r="D232" t="s">
        <v>46</v>
      </c>
      <c r="E232" t="s">
        <v>19</v>
      </c>
      <c r="F232" t="s">
        <v>30</v>
      </c>
      <c r="G232">
        <v>1030318</v>
      </c>
      <c r="H232">
        <v>19.96</v>
      </c>
      <c r="I232">
        <v>14.09</v>
      </c>
      <c r="J232" s="1">
        <v>45224</v>
      </c>
      <c r="K232">
        <v>208</v>
      </c>
      <c r="L232">
        <v>2</v>
      </c>
      <c r="M232">
        <v>103031.8</v>
      </c>
      <c r="N232">
        <v>206063.6</v>
      </c>
    </row>
    <row r="233" spans="1:14" x14ac:dyDescent="0.25">
      <c r="A233" t="s">
        <v>479</v>
      </c>
      <c r="B233" t="s">
        <v>17</v>
      </c>
      <c r="C233">
        <v>54</v>
      </c>
      <c r="D233" t="s">
        <v>12</v>
      </c>
      <c r="E233" t="s">
        <v>29</v>
      </c>
      <c r="F233" t="s">
        <v>47</v>
      </c>
      <c r="G233">
        <v>2484552</v>
      </c>
      <c r="H233">
        <v>23.58</v>
      </c>
      <c r="I233">
        <v>12.28</v>
      </c>
      <c r="J233" s="1">
        <v>44084</v>
      </c>
      <c r="K233">
        <v>180</v>
      </c>
      <c r="L233">
        <v>5</v>
      </c>
      <c r="M233">
        <v>248455.2</v>
      </c>
      <c r="N233">
        <v>1242276</v>
      </c>
    </row>
    <row r="234" spans="1:14" x14ac:dyDescent="0.25">
      <c r="A234" t="s">
        <v>481</v>
      </c>
      <c r="B234" t="s">
        <v>11</v>
      </c>
      <c r="C234">
        <v>64</v>
      </c>
      <c r="D234" t="s">
        <v>38</v>
      </c>
      <c r="E234" t="s">
        <v>57</v>
      </c>
      <c r="F234" t="s">
        <v>14</v>
      </c>
      <c r="G234">
        <v>677942</v>
      </c>
      <c r="H234">
        <v>20</v>
      </c>
      <c r="I234">
        <v>5.96</v>
      </c>
      <c r="J234" s="1">
        <v>43838</v>
      </c>
      <c r="K234">
        <v>334</v>
      </c>
      <c r="L234">
        <v>6</v>
      </c>
      <c r="M234">
        <v>67794.2</v>
      </c>
      <c r="N234">
        <v>406765.19999999995</v>
      </c>
    </row>
    <row r="235" spans="1:14" x14ac:dyDescent="0.25">
      <c r="A235" t="s">
        <v>482</v>
      </c>
      <c r="B235" t="s">
        <v>11</v>
      </c>
      <c r="C235">
        <v>38</v>
      </c>
      <c r="D235" t="s">
        <v>46</v>
      </c>
      <c r="E235" t="s">
        <v>50</v>
      </c>
      <c r="F235" t="s">
        <v>20</v>
      </c>
      <c r="G235">
        <v>3508471</v>
      </c>
      <c r="H235">
        <v>21.17</v>
      </c>
      <c r="I235">
        <v>22.69</v>
      </c>
      <c r="J235" s="1">
        <v>44506</v>
      </c>
      <c r="K235">
        <v>206</v>
      </c>
      <c r="L235">
        <v>4</v>
      </c>
      <c r="M235">
        <v>350847.10000000003</v>
      </c>
      <c r="N235">
        <v>1403388.4000000001</v>
      </c>
    </row>
    <row r="236" spans="1:14" x14ac:dyDescent="0.25">
      <c r="A236" t="s">
        <v>484</v>
      </c>
      <c r="B236" t="s">
        <v>11</v>
      </c>
      <c r="C236">
        <v>38</v>
      </c>
      <c r="D236" t="s">
        <v>12</v>
      </c>
      <c r="E236" t="s">
        <v>50</v>
      </c>
      <c r="F236" t="s">
        <v>35</v>
      </c>
      <c r="G236">
        <v>4682488</v>
      </c>
      <c r="H236">
        <v>28.63</v>
      </c>
      <c r="I236">
        <v>0.38</v>
      </c>
      <c r="J236" s="1">
        <v>44025</v>
      </c>
      <c r="K236">
        <v>204</v>
      </c>
      <c r="L236">
        <v>6</v>
      </c>
      <c r="M236">
        <v>468248.80000000005</v>
      </c>
      <c r="N236">
        <v>2809492.8000000003</v>
      </c>
    </row>
    <row r="237" spans="1:14" x14ac:dyDescent="0.25">
      <c r="A237" t="s">
        <v>486</v>
      </c>
      <c r="B237" t="s">
        <v>17</v>
      </c>
      <c r="C237">
        <v>36</v>
      </c>
      <c r="D237" t="s">
        <v>38</v>
      </c>
      <c r="E237" t="s">
        <v>23</v>
      </c>
      <c r="F237" t="s">
        <v>41</v>
      </c>
      <c r="G237">
        <v>1417144</v>
      </c>
      <c r="H237">
        <v>13.51</v>
      </c>
      <c r="I237">
        <v>36.950000000000003</v>
      </c>
      <c r="J237" s="1">
        <v>43127</v>
      </c>
      <c r="K237">
        <v>197</v>
      </c>
      <c r="L237">
        <v>8</v>
      </c>
      <c r="M237">
        <v>141714.4</v>
      </c>
      <c r="N237">
        <v>1133715.2</v>
      </c>
    </row>
    <row r="238" spans="1:14" x14ac:dyDescent="0.25">
      <c r="A238" t="s">
        <v>488</v>
      </c>
      <c r="B238" t="s">
        <v>17</v>
      </c>
      <c r="C238">
        <v>44</v>
      </c>
      <c r="D238" t="s">
        <v>38</v>
      </c>
      <c r="E238" t="s">
        <v>29</v>
      </c>
      <c r="F238" t="s">
        <v>20</v>
      </c>
      <c r="G238">
        <v>262139</v>
      </c>
      <c r="H238">
        <v>28.77</v>
      </c>
      <c r="I238">
        <v>30.15</v>
      </c>
      <c r="J238" s="1">
        <v>44615</v>
      </c>
      <c r="K238">
        <v>116</v>
      </c>
      <c r="L238">
        <v>4</v>
      </c>
      <c r="M238">
        <v>26213.9</v>
      </c>
      <c r="N238">
        <v>104855.6</v>
      </c>
    </row>
    <row r="239" spans="1:14" x14ac:dyDescent="0.25">
      <c r="A239" t="s">
        <v>490</v>
      </c>
      <c r="B239" t="s">
        <v>11</v>
      </c>
      <c r="C239">
        <v>31</v>
      </c>
      <c r="D239" t="s">
        <v>18</v>
      </c>
      <c r="E239" t="s">
        <v>23</v>
      </c>
      <c r="F239" t="s">
        <v>35</v>
      </c>
      <c r="G239">
        <v>4674885</v>
      </c>
      <c r="H239">
        <v>20.12</v>
      </c>
      <c r="I239">
        <v>41.63</v>
      </c>
      <c r="J239" s="1">
        <v>44348</v>
      </c>
      <c r="K239">
        <v>10</v>
      </c>
      <c r="L239">
        <v>5</v>
      </c>
      <c r="M239">
        <v>467488.5</v>
      </c>
      <c r="N239">
        <v>2337442.5</v>
      </c>
    </row>
    <row r="240" spans="1:14" x14ac:dyDescent="0.25">
      <c r="A240" t="s">
        <v>492</v>
      </c>
      <c r="B240" t="s">
        <v>11</v>
      </c>
      <c r="C240">
        <v>42</v>
      </c>
      <c r="D240" t="s">
        <v>12</v>
      </c>
      <c r="E240" t="s">
        <v>23</v>
      </c>
      <c r="F240" t="s">
        <v>30</v>
      </c>
      <c r="G240">
        <v>3604539</v>
      </c>
      <c r="H240">
        <v>20.6</v>
      </c>
      <c r="I240">
        <v>21.23</v>
      </c>
      <c r="J240" s="1">
        <v>43854</v>
      </c>
      <c r="K240">
        <v>281</v>
      </c>
      <c r="L240">
        <v>6</v>
      </c>
      <c r="M240">
        <v>360453.9</v>
      </c>
      <c r="N240">
        <v>2162723.4000000004</v>
      </c>
    </row>
    <row r="241" spans="1:14" x14ac:dyDescent="0.25">
      <c r="A241" t="s">
        <v>494</v>
      </c>
      <c r="B241" t="s">
        <v>11</v>
      </c>
      <c r="C241">
        <v>62</v>
      </c>
      <c r="D241" t="s">
        <v>38</v>
      </c>
      <c r="E241" t="s">
        <v>23</v>
      </c>
      <c r="F241" t="s">
        <v>41</v>
      </c>
      <c r="G241">
        <v>4193053</v>
      </c>
      <c r="H241">
        <v>14.72</v>
      </c>
      <c r="I241">
        <v>-8.25</v>
      </c>
      <c r="J241" s="1">
        <v>44063</v>
      </c>
      <c r="K241">
        <v>244</v>
      </c>
      <c r="L241">
        <v>5</v>
      </c>
      <c r="M241">
        <v>419305.30000000005</v>
      </c>
      <c r="N241">
        <v>2096526.5000000002</v>
      </c>
    </row>
    <row r="242" spans="1:14" x14ac:dyDescent="0.25">
      <c r="A242" t="s">
        <v>496</v>
      </c>
      <c r="B242" t="s">
        <v>11</v>
      </c>
      <c r="C242">
        <v>43</v>
      </c>
      <c r="D242" t="s">
        <v>12</v>
      </c>
      <c r="E242" t="s">
        <v>29</v>
      </c>
      <c r="F242" t="s">
        <v>35</v>
      </c>
      <c r="G242">
        <v>3091121</v>
      </c>
      <c r="H242">
        <v>15.99</v>
      </c>
      <c r="I242">
        <v>29.23</v>
      </c>
      <c r="J242" s="1">
        <v>44612</v>
      </c>
      <c r="K242">
        <v>199</v>
      </c>
      <c r="L242">
        <v>4</v>
      </c>
      <c r="M242">
        <v>309112.10000000003</v>
      </c>
      <c r="N242">
        <v>1236448.4000000001</v>
      </c>
    </row>
    <row r="243" spans="1:14" x14ac:dyDescent="0.25">
      <c r="A243" t="s">
        <v>498</v>
      </c>
      <c r="B243" t="s">
        <v>17</v>
      </c>
      <c r="C243">
        <v>45</v>
      </c>
      <c r="D243" t="s">
        <v>46</v>
      </c>
      <c r="E243" t="s">
        <v>29</v>
      </c>
      <c r="F243" t="s">
        <v>47</v>
      </c>
      <c r="G243">
        <v>1126131</v>
      </c>
      <c r="H243">
        <v>26.02</v>
      </c>
      <c r="I243">
        <v>-1.91</v>
      </c>
      <c r="J243" s="1">
        <v>43319</v>
      </c>
      <c r="K243">
        <v>291</v>
      </c>
      <c r="L243">
        <v>7</v>
      </c>
      <c r="M243">
        <v>112613.1</v>
      </c>
      <c r="N243">
        <v>788291.70000000007</v>
      </c>
    </row>
    <row r="244" spans="1:14" x14ac:dyDescent="0.25">
      <c r="A244" t="s">
        <v>500</v>
      </c>
      <c r="B244" t="s">
        <v>17</v>
      </c>
      <c r="C244">
        <v>27</v>
      </c>
      <c r="D244" t="s">
        <v>46</v>
      </c>
      <c r="E244" t="s">
        <v>23</v>
      </c>
      <c r="F244" t="s">
        <v>41</v>
      </c>
      <c r="G244">
        <v>2943631</v>
      </c>
      <c r="H244">
        <v>15.72</v>
      </c>
      <c r="I244">
        <v>20.74</v>
      </c>
      <c r="J244" s="1">
        <v>43251</v>
      </c>
      <c r="K244">
        <v>172</v>
      </c>
      <c r="L244">
        <v>8</v>
      </c>
      <c r="M244">
        <v>294363.10000000003</v>
      </c>
      <c r="N244">
        <v>2354904.8000000003</v>
      </c>
    </row>
    <row r="245" spans="1:14" x14ac:dyDescent="0.25">
      <c r="A245" t="s">
        <v>502</v>
      </c>
      <c r="B245" t="s">
        <v>17</v>
      </c>
      <c r="C245">
        <v>30</v>
      </c>
      <c r="D245" t="s">
        <v>38</v>
      </c>
      <c r="E245" t="s">
        <v>29</v>
      </c>
      <c r="F245" t="s">
        <v>20</v>
      </c>
      <c r="G245">
        <v>2218130</v>
      </c>
      <c r="H245">
        <v>28.62</v>
      </c>
      <c r="I245">
        <v>-0.37</v>
      </c>
      <c r="J245" s="1">
        <v>44620</v>
      </c>
      <c r="K245">
        <v>317</v>
      </c>
      <c r="L245">
        <v>4</v>
      </c>
      <c r="M245">
        <v>221813</v>
      </c>
      <c r="N245">
        <v>887252</v>
      </c>
    </row>
    <row r="246" spans="1:14" x14ac:dyDescent="0.25">
      <c r="A246" t="s">
        <v>504</v>
      </c>
      <c r="B246" t="s">
        <v>11</v>
      </c>
      <c r="C246">
        <v>25</v>
      </c>
      <c r="D246" t="s">
        <v>46</v>
      </c>
      <c r="E246" t="s">
        <v>57</v>
      </c>
      <c r="F246" t="s">
        <v>30</v>
      </c>
      <c r="G246">
        <v>1492799</v>
      </c>
      <c r="H246">
        <v>8.34</v>
      </c>
      <c r="I246">
        <v>6.06</v>
      </c>
      <c r="J246" s="1">
        <v>45295</v>
      </c>
      <c r="K246">
        <v>62</v>
      </c>
      <c r="L246">
        <v>2</v>
      </c>
      <c r="M246">
        <v>149279.9</v>
      </c>
      <c r="N246">
        <v>298559.8</v>
      </c>
    </row>
    <row r="247" spans="1:14" x14ac:dyDescent="0.25">
      <c r="A247" t="s">
        <v>506</v>
      </c>
      <c r="B247" t="s">
        <v>11</v>
      </c>
      <c r="C247">
        <v>48</v>
      </c>
      <c r="D247" t="s">
        <v>46</v>
      </c>
      <c r="E247" t="s">
        <v>13</v>
      </c>
      <c r="F247" t="s">
        <v>20</v>
      </c>
      <c r="G247">
        <v>4198602</v>
      </c>
      <c r="H247">
        <v>10.71</v>
      </c>
      <c r="I247">
        <v>31.87</v>
      </c>
      <c r="J247" s="1">
        <v>44167</v>
      </c>
      <c r="K247">
        <v>213</v>
      </c>
      <c r="L247">
        <v>5</v>
      </c>
      <c r="M247">
        <v>419860.2</v>
      </c>
      <c r="N247">
        <v>2099301</v>
      </c>
    </row>
    <row r="248" spans="1:14" x14ac:dyDescent="0.25">
      <c r="A248" t="s">
        <v>508</v>
      </c>
      <c r="B248" t="s">
        <v>17</v>
      </c>
      <c r="C248">
        <v>52</v>
      </c>
      <c r="D248" t="s">
        <v>38</v>
      </c>
      <c r="E248" t="s">
        <v>23</v>
      </c>
      <c r="F248" t="s">
        <v>30</v>
      </c>
      <c r="G248">
        <v>1519605</v>
      </c>
      <c r="H248">
        <v>16.850000000000001</v>
      </c>
      <c r="I248">
        <v>44.47</v>
      </c>
      <c r="J248" s="1">
        <v>43609</v>
      </c>
      <c r="K248">
        <v>350</v>
      </c>
      <c r="L248">
        <v>7</v>
      </c>
      <c r="M248">
        <v>151960.5</v>
      </c>
      <c r="N248">
        <v>1063723.5</v>
      </c>
    </row>
    <row r="249" spans="1:14" x14ac:dyDescent="0.25">
      <c r="A249" t="s">
        <v>510</v>
      </c>
      <c r="B249" t="s">
        <v>11</v>
      </c>
      <c r="C249">
        <v>29</v>
      </c>
      <c r="D249" t="s">
        <v>28</v>
      </c>
      <c r="E249" t="s">
        <v>23</v>
      </c>
      <c r="F249" t="s">
        <v>14</v>
      </c>
      <c r="G249">
        <v>3743721</v>
      </c>
      <c r="H249">
        <v>14.18</v>
      </c>
      <c r="I249">
        <v>30.46</v>
      </c>
      <c r="J249" s="1">
        <v>44190</v>
      </c>
      <c r="K249">
        <v>323</v>
      </c>
      <c r="L249">
        <v>5</v>
      </c>
      <c r="M249">
        <v>374372.10000000003</v>
      </c>
      <c r="N249">
        <v>1871860.5000000002</v>
      </c>
    </row>
    <row r="250" spans="1:14" x14ac:dyDescent="0.25">
      <c r="A250" t="s">
        <v>512</v>
      </c>
      <c r="B250" t="s">
        <v>17</v>
      </c>
      <c r="C250">
        <v>47</v>
      </c>
      <c r="D250" t="s">
        <v>46</v>
      </c>
      <c r="E250" t="s">
        <v>13</v>
      </c>
      <c r="F250" t="s">
        <v>47</v>
      </c>
      <c r="G250">
        <v>3655237</v>
      </c>
      <c r="H250">
        <v>5.85</v>
      </c>
      <c r="I250">
        <v>18.13</v>
      </c>
      <c r="J250" s="1">
        <v>43798</v>
      </c>
      <c r="K250">
        <v>18</v>
      </c>
      <c r="L250">
        <v>6</v>
      </c>
      <c r="M250">
        <v>365523.7</v>
      </c>
      <c r="N250">
        <v>2193142.2000000002</v>
      </c>
    </row>
    <row r="251" spans="1:14" x14ac:dyDescent="0.25">
      <c r="A251" t="s">
        <v>514</v>
      </c>
      <c r="B251" t="s">
        <v>11</v>
      </c>
      <c r="C251">
        <v>45</v>
      </c>
      <c r="D251" t="s">
        <v>12</v>
      </c>
      <c r="E251" t="s">
        <v>19</v>
      </c>
      <c r="F251" t="s">
        <v>20</v>
      </c>
      <c r="G251">
        <v>1560363</v>
      </c>
      <c r="H251">
        <v>13.8</v>
      </c>
      <c r="I251">
        <v>14.12</v>
      </c>
      <c r="J251" s="1">
        <v>43182</v>
      </c>
      <c r="K251">
        <v>303</v>
      </c>
      <c r="L251">
        <v>8</v>
      </c>
      <c r="M251">
        <v>156036.30000000002</v>
      </c>
      <c r="N251">
        <v>1248290.4000000001</v>
      </c>
    </row>
    <row r="252" spans="1:14" x14ac:dyDescent="0.25">
      <c r="A252" t="s">
        <v>516</v>
      </c>
      <c r="B252" t="s">
        <v>17</v>
      </c>
      <c r="C252">
        <v>61</v>
      </c>
      <c r="D252" t="s">
        <v>12</v>
      </c>
      <c r="E252" t="s">
        <v>50</v>
      </c>
      <c r="F252" t="s">
        <v>14</v>
      </c>
      <c r="G252">
        <v>2188354</v>
      </c>
      <c r="H252">
        <v>19.73</v>
      </c>
      <c r="I252">
        <v>-8.5500000000000007</v>
      </c>
      <c r="J252" s="1">
        <v>43532</v>
      </c>
      <c r="K252">
        <v>134</v>
      </c>
      <c r="L252">
        <v>7</v>
      </c>
      <c r="M252">
        <v>218835.40000000002</v>
      </c>
      <c r="N252">
        <v>1531847.8000000003</v>
      </c>
    </row>
    <row r="253" spans="1:14" x14ac:dyDescent="0.25">
      <c r="A253" t="s">
        <v>518</v>
      </c>
      <c r="B253" t="s">
        <v>17</v>
      </c>
      <c r="C253">
        <v>52</v>
      </c>
      <c r="D253" t="s">
        <v>38</v>
      </c>
      <c r="E253" t="s">
        <v>50</v>
      </c>
      <c r="F253" t="s">
        <v>30</v>
      </c>
      <c r="G253">
        <v>101674</v>
      </c>
      <c r="H253">
        <v>14.21</v>
      </c>
      <c r="I253">
        <v>-2.1800000000000002</v>
      </c>
      <c r="J253" s="1">
        <v>44914</v>
      </c>
      <c r="K253">
        <v>65</v>
      </c>
      <c r="L253">
        <v>3</v>
      </c>
      <c r="M253">
        <v>10167.400000000001</v>
      </c>
      <c r="N253">
        <v>30502.200000000004</v>
      </c>
    </row>
    <row r="254" spans="1:14" x14ac:dyDescent="0.25">
      <c r="A254" t="s">
        <v>520</v>
      </c>
      <c r="B254" t="s">
        <v>11</v>
      </c>
      <c r="C254">
        <v>22</v>
      </c>
      <c r="D254" t="s">
        <v>12</v>
      </c>
      <c r="E254" t="s">
        <v>23</v>
      </c>
      <c r="F254" t="s">
        <v>35</v>
      </c>
      <c r="G254">
        <v>3941505</v>
      </c>
      <c r="H254">
        <v>25.51</v>
      </c>
      <c r="I254">
        <v>31.11</v>
      </c>
      <c r="J254" s="1">
        <v>43726</v>
      </c>
      <c r="K254">
        <v>67</v>
      </c>
      <c r="L254">
        <v>6</v>
      </c>
      <c r="M254">
        <v>394150.5</v>
      </c>
      <c r="N254">
        <v>2364903</v>
      </c>
    </row>
    <row r="255" spans="1:14" x14ac:dyDescent="0.25">
      <c r="A255" t="s">
        <v>522</v>
      </c>
      <c r="B255" t="s">
        <v>11</v>
      </c>
      <c r="C255">
        <v>46</v>
      </c>
      <c r="D255" t="s">
        <v>12</v>
      </c>
      <c r="E255" t="s">
        <v>29</v>
      </c>
      <c r="F255" t="s">
        <v>20</v>
      </c>
      <c r="G255">
        <v>1592121</v>
      </c>
      <c r="H255">
        <v>10.9</v>
      </c>
      <c r="I255">
        <v>27.86</v>
      </c>
      <c r="J255" s="1">
        <v>45600</v>
      </c>
      <c r="K255">
        <v>79</v>
      </c>
      <c r="L255">
        <v>1</v>
      </c>
      <c r="M255">
        <v>159212.1</v>
      </c>
      <c r="N255">
        <v>159212.1</v>
      </c>
    </row>
    <row r="256" spans="1:14" x14ac:dyDescent="0.25">
      <c r="A256" t="s">
        <v>524</v>
      </c>
      <c r="B256" t="s">
        <v>11</v>
      </c>
      <c r="C256">
        <v>56</v>
      </c>
      <c r="D256" t="s">
        <v>18</v>
      </c>
      <c r="E256" t="s">
        <v>57</v>
      </c>
      <c r="F256" t="s">
        <v>47</v>
      </c>
      <c r="G256">
        <v>4937570</v>
      </c>
      <c r="H256">
        <v>16.399999999999999</v>
      </c>
      <c r="I256">
        <v>15.27</v>
      </c>
      <c r="J256" s="1">
        <v>43567</v>
      </c>
      <c r="K256">
        <v>264</v>
      </c>
      <c r="L256">
        <v>7</v>
      </c>
      <c r="M256">
        <v>493757</v>
      </c>
      <c r="N256">
        <v>3456299</v>
      </c>
    </row>
    <row r="257" spans="1:14" x14ac:dyDescent="0.25">
      <c r="A257" t="s">
        <v>526</v>
      </c>
      <c r="B257" t="s">
        <v>17</v>
      </c>
      <c r="C257">
        <v>29</v>
      </c>
      <c r="D257" t="s">
        <v>12</v>
      </c>
      <c r="E257" t="s">
        <v>29</v>
      </c>
      <c r="F257" t="s">
        <v>41</v>
      </c>
      <c r="G257">
        <v>1098167</v>
      </c>
      <c r="H257">
        <v>17.47</v>
      </c>
      <c r="I257">
        <v>-1.02</v>
      </c>
      <c r="J257" s="1">
        <v>44274</v>
      </c>
      <c r="K257">
        <v>141</v>
      </c>
      <c r="L257">
        <v>5</v>
      </c>
      <c r="M257">
        <v>109816.70000000001</v>
      </c>
      <c r="N257">
        <v>549083.5</v>
      </c>
    </row>
    <row r="258" spans="1:14" x14ac:dyDescent="0.25">
      <c r="A258" t="s">
        <v>528</v>
      </c>
      <c r="B258" t="s">
        <v>11</v>
      </c>
      <c r="C258">
        <v>33</v>
      </c>
      <c r="D258" t="s">
        <v>38</v>
      </c>
      <c r="E258" t="s">
        <v>57</v>
      </c>
      <c r="F258" t="s">
        <v>30</v>
      </c>
      <c r="G258">
        <v>4796179</v>
      </c>
      <c r="H258">
        <v>27.78</v>
      </c>
      <c r="I258">
        <v>12.76</v>
      </c>
      <c r="J258" s="1">
        <v>43892</v>
      </c>
      <c r="K258">
        <v>50</v>
      </c>
      <c r="L258">
        <v>6</v>
      </c>
      <c r="M258">
        <v>479617.9</v>
      </c>
      <c r="N258">
        <v>2877707.4000000004</v>
      </c>
    </row>
    <row r="259" spans="1:14" x14ac:dyDescent="0.25">
      <c r="A259" t="s">
        <v>530</v>
      </c>
      <c r="B259" t="s">
        <v>17</v>
      </c>
      <c r="C259">
        <v>33</v>
      </c>
      <c r="D259" t="s">
        <v>12</v>
      </c>
      <c r="E259" t="s">
        <v>50</v>
      </c>
      <c r="F259" t="s">
        <v>30</v>
      </c>
      <c r="G259">
        <v>2878269</v>
      </c>
      <c r="H259">
        <v>25.06</v>
      </c>
      <c r="I259">
        <v>-9.08</v>
      </c>
      <c r="J259" s="1">
        <v>43717</v>
      </c>
      <c r="K259">
        <v>253</v>
      </c>
      <c r="L259">
        <v>6</v>
      </c>
      <c r="M259">
        <v>287826.90000000002</v>
      </c>
      <c r="N259">
        <v>1726961.4000000001</v>
      </c>
    </row>
    <row r="260" spans="1:14" x14ac:dyDescent="0.25">
      <c r="A260" t="s">
        <v>532</v>
      </c>
      <c r="B260" t="s">
        <v>11</v>
      </c>
      <c r="C260">
        <v>65</v>
      </c>
      <c r="D260" t="s">
        <v>28</v>
      </c>
      <c r="E260" t="s">
        <v>19</v>
      </c>
      <c r="F260" t="s">
        <v>41</v>
      </c>
      <c r="G260">
        <v>1899603</v>
      </c>
      <c r="H260">
        <v>20.260000000000002</v>
      </c>
      <c r="I260">
        <v>29.81</v>
      </c>
      <c r="J260" s="1">
        <v>45213</v>
      </c>
      <c r="K260">
        <v>160</v>
      </c>
      <c r="L260">
        <v>2</v>
      </c>
      <c r="M260">
        <v>189960.30000000002</v>
      </c>
      <c r="N260">
        <v>379920.60000000003</v>
      </c>
    </row>
    <row r="261" spans="1:14" x14ac:dyDescent="0.25">
      <c r="A261" t="s">
        <v>534</v>
      </c>
      <c r="B261" t="s">
        <v>17</v>
      </c>
      <c r="C261">
        <v>39</v>
      </c>
      <c r="D261" t="s">
        <v>46</v>
      </c>
      <c r="E261" t="s">
        <v>57</v>
      </c>
      <c r="F261" t="s">
        <v>14</v>
      </c>
      <c r="G261">
        <v>1039661</v>
      </c>
      <c r="H261">
        <v>10.19</v>
      </c>
      <c r="I261">
        <v>33.04</v>
      </c>
      <c r="J261" s="1">
        <v>44524</v>
      </c>
      <c r="K261">
        <v>100</v>
      </c>
      <c r="L261">
        <v>4</v>
      </c>
      <c r="M261">
        <v>103966.1</v>
      </c>
      <c r="N261">
        <v>415864.4</v>
      </c>
    </row>
    <row r="262" spans="1:14" x14ac:dyDescent="0.25">
      <c r="A262" t="s">
        <v>536</v>
      </c>
      <c r="B262" t="s">
        <v>11</v>
      </c>
      <c r="C262">
        <v>41</v>
      </c>
      <c r="D262" t="s">
        <v>46</v>
      </c>
      <c r="E262" t="s">
        <v>19</v>
      </c>
      <c r="F262" t="s">
        <v>20</v>
      </c>
      <c r="G262">
        <v>222919</v>
      </c>
      <c r="H262">
        <v>28.04</v>
      </c>
      <c r="I262">
        <v>15.25</v>
      </c>
      <c r="J262" s="1">
        <v>44604</v>
      </c>
      <c r="K262">
        <v>162</v>
      </c>
      <c r="L262">
        <v>4</v>
      </c>
      <c r="M262">
        <v>22291.9</v>
      </c>
      <c r="N262">
        <v>89167.6</v>
      </c>
    </row>
    <row r="263" spans="1:14" x14ac:dyDescent="0.25">
      <c r="A263" t="s">
        <v>538</v>
      </c>
      <c r="B263" t="s">
        <v>17</v>
      </c>
      <c r="C263">
        <v>32</v>
      </c>
      <c r="D263" t="s">
        <v>28</v>
      </c>
      <c r="E263" t="s">
        <v>57</v>
      </c>
      <c r="F263" t="s">
        <v>35</v>
      </c>
      <c r="G263">
        <v>1385291</v>
      </c>
      <c r="H263">
        <v>34.89</v>
      </c>
      <c r="I263">
        <v>35.15</v>
      </c>
      <c r="J263" s="1">
        <v>43418</v>
      </c>
      <c r="K263">
        <v>247</v>
      </c>
      <c r="L263">
        <v>7</v>
      </c>
      <c r="M263">
        <v>138529.1</v>
      </c>
      <c r="N263">
        <v>969703.70000000007</v>
      </c>
    </row>
    <row r="264" spans="1:14" x14ac:dyDescent="0.25">
      <c r="A264" t="s">
        <v>540</v>
      </c>
      <c r="B264" t="s">
        <v>17</v>
      </c>
      <c r="C264">
        <v>48</v>
      </c>
      <c r="D264" t="s">
        <v>38</v>
      </c>
      <c r="E264" t="s">
        <v>50</v>
      </c>
      <c r="F264" t="s">
        <v>47</v>
      </c>
      <c r="G264">
        <v>1914058</v>
      </c>
      <c r="H264">
        <v>22.39</v>
      </c>
      <c r="I264">
        <v>26.09</v>
      </c>
      <c r="J264" s="1">
        <v>45421</v>
      </c>
      <c r="K264">
        <v>357</v>
      </c>
      <c r="L264">
        <v>2</v>
      </c>
      <c r="M264">
        <v>191405.80000000002</v>
      </c>
      <c r="N264">
        <v>382811.60000000003</v>
      </c>
    </row>
    <row r="265" spans="1:14" x14ac:dyDescent="0.25">
      <c r="A265" t="s">
        <v>542</v>
      </c>
      <c r="B265" t="s">
        <v>17</v>
      </c>
      <c r="C265">
        <v>27</v>
      </c>
      <c r="D265" t="s">
        <v>18</v>
      </c>
      <c r="E265" t="s">
        <v>13</v>
      </c>
      <c r="F265" t="s">
        <v>14</v>
      </c>
      <c r="G265">
        <v>4688262</v>
      </c>
      <c r="H265">
        <v>8.26</v>
      </c>
      <c r="I265">
        <v>33.79</v>
      </c>
      <c r="J265" s="1">
        <v>43836</v>
      </c>
      <c r="K265">
        <v>75</v>
      </c>
      <c r="L265">
        <v>6</v>
      </c>
      <c r="M265">
        <v>468826.2</v>
      </c>
      <c r="N265">
        <v>2812957.2</v>
      </c>
    </row>
    <row r="266" spans="1:14" x14ac:dyDescent="0.25">
      <c r="A266" t="s">
        <v>544</v>
      </c>
      <c r="B266" t="s">
        <v>17</v>
      </c>
      <c r="C266">
        <v>55</v>
      </c>
      <c r="D266" t="s">
        <v>18</v>
      </c>
      <c r="E266" t="s">
        <v>23</v>
      </c>
      <c r="F266" t="s">
        <v>14</v>
      </c>
      <c r="G266">
        <v>3159324</v>
      </c>
      <c r="H266">
        <v>30.58</v>
      </c>
      <c r="I266">
        <v>38.86</v>
      </c>
      <c r="J266" s="1">
        <v>44545</v>
      </c>
      <c r="K266">
        <v>87</v>
      </c>
      <c r="L266">
        <v>4</v>
      </c>
      <c r="M266">
        <v>315932.40000000002</v>
      </c>
      <c r="N266">
        <v>1263729.6000000001</v>
      </c>
    </row>
    <row r="267" spans="1:14" x14ac:dyDescent="0.25">
      <c r="A267" t="s">
        <v>546</v>
      </c>
      <c r="B267" t="s">
        <v>11</v>
      </c>
      <c r="C267">
        <v>51</v>
      </c>
      <c r="D267" t="s">
        <v>12</v>
      </c>
      <c r="E267" t="s">
        <v>50</v>
      </c>
      <c r="F267" t="s">
        <v>41</v>
      </c>
      <c r="G267">
        <v>346652</v>
      </c>
      <c r="H267">
        <v>31.25</v>
      </c>
      <c r="I267">
        <v>16.09</v>
      </c>
      <c r="J267" s="1">
        <v>45504</v>
      </c>
      <c r="K267">
        <v>161</v>
      </c>
      <c r="L267">
        <v>1</v>
      </c>
      <c r="M267">
        <v>34665.200000000004</v>
      </c>
      <c r="N267">
        <v>34665.200000000004</v>
      </c>
    </row>
    <row r="268" spans="1:14" x14ac:dyDescent="0.25">
      <c r="A268" t="s">
        <v>547</v>
      </c>
      <c r="B268" t="s">
        <v>11</v>
      </c>
      <c r="C268">
        <v>27</v>
      </c>
      <c r="D268" t="s">
        <v>28</v>
      </c>
      <c r="E268" t="s">
        <v>13</v>
      </c>
      <c r="F268" t="s">
        <v>30</v>
      </c>
      <c r="G268">
        <v>3278990</v>
      </c>
      <c r="H268">
        <v>25.96</v>
      </c>
      <c r="I268">
        <v>24.54</v>
      </c>
      <c r="J268" s="1">
        <v>44336</v>
      </c>
      <c r="K268">
        <v>10</v>
      </c>
      <c r="L268">
        <v>5</v>
      </c>
      <c r="M268">
        <v>327899</v>
      </c>
      <c r="N268">
        <v>1639495</v>
      </c>
    </row>
    <row r="269" spans="1:14" x14ac:dyDescent="0.25">
      <c r="A269" t="s">
        <v>548</v>
      </c>
      <c r="B269" t="s">
        <v>11</v>
      </c>
      <c r="C269">
        <v>65</v>
      </c>
      <c r="D269" t="s">
        <v>28</v>
      </c>
      <c r="E269" t="s">
        <v>29</v>
      </c>
      <c r="F269" t="s">
        <v>14</v>
      </c>
      <c r="G269">
        <v>2241843</v>
      </c>
      <c r="H269">
        <v>34.89</v>
      </c>
      <c r="I269">
        <v>22.3</v>
      </c>
      <c r="J269" s="1">
        <v>44389</v>
      </c>
      <c r="K269">
        <v>149</v>
      </c>
      <c r="L269">
        <v>5</v>
      </c>
      <c r="M269">
        <v>224184.30000000002</v>
      </c>
      <c r="N269">
        <v>1120921.5</v>
      </c>
    </row>
    <row r="270" spans="1:14" x14ac:dyDescent="0.25">
      <c r="A270" t="s">
        <v>550</v>
      </c>
      <c r="B270" t="s">
        <v>17</v>
      </c>
      <c r="C270">
        <v>56</v>
      </c>
      <c r="D270" t="s">
        <v>28</v>
      </c>
      <c r="E270" t="s">
        <v>50</v>
      </c>
      <c r="F270" t="s">
        <v>30</v>
      </c>
      <c r="G270">
        <v>249434</v>
      </c>
      <c r="H270">
        <v>21.35</v>
      </c>
      <c r="I270">
        <v>9.6999999999999993</v>
      </c>
      <c r="J270" s="1">
        <v>44987</v>
      </c>
      <c r="K270">
        <v>297</v>
      </c>
      <c r="L270">
        <v>3</v>
      </c>
      <c r="M270">
        <v>24943.4</v>
      </c>
      <c r="N270">
        <v>74830.200000000012</v>
      </c>
    </row>
    <row r="271" spans="1:14" x14ac:dyDescent="0.25">
      <c r="A271" t="s">
        <v>552</v>
      </c>
      <c r="B271" t="s">
        <v>17</v>
      </c>
      <c r="C271">
        <v>59</v>
      </c>
      <c r="D271" t="s">
        <v>28</v>
      </c>
      <c r="E271" t="s">
        <v>13</v>
      </c>
      <c r="F271" t="s">
        <v>41</v>
      </c>
      <c r="G271">
        <v>3925192</v>
      </c>
      <c r="H271">
        <v>32</v>
      </c>
      <c r="I271">
        <v>-9.34</v>
      </c>
      <c r="J271" s="1">
        <v>43886</v>
      </c>
      <c r="K271">
        <v>241</v>
      </c>
      <c r="L271">
        <v>6</v>
      </c>
      <c r="M271">
        <v>392519.2</v>
      </c>
      <c r="N271">
        <v>2355115.2000000002</v>
      </c>
    </row>
    <row r="272" spans="1:14" x14ac:dyDescent="0.25">
      <c r="A272" t="s">
        <v>554</v>
      </c>
      <c r="B272" t="s">
        <v>17</v>
      </c>
      <c r="C272">
        <v>23</v>
      </c>
      <c r="D272" t="s">
        <v>18</v>
      </c>
      <c r="E272" t="s">
        <v>57</v>
      </c>
      <c r="F272" t="s">
        <v>20</v>
      </c>
      <c r="G272">
        <v>1838680</v>
      </c>
      <c r="H272">
        <v>13.17</v>
      </c>
      <c r="I272">
        <v>41.68</v>
      </c>
      <c r="J272" s="1">
        <v>45162</v>
      </c>
      <c r="K272">
        <v>256</v>
      </c>
      <c r="L272">
        <v>2</v>
      </c>
      <c r="M272">
        <v>183868</v>
      </c>
      <c r="N272">
        <v>367736</v>
      </c>
    </row>
    <row r="273" spans="1:14" x14ac:dyDescent="0.25">
      <c r="A273" t="s">
        <v>556</v>
      </c>
      <c r="B273" t="s">
        <v>17</v>
      </c>
      <c r="C273">
        <v>58</v>
      </c>
      <c r="D273" t="s">
        <v>38</v>
      </c>
      <c r="E273" t="s">
        <v>23</v>
      </c>
      <c r="F273" t="s">
        <v>20</v>
      </c>
      <c r="G273">
        <v>4667614</v>
      </c>
      <c r="H273">
        <v>24.6</v>
      </c>
      <c r="I273">
        <v>-3.47</v>
      </c>
      <c r="J273" s="1">
        <v>44214</v>
      </c>
      <c r="K273">
        <v>26</v>
      </c>
      <c r="L273">
        <v>5</v>
      </c>
      <c r="M273">
        <v>466761.4</v>
      </c>
      <c r="N273">
        <v>2333807</v>
      </c>
    </row>
    <row r="274" spans="1:14" x14ac:dyDescent="0.25">
      <c r="A274" t="s">
        <v>557</v>
      </c>
      <c r="B274" t="s">
        <v>17</v>
      </c>
      <c r="C274">
        <v>57</v>
      </c>
      <c r="D274" t="s">
        <v>46</v>
      </c>
      <c r="E274" t="s">
        <v>23</v>
      </c>
      <c r="F274" t="s">
        <v>35</v>
      </c>
      <c r="G274">
        <v>2370367</v>
      </c>
      <c r="H274">
        <v>31.51</v>
      </c>
      <c r="I274">
        <v>10.59</v>
      </c>
      <c r="J274" s="1">
        <v>44177</v>
      </c>
      <c r="K274">
        <v>268</v>
      </c>
      <c r="L274">
        <v>5</v>
      </c>
      <c r="M274">
        <v>237036.7</v>
      </c>
      <c r="N274">
        <v>1185183.5</v>
      </c>
    </row>
    <row r="275" spans="1:14" x14ac:dyDescent="0.25">
      <c r="A275" t="s">
        <v>559</v>
      </c>
      <c r="B275" t="s">
        <v>17</v>
      </c>
      <c r="C275">
        <v>46</v>
      </c>
      <c r="D275" t="s">
        <v>46</v>
      </c>
      <c r="E275" t="s">
        <v>50</v>
      </c>
      <c r="F275" t="s">
        <v>47</v>
      </c>
      <c r="G275">
        <v>3421049</v>
      </c>
      <c r="H275">
        <v>10.76</v>
      </c>
      <c r="I275">
        <v>2.4</v>
      </c>
      <c r="J275" s="1">
        <v>44699</v>
      </c>
      <c r="K275">
        <v>265</v>
      </c>
      <c r="L275">
        <v>4</v>
      </c>
      <c r="M275">
        <v>342104.9</v>
      </c>
      <c r="N275">
        <v>1368419.6</v>
      </c>
    </row>
    <row r="276" spans="1:14" x14ac:dyDescent="0.25">
      <c r="A276" t="s">
        <v>561</v>
      </c>
      <c r="B276" t="s">
        <v>11</v>
      </c>
      <c r="C276">
        <v>45</v>
      </c>
      <c r="D276" t="s">
        <v>38</v>
      </c>
      <c r="E276" t="s">
        <v>50</v>
      </c>
      <c r="F276" t="s">
        <v>14</v>
      </c>
      <c r="G276">
        <v>4823311</v>
      </c>
      <c r="H276">
        <v>29.3</v>
      </c>
      <c r="I276">
        <v>34.81</v>
      </c>
      <c r="J276" s="1">
        <v>44107</v>
      </c>
      <c r="K276">
        <v>198</v>
      </c>
      <c r="L276">
        <v>5</v>
      </c>
      <c r="M276">
        <v>482331.10000000003</v>
      </c>
      <c r="N276">
        <v>2411655.5</v>
      </c>
    </row>
    <row r="277" spans="1:14" x14ac:dyDescent="0.25">
      <c r="A277" t="s">
        <v>563</v>
      </c>
      <c r="B277" t="s">
        <v>17</v>
      </c>
      <c r="C277">
        <v>42</v>
      </c>
      <c r="D277" t="s">
        <v>46</v>
      </c>
      <c r="E277" t="s">
        <v>13</v>
      </c>
      <c r="F277" t="s">
        <v>41</v>
      </c>
      <c r="G277">
        <v>625768</v>
      </c>
      <c r="H277">
        <v>18.899999999999999</v>
      </c>
      <c r="I277">
        <v>19.7</v>
      </c>
      <c r="J277" s="1">
        <v>44278</v>
      </c>
      <c r="K277">
        <v>356</v>
      </c>
      <c r="L277">
        <v>5</v>
      </c>
      <c r="M277">
        <v>62576.800000000003</v>
      </c>
      <c r="N277">
        <v>312884</v>
      </c>
    </row>
    <row r="278" spans="1:14" x14ac:dyDescent="0.25">
      <c r="A278" t="s">
        <v>565</v>
      </c>
      <c r="B278" t="s">
        <v>11</v>
      </c>
      <c r="C278">
        <v>37</v>
      </c>
      <c r="D278" t="s">
        <v>46</v>
      </c>
      <c r="E278" t="s">
        <v>19</v>
      </c>
      <c r="F278" t="s">
        <v>41</v>
      </c>
      <c r="G278">
        <v>1531405</v>
      </c>
      <c r="H278">
        <v>31.24</v>
      </c>
      <c r="I278">
        <v>23.41</v>
      </c>
      <c r="J278" s="1">
        <v>43908</v>
      </c>
      <c r="K278">
        <v>253</v>
      </c>
      <c r="L278">
        <v>6</v>
      </c>
      <c r="M278">
        <v>153140.5</v>
      </c>
      <c r="N278">
        <v>918843</v>
      </c>
    </row>
    <row r="279" spans="1:14" x14ac:dyDescent="0.25">
      <c r="A279" t="s">
        <v>567</v>
      </c>
      <c r="B279" t="s">
        <v>11</v>
      </c>
      <c r="C279">
        <v>24</v>
      </c>
      <c r="D279" t="s">
        <v>28</v>
      </c>
      <c r="E279" t="s">
        <v>57</v>
      </c>
      <c r="F279" t="s">
        <v>41</v>
      </c>
      <c r="G279">
        <v>1722462</v>
      </c>
      <c r="H279">
        <v>22.49</v>
      </c>
      <c r="I279">
        <v>2.11</v>
      </c>
      <c r="J279" s="1">
        <v>43500</v>
      </c>
      <c r="K279">
        <v>264</v>
      </c>
      <c r="L279">
        <v>7</v>
      </c>
      <c r="M279">
        <v>172246.2</v>
      </c>
      <c r="N279">
        <v>1205723.4000000001</v>
      </c>
    </row>
    <row r="280" spans="1:14" x14ac:dyDescent="0.25">
      <c r="A280" t="s">
        <v>568</v>
      </c>
      <c r="B280" t="s">
        <v>17</v>
      </c>
      <c r="C280">
        <v>52</v>
      </c>
      <c r="D280" t="s">
        <v>46</v>
      </c>
      <c r="E280" t="s">
        <v>19</v>
      </c>
      <c r="F280" t="s">
        <v>14</v>
      </c>
      <c r="G280">
        <v>2971056</v>
      </c>
      <c r="H280">
        <v>11.76</v>
      </c>
      <c r="I280">
        <v>43.14</v>
      </c>
      <c r="J280" s="1">
        <v>45556</v>
      </c>
      <c r="K280">
        <v>319</v>
      </c>
      <c r="L280">
        <v>1</v>
      </c>
      <c r="M280">
        <v>297105.60000000003</v>
      </c>
      <c r="N280">
        <v>297105.60000000003</v>
      </c>
    </row>
    <row r="281" spans="1:14" x14ac:dyDescent="0.25">
      <c r="A281" t="s">
        <v>569</v>
      </c>
      <c r="B281" t="s">
        <v>17</v>
      </c>
      <c r="C281">
        <v>25</v>
      </c>
      <c r="D281" t="s">
        <v>18</v>
      </c>
      <c r="E281" t="s">
        <v>19</v>
      </c>
      <c r="F281" t="s">
        <v>20</v>
      </c>
      <c r="G281">
        <v>4729459</v>
      </c>
      <c r="H281">
        <v>22.99</v>
      </c>
      <c r="I281">
        <v>0.05</v>
      </c>
      <c r="J281" s="1">
        <v>43291</v>
      </c>
      <c r="K281">
        <v>283</v>
      </c>
      <c r="L281">
        <v>8</v>
      </c>
      <c r="M281">
        <v>472945.9</v>
      </c>
      <c r="N281">
        <v>3783567.2</v>
      </c>
    </row>
    <row r="282" spans="1:14" x14ac:dyDescent="0.25">
      <c r="A282" t="s">
        <v>571</v>
      </c>
      <c r="B282" t="s">
        <v>17</v>
      </c>
      <c r="C282">
        <v>38</v>
      </c>
      <c r="D282" t="s">
        <v>18</v>
      </c>
      <c r="E282" t="s">
        <v>50</v>
      </c>
      <c r="F282" t="s">
        <v>14</v>
      </c>
      <c r="G282">
        <v>1675207</v>
      </c>
      <c r="H282">
        <v>13.01</v>
      </c>
      <c r="I282">
        <v>16.77</v>
      </c>
      <c r="J282" s="1">
        <v>45222</v>
      </c>
      <c r="K282">
        <v>91</v>
      </c>
      <c r="L282">
        <v>2</v>
      </c>
      <c r="M282">
        <v>167520.70000000001</v>
      </c>
      <c r="N282">
        <v>335041.40000000002</v>
      </c>
    </row>
    <row r="283" spans="1:14" x14ac:dyDescent="0.25">
      <c r="A283" t="s">
        <v>573</v>
      </c>
      <c r="B283" t="s">
        <v>11</v>
      </c>
      <c r="C283">
        <v>56</v>
      </c>
      <c r="D283" t="s">
        <v>46</v>
      </c>
      <c r="E283" t="s">
        <v>29</v>
      </c>
      <c r="F283" t="s">
        <v>14</v>
      </c>
      <c r="G283">
        <v>1336413</v>
      </c>
      <c r="H283">
        <v>5.95</v>
      </c>
      <c r="I283">
        <v>-5.72</v>
      </c>
      <c r="J283" s="1">
        <v>44161</v>
      </c>
      <c r="K283">
        <v>341</v>
      </c>
      <c r="L283">
        <v>5</v>
      </c>
      <c r="M283">
        <v>133641.30000000002</v>
      </c>
      <c r="N283">
        <v>668206.50000000012</v>
      </c>
    </row>
    <row r="284" spans="1:14" x14ac:dyDescent="0.25">
      <c r="A284" t="s">
        <v>575</v>
      </c>
      <c r="B284" t="s">
        <v>17</v>
      </c>
      <c r="C284">
        <v>38</v>
      </c>
      <c r="D284" t="s">
        <v>28</v>
      </c>
      <c r="E284" t="s">
        <v>57</v>
      </c>
      <c r="F284" t="s">
        <v>41</v>
      </c>
      <c r="G284">
        <v>2602210</v>
      </c>
      <c r="H284">
        <v>28.51</v>
      </c>
      <c r="I284">
        <v>16.57</v>
      </c>
      <c r="J284" s="1">
        <v>44524</v>
      </c>
      <c r="K284">
        <v>55</v>
      </c>
      <c r="L284">
        <v>4</v>
      </c>
      <c r="M284">
        <v>260221</v>
      </c>
      <c r="N284">
        <v>1040884</v>
      </c>
    </row>
    <row r="285" spans="1:14" x14ac:dyDescent="0.25">
      <c r="A285" t="s">
        <v>576</v>
      </c>
      <c r="B285" t="s">
        <v>11</v>
      </c>
      <c r="C285">
        <v>43</v>
      </c>
      <c r="D285" t="s">
        <v>38</v>
      </c>
      <c r="E285" t="s">
        <v>19</v>
      </c>
      <c r="F285" t="s">
        <v>14</v>
      </c>
      <c r="G285">
        <v>2650818</v>
      </c>
      <c r="H285">
        <v>28.57</v>
      </c>
      <c r="I285">
        <v>25</v>
      </c>
      <c r="J285" s="1">
        <v>44982</v>
      </c>
      <c r="K285">
        <v>29</v>
      </c>
      <c r="L285">
        <v>3</v>
      </c>
      <c r="M285">
        <v>265081.8</v>
      </c>
      <c r="N285">
        <v>795245.39999999991</v>
      </c>
    </row>
    <row r="286" spans="1:14" x14ac:dyDescent="0.25">
      <c r="A286" t="s">
        <v>578</v>
      </c>
      <c r="B286" t="s">
        <v>11</v>
      </c>
      <c r="C286">
        <v>46</v>
      </c>
      <c r="D286" t="s">
        <v>18</v>
      </c>
      <c r="E286" t="s">
        <v>23</v>
      </c>
      <c r="F286" t="s">
        <v>35</v>
      </c>
      <c r="G286">
        <v>3090844</v>
      </c>
      <c r="H286">
        <v>6.98</v>
      </c>
      <c r="I286">
        <v>40.56</v>
      </c>
      <c r="J286" s="1">
        <v>45221</v>
      </c>
      <c r="K286">
        <v>54</v>
      </c>
      <c r="L286">
        <v>2</v>
      </c>
      <c r="M286">
        <v>309084.40000000002</v>
      </c>
      <c r="N286">
        <v>618168.80000000005</v>
      </c>
    </row>
    <row r="287" spans="1:14" x14ac:dyDescent="0.25">
      <c r="A287" t="s">
        <v>580</v>
      </c>
      <c r="B287" t="s">
        <v>11</v>
      </c>
      <c r="C287">
        <v>61</v>
      </c>
      <c r="D287" t="s">
        <v>28</v>
      </c>
      <c r="E287" t="s">
        <v>19</v>
      </c>
      <c r="F287" t="s">
        <v>41</v>
      </c>
      <c r="G287">
        <v>393945</v>
      </c>
      <c r="H287">
        <v>33.119999999999997</v>
      </c>
      <c r="I287">
        <v>19.43</v>
      </c>
      <c r="J287" s="1">
        <v>44593</v>
      </c>
      <c r="K287">
        <v>171</v>
      </c>
      <c r="L287">
        <v>4</v>
      </c>
      <c r="M287">
        <v>39394.5</v>
      </c>
      <c r="N287">
        <v>157578</v>
      </c>
    </row>
    <row r="288" spans="1:14" x14ac:dyDescent="0.25">
      <c r="A288" t="s">
        <v>582</v>
      </c>
      <c r="B288" t="s">
        <v>17</v>
      </c>
      <c r="C288">
        <v>38</v>
      </c>
      <c r="D288" t="s">
        <v>38</v>
      </c>
      <c r="E288" t="s">
        <v>19</v>
      </c>
      <c r="F288" t="s">
        <v>41</v>
      </c>
      <c r="G288">
        <v>1408202</v>
      </c>
      <c r="H288">
        <v>11.67</v>
      </c>
      <c r="I288">
        <v>36.479999999999997</v>
      </c>
      <c r="J288" s="1">
        <v>45444</v>
      </c>
      <c r="K288">
        <v>219</v>
      </c>
      <c r="L288">
        <v>2</v>
      </c>
      <c r="M288">
        <v>140820.20000000001</v>
      </c>
      <c r="N288">
        <v>281640.40000000002</v>
      </c>
    </row>
    <row r="289" spans="1:14" x14ac:dyDescent="0.25">
      <c r="A289" t="s">
        <v>584</v>
      </c>
      <c r="B289" t="s">
        <v>17</v>
      </c>
      <c r="C289">
        <v>41</v>
      </c>
      <c r="D289" t="s">
        <v>18</v>
      </c>
      <c r="E289" t="s">
        <v>13</v>
      </c>
      <c r="F289" t="s">
        <v>41</v>
      </c>
      <c r="G289">
        <v>4384312</v>
      </c>
      <c r="H289">
        <v>12.43</v>
      </c>
      <c r="I289">
        <v>32.44</v>
      </c>
      <c r="J289" s="1">
        <v>43833</v>
      </c>
      <c r="K289">
        <v>86</v>
      </c>
      <c r="L289">
        <v>6</v>
      </c>
      <c r="M289">
        <v>438431.2</v>
      </c>
      <c r="N289">
        <v>2630587.2000000002</v>
      </c>
    </row>
    <row r="290" spans="1:14" x14ac:dyDescent="0.25">
      <c r="A290" t="s">
        <v>586</v>
      </c>
      <c r="B290" t="s">
        <v>17</v>
      </c>
      <c r="C290">
        <v>63</v>
      </c>
      <c r="D290" t="s">
        <v>28</v>
      </c>
      <c r="E290" t="s">
        <v>23</v>
      </c>
      <c r="F290" t="s">
        <v>30</v>
      </c>
      <c r="G290">
        <v>3936584</v>
      </c>
      <c r="H290">
        <v>9.14</v>
      </c>
      <c r="I290">
        <v>14.23</v>
      </c>
      <c r="J290" s="1">
        <v>44308</v>
      </c>
      <c r="K290">
        <v>105</v>
      </c>
      <c r="L290">
        <v>5</v>
      </c>
      <c r="M290">
        <v>393658.4</v>
      </c>
      <c r="N290">
        <v>1968292</v>
      </c>
    </row>
    <row r="291" spans="1:14" x14ac:dyDescent="0.25">
      <c r="A291" t="s">
        <v>588</v>
      </c>
      <c r="B291" t="s">
        <v>17</v>
      </c>
      <c r="C291">
        <v>27</v>
      </c>
      <c r="D291" t="s">
        <v>18</v>
      </c>
      <c r="E291" t="s">
        <v>29</v>
      </c>
      <c r="F291" t="s">
        <v>47</v>
      </c>
      <c r="G291">
        <v>2404637</v>
      </c>
      <c r="H291">
        <v>25.19</v>
      </c>
      <c r="I291">
        <v>24.06</v>
      </c>
      <c r="J291" s="1">
        <v>43102</v>
      </c>
      <c r="K291">
        <v>11</v>
      </c>
      <c r="L291">
        <v>8</v>
      </c>
      <c r="M291">
        <v>240463.7</v>
      </c>
      <c r="N291">
        <v>1923709.6</v>
      </c>
    </row>
    <row r="292" spans="1:14" x14ac:dyDescent="0.25">
      <c r="A292" t="s">
        <v>590</v>
      </c>
      <c r="B292" t="s">
        <v>17</v>
      </c>
      <c r="C292">
        <v>28</v>
      </c>
      <c r="D292" t="s">
        <v>46</v>
      </c>
      <c r="E292" t="s">
        <v>19</v>
      </c>
      <c r="F292" t="s">
        <v>47</v>
      </c>
      <c r="G292">
        <v>3109791</v>
      </c>
      <c r="H292">
        <v>30.45</v>
      </c>
      <c r="I292">
        <v>43.57</v>
      </c>
      <c r="J292" s="1">
        <v>43653</v>
      </c>
      <c r="K292">
        <v>340</v>
      </c>
      <c r="L292">
        <v>7</v>
      </c>
      <c r="M292">
        <v>310979.10000000003</v>
      </c>
      <c r="N292">
        <v>2176853.7000000002</v>
      </c>
    </row>
    <row r="293" spans="1:14" x14ac:dyDescent="0.25">
      <c r="A293" t="s">
        <v>592</v>
      </c>
      <c r="B293" t="s">
        <v>17</v>
      </c>
      <c r="C293">
        <v>27</v>
      </c>
      <c r="D293" t="s">
        <v>12</v>
      </c>
      <c r="E293" t="s">
        <v>19</v>
      </c>
      <c r="F293" t="s">
        <v>41</v>
      </c>
      <c r="G293">
        <v>170248</v>
      </c>
      <c r="H293">
        <v>26.13</v>
      </c>
      <c r="I293">
        <v>2.74</v>
      </c>
      <c r="J293" s="1">
        <v>44536</v>
      </c>
      <c r="K293">
        <v>280</v>
      </c>
      <c r="L293">
        <v>4</v>
      </c>
      <c r="M293">
        <v>17024.8</v>
      </c>
      <c r="N293">
        <v>68099.199999999997</v>
      </c>
    </row>
    <row r="294" spans="1:14" x14ac:dyDescent="0.25">
      <c r="A294" t="s">
        <v>594</v>
      </c>
      <c r="B294" t="s">
        <v>17</v>
      </c>
      <c r="C294">
        <v>48</v>
      </c>
      <c r="D294" t="s">
        <v>12</v>
      </c>
      <c r="E294" t="s">
        <v>29</v>
      </c>
      <c r="F294" t="s">
        <v>35</v>
      </c>
      <c r="G294">
        <v>3719440</v>
      </c>
      <c r="H294">
        <v>7.33</v>
      </c>
      <c r="I294">
        <v>-5.44</v>
      </c>
      <c r="J294" s="1">
        <v>45214</v>
      </c>
      <c r="K294">
        <v>211</v>
      </c>
      <c r="L294">
        <v>2</v>
      </c>
      <c r="M294">
        <v>371944</v>
      </c>
      <c r="N294">
        <v>743888</v>
      </c>
    </row>
    <row r="295" spans="1:14" x14ac:dyDescent="0.25">
      <c r="A295" t="s">
        <v>596</v>
      </c>
      <c r="B295" t="s">
        <v>17</v>
      </c>
      <c r="C295">
        <v>23</v>
      </c>
      <c r="D295" t="s">
        <v>12</v>
      </c>
      <c r="E295" t="s">
        <v>13</v>
      </c>
      <c r="F295" t="s">
        <v>20</v>
      </c>
      <c r="G295">
        <v>4228818</v>
      </c>
      <c r="H295">
        <v>29.3</v>
      </c>
      <c r="I295">
        <v>1.89</v>
      </c>
      <c r="J295" s="1">
        <v>45438</v>
      </c>
      <c r="K295">
        <v>17</v>
      </c>
      <c r="L295">
        <v>2</v>
      </c>
      <c r="M295">
        <v>422881.80000000005</v>
      </c>
      <c r="N295">
        <v>845763.60000000009</v>
      </c>
    </row>
    <row r="296" spans="1:14" x14ac:dyDescent="0.25">
      <c r="A296" t="s">
        <v>598</v>
      </c>
      <c r="B296" t="s">
        <v>11</v>
      </c>
      <c r="C296">
        <v>56</v>
      </c>
      <c r="D296" t="s">
        <v>46</v>
      </c>
      <c r="E296" t="s">
        <v>13</v>
      </c>
      <c r="F296" t="s">
        <v>47</v>
      </c>
      <c r="G296">
        <v>2743458</v>
      </c>
      <c r="H296">
        <v>33.090000000000003</v>
      </c>
      <c r="I296">
        <v>18.57</v>
      </c>
      <c r="J296" s="1">
        <v>45087</v>
      </c>
      <c r="K296">
        <v>202</v>
      </c>
      <c r="L296">
        <v>3</v>
      </c>
      <c r="M296">
        <v>274345.8</v>
      </c>
      <c r="N296">
        <v>823037.39999999991</v>
      </c>
    </row>
    <row r="297" spans="1:14" x14ac:dyDescent="0.25">
      <c r="A297" t="s">
        <v>600</v>
      </c>
      <c r="B297" t="s">
        <v>11</v>
      </c>
      <c r="C297">
        <v>50</v>
      </c>
      <c r="D297" t="s">
        <v>12</v>
      </c>
      <c r="E297" t="s">
        <v>23</v>
      </c>
      <c r="F297" t="s">
        <v>14</v>
      </c>
      <c r="G297">
        <v>304015</v>
      </c>
      <c r="H297">
        <v>27.66</v>
      </c>
      <c r="I297">
        <v>10.4</v>
      </c>
      <c r="J297" s="1">
        <v>45009</v>
      </c>
      <c r="K297">
        <v>143</v>
      </c>
      <c r="L297">
        <v>3</v>
      </c>
      <c r="M297">
        <v>30401.5</v>
      </c>
      <c r="N297">
        <v>91204.5</v>
      </c>
    </row>
    <row r="298" spans="1:14" x14ac:dyDescent="0.25">
      <c r="A298" t="s">
        <v>602</v>
      </c>
      <c r="B298" t="s">
        <v>11</v>
      </c>
      <c r="C298">
        <v>56</v>
      </c>
      <c r="D298" t="s">
        <v>18</v>
      </c>
      <c r="E298" t="s">
        <v>57</v>
      </c>
      <c r="F298" t="s">
        <v>41</v>
      </c>
      <c r="G298">
        <v>3708508</v>
      </c>
      <c r="H298">
        <v>25.8</v>
      </c>
      <c r="I298">
        <v>34.39</v>
      </c>
      <c r="J298" s="1">
        <v>44751</v>
      </c>
      <c r="K298">
        <v>28</v>
      </c>
      <c r="L298">
        <v>4</v>
      </c>
      <c r="M298">
        <v>370850.80000000005</v>
      </c>
      <c r="N298">
        <v>1483403.2000000002</v>
      </c>
    </row>
    <row r="299" spans="1:14" x14ac:dyDescent="0.25">
      <c r="A299" t="s">
        <v>604</v>
      </c>
      <c r="B299" t="s">
        <v>11</v>
      </c>
      <c r="C299">
        <v>33</v>
      </c>
      <c r="D299" t="s">
        <v>18</v>
      </c>
      <c r="E299" t="s">
        <v>29</v>
      </c>
      <c r="F299" t="s">
        <v>30</v>
      </c>
      <c r="G299">
        <v>934902</v>
      </c>
      <c r="H299">
        <v>11.56</v>
      </c>
      <c r="I299">
        <v>10.16</v>
      </c>
      <c r="J299" s="1">
        <v>45241</v>
      </c>
      <c r="K299">
        <v>300</v>
      </c>
      <c r="L299">
        <v>2</v>
      </c>
      <c r="M299">
        <v>93490.200000000012</v>
      </c>
      <c r="N299">
        <v>186980.40000000002</v>
      </c>
    </row>
    <row r="300" spans="1:14" x14ac:dyDescent="0.25">
      <c r="A300" t="s">
        <v>606</v>
      </c>
      <c r="B300" t="s">
        <v>17</v>
      </c>
      <c r="C300">
        <v>22</v>
      </c>
      <c r="D300" t="s">
        <v>28</v>
      </c>
      <c r="E300" t="s">
        <v>23</v>
      </c>
      <c r="F300" t="s">
        <v>14</v>
      </c>
      <c r="G300">
        <v>3567372</v>
      </c>
      <c r="H300">
        <v>29.94</v>
      </c>
      <c r="I300">
        <v>-7.92</v>
      </c>
      <c r="J300" s="1">
        <v>44120</v>
      </c>
      <c r="K300">
        <v>69</v>
      </c>
      <c r="L300">
        <v>5</v>
      </c>
      <c r="M300">
        <v>356737.2</v>
      </c>
      <c r="N300">
        <v>1783686</v>
      </c>
    </row>
    <row r="301" spans="1:14" x14ac:dyDescent="0.25">
      <c r="A301" t="s">
        <v>608</v>
      </c>
      <c r="B301" t="s">
        <v>11</v>
      </c>
      <c r="C301">
        <v>27</v>
      </c>
      <c r="D301" t="s">
        <v>18</v>
      </c>
      <c r="E301" t="s">
        <v>57</v>
      </c>
      <c r="F301" t="s">
        <v>14</v>
      </c>
      <c r="G301">
        <v>2284623</v>
      </c>
      <c r="H301">
        <v>7.63</v>
      </c>
      <c r="I301">
        <v>24.62</v>
      </c>
      <c r="J301" s="1">
        <v>43447</v>
      </c>
      <c r="K301">
        <v>187</v>
      </c>
      <c r="L301">
        <v>7</v>
      </c>
      <c r="M301">
        <v>228462.30000000002</v>
      </c>
      <c r="N301">
        <v>1599236.1</v>
      </c>
    </row>
    <row r="302" spans="1:14" x14ac:dyDescent="0.25">
      <c r="A302" t="s">
        <v>610</v>
      </c>
      <c r="B302" t="s">
        <v>17</v>
      </c>
      <c r="C302">
        <v>23</v>
      </c>
      <c r="D302" t="s">
        <v>28</v>
      </c>
      <c r="E302" t="s">
        <v>19</v>
      </c>
      <c r="F302" t="s">
        <v>41</v>
      </c>
      <c r="G302">
        <v>304539</v>
      </c>
      <c r="H302">
        <v>33.43</v>
      </c>
      <c r="I302">
        <v>27.83</v>
      </c>
      <c r="J302" s="1">
        <v>44337</v>
      </c>
      <c r="K302">
        <v>345</v>
      </c>
      <c r="L302">
        <v>5</v>
      </c>
      <c r="M302">
        <v>30453.9</v>
      </c>
      <c r="N302">
        <v>152269.5</v>
      </c>
    </row>
    <row r="303" spans="1:14" x14ac:dyDescent="0.25">
      <c r="A303" t="s">
        <v>612</v>
      </c>
      <c r="B303" t="s">
        <v>17</v>
      </c>
      <c r="C303">
        <v>35</v>
      </c>
      <c r="D303" t="s">
        <v>18</v>
      </c>
      <c r="E303" t="s">
        <v>29</v>
      </c>
      <c r="F303" t="s">
        <v>35</v>
      </c>
      <c r="G303">
        <v>1105402</v>
      </c>
      <c r="H303">
        <v>33.270000000000003</v>
      </c>
      <c r="I303">
        <v>6.26</v>
      </c>
      <c r="J303" s="1">
        <v>44060</v>
      </c>
      <c r="K303">
        <v>170</v>
      </c>
      <c r="L303">
        <v>5</v>
      </c>
      <c r="M303">
        <v>110540.20000000001</v>
      </c>
      <c r="N303">
        <v>552701</v>
      </c>
    </row>
    <row r="304" spans="1:14" x14ac:dyDescent="0.25">
      <c r="A304" t="s">
        <v>614</v>
      </c>
      <c r="B304" t="s">
        <v>17</v>
      </c>
      <c r="C304">
        <v>51</v>
      </c>
      <c r="D304" t="s">
        <v>38</v>
      </c>
      <c r="E304" t="s">
        <v>13</v>
      </c>
      <c r="F304" t="s">
        <v>30</v>
      </c>
      <c r="G304">
        <v>115830</v>
      </c>
      <c r="H304">
        <v>13.49</v>
      </c>
      <c r="I304">
        <v>36.35</v>
      </c>
      <c r="J304" s="1">
        <v>44572</v>
      </c>
      <c r="K304">
        <v>211</v>
      </c>
      <c r="L304">
        <v>4</v>
      </c>
      <c r="M304">
        <v>11583</v>
      </c>
      <c r="N304">
        <v>46332</v>
      </c>
    </row>
    <row r="305" spans="1:14" x14ac:dyDescent="0.25">
      <c r="A305" t="s">
        <v>616</v>
      </c>
      <c r="B305" t="s">
        <v>17</v>
      </c>
      <c r="C305">
        <v>50</v>
      </c>
      <c r="D305" t="s">
        <v>46</v>
      </c>
      <c r="E305" t="s">
        <v>13</v>
      </c>
      <c r="F305" t="s">
        <v>47</v>
      </c>
      <c r="G305">
        <v>1671440</v>
      </c>
      <c r="H305">
        <v>23.05</v>
      </c>
      <c r="I305">
        <v>9.17</v>
      </c>
      <c r="J305" s="1">
        <v>44560</v>
      </c>
      <c r="K305">
        <v>122</v>
      </c>
      <c r="L305">
        <v>4</v>
      </c>
      <c r="M305">
        <v>167144</v>
      </c>
      <c r="N305">
        <v>668576</v>
      </c>
    </row>
    <row r="306" spans="1:14" x14ac:dyDescent="0.25">
      <c r="A306" t="s">
        <v>617</v>
      </c>
      <c r="B306" t="s">
        <v>17</v>
      </c>
      <c r="C306">
        <v>24</v>
      </c>
      <c r="D306" t="s">
        <v>12</v>
      </c>
      <c r="E306" t="s">
        <v>13</v>
      </c>
      <c r="F306" t="s">
        <v>14</v>
      </c>
      <c r="G306">
        <v>4016939</v>
      </c>
      <c r="H306">
        <v>22.24</v>
      </c>
      <c r="I306">
        <v>7.94</v>
      </c>
      <c r="J306" s="1">
        <v>43683</v>
      </c>
      <c r="K306">
        <v>26</v>
      </c>
      <c r="L306">
        <v>6</v>
      </c>
      <c r="M306">
        <v>401693.9</v>
      </c>
      <c r="N306">
        <v>2410163.4000000004</v>
      </c>
    </row>
    <row r="307" spans="1:14" x14ac:dyDescent="0.25">
      <c r="A307" t="s">
        <v>619</v>
      </c>
      <c r="B307" t="s">
        <v>11</v>
      </c>
      <c r="C307">
        <v>54</v>
      </c>
      <c r="D307" t="s">
        <v>46</v>
      </c>
      <c r="E307" t="s">
        <v>57</v>
      </c>
      <c r="F307" t="s">
        <v>20</v>
      </c>
      <c r="G307">
        <v>2863269</v>
      </c>
      <c r="H307">
        <v>23.08</v>
      </c>
      <c r="I307">
        <v>25.06</v>
      </c>
      <c r="J307" s="1">
        <v>44203</v>
      </c>
      <c r="K307">
        <v>329</v>
      </c>
      <c r="L307">
        <v>5</v>
      </c>
      <c r="M307">
        <v>286326.90000000002</v>
      </c>
      <c r="N307">
        <v>1431634.5</v>
      </c>
    </row>
    <row r="308" spans="1:14" x14ac:dyDescent="0.25">
      <c r="A308" t="s">
        <v>621</v>
      </c>
      <c r="B308" t="s">
        <v>17</v>
      </c>
      <c r="C308">
        <v>56</v>
      </c>
      <c r="D308" t="s">
        <v>46</v>
      </c>
      <c r="E308" t="s">
        <v>19</v>
      </c>
      <c r="F308" t="s">
        <v>20</v>
      </c>
      <c r="G308">
        <v>4742982</v>
      </c>
      <c r="H308">
        <v>14.03</v>
      </c>
      <c r="I308">
        <v>16.03</v>
      </c>
      <c r="J308" s="1">
        <v>43770</v>
      </c>
      <c r="K308">
        <v>190</v>
      </c>
      <c r="L308">
        <v>6</v>
      </c>
      <c r="M308">
        <v>474298.2</v>
      </c>
      <c r="N308">
        <v>2845789.2</v>
      </c>
    </row>
    <row r="309" spans="1:14" x14ac:dyDescent="0.25">
      <c r="A309" t="s">
        <v>623</v>
      </c>
      <c r="B309" t="s">
        <v>17</v>
      </c>
      <c r="C309">
        <v>34</v>
      </c>
      <c r="D309" t="s">
        <v>28</v>
      </c>
      <c r="E309" t="s">
        <v>19</v>
      </c>
      <c r="F309" t="s">
        <v>30</v>
      </c>
      <c r="G309">
        <v>1636308</v>
      </c>
      <c r="H309">
        <v>5.0999999999999996</v>
      </c>
      <c r="I309">
        <v>19.649999999999999</v>
      </c>
      <c r="J309" s="1">
        <v>43837</v>
      </c>
      <c r="K309">
        <v>202</v>
      </c>
      <c r="L309">
        <v>6</v>
      </c>
      <c r="M309">
        <v>163630.80000000002</v>
      </c>
      <c r="N309">
        <v>981784.8</v>
      </c>
    </row>
    <row r="310" spans="1:14" x14ac:dyDescent="0.25">
      <c r="A310" t="s">
        <v>625</v>
      </c>
      <c r="B310" t="s">
        <v>11</v>
      </c>
      <c r="C310">
        <v>40</v>
      </c>
      <c r="D310" t="s">
        <v>46</v>
      </c>
      <c r="E310" t="s">
        <v>23</v>
      </c>
      <c r="F310" t="s">
        <v>14</v>
      </c>
      <c r="G310">
        <v>2710318</v>
      </c>
      <c r="H310">
        <v>21.66</v>
      </c>
      <c r="I310">
        <v>-7.07</v>
      </c>
      <c r="J310" s="1">
        <v>45254</v>
      </c>
      <c r="K310">
        <v>309</v>
      </c>
      <c r="L310">
        <v>2</v>
      </c>
      <c r="M310">
        <v>271031.8</v>
      </c>
      <c r="N310">
        <v>542063.6</v>
      </c>
    </row>
    <row r="311" spans="1:14" x14ac:dyDescent="0.25">
      <c r="A311" t="s">
        <v>627</v>
      </c>
      <c r="B311" t="s">
        <v>11</v>
      </c>
      <c r="C311">
        <v>28</v>
      </c>
      <c r="D311" t="s">
        <v>38</v>
      </c>
      <c r="E311" t="s">
        <v>19</v>
      </c>
      <c r="F311" t="s">
        <v>35</v>
      </c>
      <c r="G311">
        <v>882298</v>
      </c>
      <c r="H311">
        <v>31.12</v>
      </c>
      <c r="I311">
        <v>-3.44</v>
      </c>
      <c r="J311" s="1">
        <v>44425</v>
      </c>
      <c r="K311">
        <v>205</v>
      </c>
      <c r="L311">
        <v>4</v>
      </c>
      <c r="M311">
        <v>88229.8</v>
      </c>
      <c r="N311">
        <v>352919.2</v>
      </c>
    </row>
    <row r="312" spans="1:14" x14ac:dyDescent="0.25">
      <c r="A312" t="s">
        <v>629</v>
      </c>
      <c r="B312" t="s">
        <v>11</v>
      </c>
      <c r="C312">
        <v>60</v>
      </c>
      <c r="D312" t="s">
        <v>28</v>
      </c>
      <c r="E312" t="s">
        <v>19</v>
      </c>
      <c r="F312" t="s">
        <v>14</v>
      </c>
      <c r="G312">
        <v>2310441</v>
      </c>
      <c r="H312">
        <v>6.72</v>
      </c>
      <c r="I312">
        <v>27.28</v>
      </c>
      <c r="J312" s="1">
        <v>43855</v>
      </c>
      <c r="K312">
        <v>203</v>
      </c>
      <c r="L312">
        <v>6</v>
      </c>
      <c r="M312">
        <v>231044.1</v>
      </c>
      <c r="N312">
        <v>1386264.6</v>
      </c>
    </row>
    <row r="313" spans="1:14" x14ac:dyDescent="0.25">
      <c r="A313" t="s">
        <v>631</v>
      </c>
      <c r="B313" t="s">
        <v>11</v>
      </c>
      <c r="C313">
        <v>61</v>
      </c>
      <c r="D313" t="s">
        <v>12</v>
      </c>
      <c r="E313" t="s">
        <v>23</v>
      </c>
      <c r="F313" t="s">
        <v>30</v>
      </c>
      <c r="G313">
        <v>3037368</v>
      </c>
      <c r="H313">
        <v>22.28</v>
      </c>
      <c r="I313">
        <v>36.35</v>
      </c>
      <c r="J313" s="1">
        <v>44028</v>
      </c>
      <c r="K313">
        <v>145</v>
      </c>
      <c r="L313">
        <v>6</v>
      </c>
      <c r="M313">
        <v>303736.8</v>
      </c>
      <c r="N313">
        <v>1822420.7999999998</v>
      </c>
    </row>
    <row r="314" spans="1:14" x14ac:dyDescent="0.25">
      <c r="A314" t="s">
        <v>633</v>
      </c>
      <c r="B314" t="s">
        <v>17</v>
      </c>
      <c r="C314">
        <v>50</v>
      </c>
      <c r="D314" t="s">
        <v>12</v>
      </c>
      <c r="E314" t="s">
        <v>57</v>
      </c>
      <c r="F314" t="s">
        <v>47</v>
      </c>
      <c r="G314">
        <v>1933934</v>
      </c>
      <c r="H314">
        <v>19.55</v>
      </c>
      <c r="I314">
        <v>11.85</v>
      </c>
      <c r="J314" s="1">
        <v>43453</v>
      </c>
      <c r="K314">
        <v>39</v>
      </c>
      <c r="L314">
        <v>7</v>
      </c>
      <c r="M314">
        <v>193393.40000000002</v>
      </c>
      <c r="N314">
        <v>1353753.8000000003</v>
      </c>
    </row>
    <row r="315" spans="1:14" x14ac:dyDescent="0.25">
      <c r="A315" t="s">
        <v>635</v>
      </c>
      <c r="B315" t="s">
        <v>11</v>
      </c>
      <c r="C315">
        <v>53</v>
      </c>
      <c r="D315" t="s">
        <v>12</v>
      </c>
      <c r="E315" t="s">
        <v>29</v>
      </c>
      <c r="F315" t="s">
        <v>47</v>
      </c>
      <c r="G315">
        <v>3014988</v>
      </c>
      <c r="H315">
        <v>11.26</v>
      </c>
      <c r="I315">
        <v>38.53</v>
      </c>
      <c r="J315" s="1">
        <v>44855</v>
      </c>
      <c r="K315">
        <v>354</v>
      </c>
      <c r="L315">
        <v>3</v>
      </c>
      <c r="M315">
        <v>301498.8</v>
      </c>
      <c r="N315">
        <v>904496.39999999991</v>
      </c>
    </row>
    <row r="316" spans="1:14" x14ac:dyDescent="0.25">
      <c r="A316" t="s">
        <v>637</v>
      </c>
      <c r="B316" t="s">
        <v>17</v>
      </c>
      <c r="C316">
        <v>45</v>
      </c>
      <c r="D316" t="s">
        <v>18</v>
      </c>
      <c r="E316" t="s">
        <v>29</v>
      </c>
      <c r="F316" t="s">
        <v>14</v>
      </c>
      <c r="G316">
        <v>1879072</v>
      </c>
      <c r="H316">
        <v>12.26</v>
      </c>
      <c r="I316">
        <v>34.67</v>
      </c>
      <c r="J316" s="1">
        <v>44833</v>
      </c>
      <c r="K316">
        <v>108</v>
      </c>
      <c r="L316">
        <v>3</v>
      </c>
      <c r="M316">
        <v>187907.20000000001</v>
      </c>
      <c r="N316">
        <v>563721.60000000009</v>
      </c>
    </row>
    <row r="317" spans="1:14" x14ac:dyDescent="0.25">
      <c r="A317" t="s">
        <v>639</v>
      </c>
      <c r="B317" t="s">
        <v>17</v>
      </c>
      <c r="C317">
        <v>52</v>
      </c>
      <c r="D317" t="s">
        <v>28</v>
      </c>
      <c r="E317" t="s">
        <v>50</v>
      </c>
      <c r="F317" t="s">
        <v>30</v>
      </c>
      <c r="G317">
        <v>879288</v>
      </c>
      <c r="H317">
        <v>11.85</v>
      </c>
      <c r="I317">
        <v>3.17</v>
      </c>
      <c r="J317" s="1">
        <v>45386</v>
      </c>
      <c r="K317">
        <v>30</v>
      </c>
      <c r="L317">
        <v>2</v>
      </c>
      <c r="M317">
        <v>87928.8</v>
      </c>
      <c r="N317">
        <v>175857.6</v>
      </c>
    </row>
    <row r="318" spans="1:14" x14ac:dyDescent="0.25">
      <c r="A318" t="s">
        <v>641</v>
      </c>
      <c r="B318" t="s">
        <v>17</v>
      </c>
      <c r="C318">
        <v>33</v>
      </c>
      <c r="D318" t="s">
        <v>46</v>
      </c>
      <c r="E318" t="s">
        <v>23</v>
      </c>
      <c r="F318" t="s">
        <v>30</v>
      </c>
      <c r="G318">
        <v>1650176</v>
      </c>
      <c r="H318">
        <v>21.54</v>
      </c>
      <c r="I318">
        <v>44.92</v>
      </c>
      <c r="J318" s="1">
        <v>44510</v>
      </c>
      <c r="K318">
        <v>304</v>
      </c>
      <c r="L318">
        <v>4</v>
      </c>
      <c r="M318">
        <v>165017.60000000001</v>
      </c>
      <c r="N318">
        <v>660070.40000000002</v>
      </c>
    </row>
    <row r="319" spans="1:14" x14ac:dyDescent="0.25">
      <c r="A319" t="s">
        <v>643</v>
      </c>
      <c r="B319" t="s">
        <v>11</v>
      </c>
      <c r="C319">
        <v>52</v>
      </c>
      <c r="D319" t="s">
        <v>12</v>
      </c>
      <c r="E319" t="s">
        <v>13</v>
      </c>
      <c r="F319" t="s">
        <v>41</v>
      </c>
      <c r="G319">
        <v>1441921</v>
      </c>
      <c r="H319">
        <v>32.090000000000003</v>
      </c>
      <c r="I319">
        <v>10.14</v>
      </c>
      <c r="J319" s="1">
        <v>45308</v>
      </c>
      <c r="K319">
        <v>235</v>
      </c>
      <c r="L319">
        <v>2</v>
      </c>
      <c r="M319">
        <v>144192.1</v>
      </c>
      <c r="N319">
        <v>288384.2</v>
      </c>
    </row>
    <row r="320" spans="1:14" x14ac:dyDescent="0.25">
      <c r="A320" t="s">
        <v>645</v>
      </c>
      <c r="B320" t="s">
        <v>11</v>
      </c>
      <c r="C320">
        <v>51</v>
      </c>
      <c r="D320" t="s">
        <v>28</v>
      </c>
      <c r="E320" t="s">
        <v>13</v>
      </c>
      <c r="F320" t="s">
        <v>30</v>
      </c>
      <c r="G320">
        <v>298538</v>
      </c>
      <c r="H320">
        <v>32.840000000000003</v>
      </c>
      <c r="I320">
        <v>43.91</v>
      </c>
      <c r="J320" s="1">
        <v>45552</v>
      </c>
      <c r="K320">
        <v>248</v>
      </c>
      <c r="L320">
        <v>1</v>
      </c>
      <c r="M320">
        <v>29853.800000000003</v>
      </c>
      <c r="N320">
        <v>29853.800000000003</v>
      </c>
    </row>
    <row r="321" spans="1:14" x14ac:dyDescent="0.25">
      <c r="A321" t="s">
        <v>646</v>
      </c>
      <c r="B321" t="s">
        <v>17</v>
      </c>
      <c r="C321">
        <v>50</v>
      </c>
      <c r="D321" t="s">
        <v>28</v>
      </c>
      <c r="E321" t="s">
        <v>50</v>
      </c>
      <c r="F321" t="s">
        <v>20</v>
      </c>
      <c r="G321">
        <v>3070234</v>
      </c>
      <c r="H321">
        <v>6.63</v>
      </c>
      <c r="I321">
        <v>26.28</v>
      </c>
      <c r="J321" s="1">
        <v>44717</v>
      </c>
      <c r="K321">
        <v>219</v>
      </c>
      <c r="L321">
        <v>4</v>
      </c>
      <c r="M321">
        <v>307023.40000000002</v>
      </c>
      <c r="N321">
        <v>1228093.6000000001</v>
      </c>
    </row>
    <row r="322" spans="1:14" x14ac:dyDescent="0.25">
      <c r="A322" t="s">
        <v>648</v>
      </c>
      <c r="B322" t="s">
        <v>17</v>
      </c>
      <c r="C322">
        <v>37</v>
      </c>
      <c r="D322" t="s">
        <v>38</v>
      </c>
      <c r="E322" t="s">
        <v>23</v>
      </c>
      <c r="F322" t="s">
        <v>41</v>
      </c>
      <c r="G322">
        <v>3980007</v>
      </c>
      <c r="H322">
        <v>34.39</v>
      </c>
      <c r="I322">
        <v>-4</v>
      </c>
      <c r="J322" s="1">
        <v>44899</v>
      </c>
      <c r="K322">
        <v>19</v>
      </c>
      <c r="L322">
        <v>3</v>
      </c>
      <c r="M322">
        <v>398000.7</v>
      </c>
      <c r="N322">
        <v>1194002.1000000001</v>
      </c>
    </row>
    <row r="323" spans="1:14" x14ac:dyDescent="0.25">
      <c r="A323" t="s">
        <v>649</v>
      </c>
      <c r="B323" t="s">
        <v>11</v>
      </c>
      <c r="C323">
        <v>34</v>
      </c>
      <c r="D323" t="s">
        <v>46</v>
      </c>
      <c r="E323" t="s">
        <v>13</v>
      </c>
      <c r="F323" t="s">
        <v>47</v>
      </c>
      <c r="G323">
        <v>1283408</v>
      </c>
      <c r="H323">
        <v>27.09</v>
      </c>
      <c r="I323">
        <v>29.8</v>
      </c>
      <c r="J323" s="1">
        <v>43179</v>
      </c>
      <c r="K323">
        <v>305</v>
      </c>
      <c r="L323">
        <v>8</v>
      </c>
      <c r="M323">
        <v>128340.8</v>
      </c>
      <c r="N323">
        <v>1026726.4</v>
      </c>
    </row>
    <row r="324" spans="1:14" x14ac:dyDescent="0.25">
      <c r="A324" t="s">
        <v>651</v>
      </c>
      <c r="B324" t="s">
        <v>17</v>
      </c>
      <c r="C324">
        <v>33</v>
      </c>
      <c r="D324" t="s">
        <v>46</v>
      </c>
      <c r="E324" t="s">
        <v>57</v>
      </c>
      <c r="F324" t="s">
        <v>14</v>
      </c>
      <c r="G324">
        <v>4275728</v>
      </c>
      <c r="H324">
        <v>5.81</v>
      </c>
      <c r="I324">
        <v>14.64</v>
      </c>
      <c r="J324" s="1">
        <v>45424</v>
      </c>
      <c r="K324">
        <v>255</v>
      </c>
      <c r="L324">
        <v>2</v>
      </c>
      <c r="M324">
        <v>427572.80000000005</v>
      </c>
      <c r="N324">
        <v>855145.60000000009</v>
      </c>
    </row>
    <row r="325" spans="1:14" x14ac:dyDescent="0.25">
      <c r="A325" t="s">
        <v>653</v>
      </c>
      <c r="B325" t="s">
        <v>11</v>
      </c>
      <c r="C325">
        <v>45</v>
      </c>
      <c r="D325" t="s">
        <v>18</v>
      </c>
      <c r="E325" t="s">
        <v>19</v>
      </c>
      <c r="F325" t="s">
        <v>41</v>
      </c>
      <c r="G325">
        <v>157432</v>
      </c>
      <c r="H325">
        <v>21.13</v>
      </c>
      <c r="I325">
        <v>40.74</v>
      </c>
      <c r="J325" s="1">
        <v>43696</v>
      </c>
      <c r="K325">
        <v>139</v>
      </c>
      <c r="L325">
        <v>6</v>
      </c>
      <c r="M325">
        <v>15743.2</v>
      </c>
      <c r="N325">
        <v>94459.200000000012</v>
      </c>
    </row>
    <row r="326" spans="1:14" x14ac:dyDescent="0.25">
      <c r="A326" t="s">
        <v>655</v>
      </c>
      <c r="B326" t="s">
        <v>11</v>
      </c>
      <c r="C326">
        <v>58</v>
      </c>
      <c r="D326" t="s">
        <v>38</v>
      </c>
      <c r="E326" t="s">
        <v>23</v>
      </c>
      <c r="F326" t="s">
        <v>14</v>
      </c>
      <c r="G326">
        <v>2934220</v>
      </c>
      <c r="H326">
        <v>14.08</v>
      </c>
      <c r="I326">
        <v>16.38</v>
      </c>
      <c r="J326" s="1">
        <v>44755</v>
      </c>
      <c r="K326">
        <v>36</v>
      </c>
      <c r="L326">
        <v>4</v>
      </c>
      <c r="M326">
        <v>293422</v>
      </c>
      <c r="N326">
        <v>1173688</v>
      </c>
    </row>
    <row r="327" spans="1:14" x14ac:dyDescent="0.25">
      <c r="A327" t="s">
        <v>657</v>
      </c>
      <c r="B327" t="s">
        <v>17</v>
      </c>
      <c r="C327">
        <v>31</v>
      </c>
      <c r="D327" t="s">
        <v>18</v>
      </c>
      <c r="E327" t="s">
        <v>23</v>
      </c>
      <c r="F327" t="s">
        <v>14</v>
      </c>
      <c r="G327">
        <v>4468757</v>
      </c>
      <c r="H327">
        <v>24.35</v>
      </c>
      <c r="I327">
        <v>41.49</v>
      </c>
      <c r="J327" s="1">
        <v>43549</v>
      </c>
      <c r="K327">
        <v>182</v>
      </c>
      <c r="L327">
        <v>7</v>
      </c>
      <c r="M327">
        <v>446875.7</v>
      </c>
      <c r="N327">
        <v>3128129.9</v>
      </c>
    </row>
    <row r="328" spans="1:14" x14ac:dyDescent="0.25">
      <c r="A328" t="s">
        <v>659</v>
      </c>
      <c r="B328" t="s">
        <v>11</v>
      </c>
      <c r="C328">
        <v>56</v>
      </c>
      <c r="D328" t="s">
        <v>46</v>
      </c>
      <c r="E328" t="s">
        <v>57</v>
      </c>
      <c r="F328" t="s">
        <v>41</v>
      </c>
      <c r="G328">
        <v>1451352</v>
      </c>
      <c r="H328">
        <v>16.91</v>
      </c>
      <c r="I328">
        <v>27.77</v>
      </c>
      <c r="J328" s="1">
        <v>44398</v>
      </c>
      <c r="K328">
        <v>30</v>
      </c>
      <c r="L328">
        <v>4</v>
      </c>
      <c r="M328">
        <v>145135.20000000001</v>
      </c>
      <c r="N328">
        <v>580540.80000000005</v>
      </c>
    </row>
    <row r="329" spans="1:14" x14ac:dyDescent="0.25">
      <c r="A329" t="s">
        <v>661</v>
      </c>
      <c r="B329" t="s">
        <v>11</v>
      </c>
      <c r="C329">
        <v>51</v>
      </c>
      <c r="D329" t="s">
        <v>12</v>
      </c>
      <c r="E329" t="s">
        <v>50</v>
      </c>
      <c r="F329" t="s">
        <v>20</v>
      </c>
      <c r="G329">
        <v>509397</v>
      </c>
      <c r="H329">
        <v>8.59</v>
      </c>
      <c r="I329">
        <v>14.43</v>
      </c>
      <c r="J329" s="1">
        <v>44057</v>
      </c>
      <c r="K329">
        <v>216</v>
      </c>
      <c r="L329">
        <v>5</v>
      </c>
      <c r="M329">
        <v>50939.700000000004</v>
      </c>
      <c r="N329">
        <v>254698.50000000003</v>
      </c>
    </row>
    <row r="330" spans="1:14" x14ac:dyDescent="0.25">
      <c r="A330" t="s">
        <v>663</v>
      </c>
      <c r="B330" t="s">
        <v>17</v>
      </c>
      <c r="C330">
        <v>57</v>
      </c>
      <c r="D330" t="s">
        <v>12</v>
      </c>
      <c r="E330" t="s">
        <v>50</v>
      </c>
      <c r="F330" t="s">
        <v>47</v>
      </c>
      <c r="G330">
        <v>3302162</v>
      </c>
      <c r="H330">
        <v>24.67</v>
      </c>
      <c r="I330">
        <v>8.3699999999999992</v>
      </c>
      <c r="J330" s="1">
        <v>43894</v>
      </c>
      <c r="K330">
        <v>264</v>
      </c>
      <c r="L330">
        <v>6</v>
      </c>
      <c r="M330">
        <v>330216.2</v>
      </c>
      <c r="N330">
        <v>1981297.2000000002</v>
      </c>
    </row>
    <row r="331" spans="1:14" x14ac:dyDescent="0.25">
      <c r="A331" t="s">
        <v>665</v>
      </c>
      <c r="B331" t="s">
        <v>17</v>
      </c>
      <c r="C331">
        <v>55</v>
      </c>
      <c r="D331" t="s">
        <v>38</v>
      </c>
      <c r="E331" t="s">
        <v>19</v>
      </c>
      <c r="F331" t="s">
        <v>30</v>
      </c>
      <c r="G331">
        <v>4862186</v>
      </c>
      <c r="H331">
        <v>32.299999999999997</v>
      </c>
      <c r="I331">
        <v>5.47</v>
      </c>
      <c r="J331" s="1">
        <v>43999</v>
      </c>
      <c r="K331">
        <v>290</v>
      </c>
      <c r="L331">
        <v>6</v>
      </c>
      <c r="M331">
        <v>486218.60000000003</v>
      </c>
      <c r="N331">
        <v>2917311.6</v>
      </c>
    </row>
    <row r="332" spans="1:14" x14ac:dyDescent="0.25">
      <c r="A332" t="s">
        <v>667</v>
      </c>
      <c r="B332" t="s">
        <v>11</v>
      </c>
      <c r="C332">
        <v>55</v>
      </c>
      <c r="D332" t="s">
        <v>18</v>
      </c>
      <c r="E332" t="s">
        <v>13</v>
      </c>
      <c r="F332" t="s">
        <v>41</v>
      </c>
      <c r="G332">
        <v>726540</v>
      </c>
      <c r="H332">
        <v>34.159999999999997</v>
      </c>
      <c r="I332">
        <v>39.700000000000003</v>
      </c>
      <c r="J332" s="1">
        <v>44728</v>
      </c>
      <c r="K332">
        <v>362</v>
      </c>
      <c r="L332">
        <v>4</v>
      </c>
      <c r="M332">
        <v>72654</v>
      </c>
      <c r="N332">
        <v>290616</v>
      </c>
    </row>
    <row r="333" spans="1:14" x14ac:dyDescent="0.25">
      <c r="A333" t="s">
        <v>669</v>
      </c>
      <c r="B333" t="s">
        <v>17</v>
      </c>
      <c r="C333">
        <v>57</v>
      </c>
      <c r="D333" t="s">
        <v>46</v>
      </c>
      <c r="E333" t="s">
        <v>29</v>
      </c>
      <c r="F333" t="s">
        <v>47</v>
      </c>
      <c r="G333">
        <v>4450403</v>
      </c>
      <c r="H333">
        <v>9.59</v>
      </c>
      <c r="I333">
        <v>28.06</v>
      </c>
      <c r="J333" s="1">
        <v>45458</v>
      </c>
      <c r="K333">
        <v>200</v>
      </c>
      <c r="L333">
        <v>2</v>
      </c>
      <c r="M333">
        <v>445040.30000000005</v>
      </c>
      <c r="N333">
        <v>890080.60000000009</v>
      </c>
    </row>
    <row r="334" spans="1:14" x14ac:dyDescent="0.25">
      <c r="A334" t="s">
        <v>671</v>
      </c>
      <c r="B334" t="s">
        <v>11</v>
      </c>
      <c r="C334">
        <v>46</v>
      </c>
      <c r="D334" t="s">
        <v>46</v>
      </c>
      <c r="E334" t="s">
        <v>23</v>
      </c>
      <c r="F334" t="s">
        <v>35</v>
      </c>
      <c r="G334">
        <v>4955257</v>
      </c>
      <c r="H334">
        <v>9.58</v>
      </c>
      <c r="I334">
        <v>10.37</v>
      </c>
      <c r="J334" s="1">
        <v>43205</v>
      </c>
      <c r="K334">
        <v>110</v>
      </c>
      <c r="L334">
        <v>8</v>
      </c>
      <c r="M334">
        <v>495525.7</v>
      </c>
      <c r="N334">
        <v>3964205.6</v>
      </c>
    </row>
    <row r="335" spans="1:14" x14ac:dyDescent="0.25">
      <c r="A335" t="s">
        <v>673</v>
      </c>
      <c r="B335" t="s">
        <v>11</v>
      </c>
      <c r="C335">
        <v>24</v>
      </c>
      <c r="D335" t="s">
        <v>18</v>
      </c>
      <c r="E335" t="s">
        <v>13</v>
      </c>
      <c r="F335" t="s">
        <v>41</v>
      </c>
      <c r="G335">
        <v>1717175</v>
      </c>
      <c r="H335">
        <v>15.61</v>
      </c>
      <c r="I335">
        <v>36.39</v>
      </c>
      <c r="J335" s="1">
        <v>44559</v>
      </c>
      <c r="K335">
        <v>313</v>
      </c>
      <c r="L335">
        <v>4</v>
      </c>
      <c r="M335">
        <v>171717.5</v>
      </c>
      <c r="N335">
        <v>686870</v>
      </c>
    </row>
    <row r="336" spans="1:14" x14ac:dyDescent="0.25">
      <c r="A336" t="s">
        <v>675</v>
      </c>
      <c r="B336" t="s">
        <v>17</v>
      </c>
      <c r="C336">
        <v>38</v>
      </c>
      <c r="D336" t="s">
        <v>28</v>
      </c>
      <c r="E336" t="s">
        <v>29</v>
      </c>
      <c r="F336" t="s">
        <v>47</v>
      </c>
      <c r="G336">
        <v>4555542</v>
      </c>
      <c r="H336">
        <v>29.86</v>
      </c>
      <c r="I336">
        <v>-8.4499999999999993</v>
      </c>
      <c r="J336" s="1">
        <v>43196</v>
      </c>
      <c r="K336">
        <v>294</v>
      </c>
      <c r="L336">
        <v>8</v>
      </c>
      <c r="M336">
        <v>455554.2</v>
      </c>
      <c r="N336">
        <v>3644433.6</v>
      </c>
    </row>
    <row r="337" spans="1:14" x14ac:dyDescent="0.25">
      <c r="A337" t="s">
        <v>677</v>
      </c>
      <c r="B337" t="s">
        <v>11</v>
      </c>
      <c r="C337">
        <v>29</v>
      </c>
      <c r="D337" t="s">
        <v>38</v>
      </c>
      <c r="E337" t="s">
        <v>23</v>
      </c>
      <c r="F337" t="s">
        <v>30</v>
      </c>
      <c r="G337">
        <v>723720</v>
      </c>
      <c r="H337">
        <v>31.2</v>
      </c>
      <c r="I337">
        <v>23.32</v>
      </c>
      <c r="J337" s="1">
        <v>45090</v>
      </c>
      <c r="K337">
        <v>177</v>
      </c>
      <c r="L337">
        <v>3</v>
      </c>
      <c r="M337">
        <v>72372</v>
      </c>
      <c r="N337">
        <v>217116</v>
      </c>
    </row>
    <row r="338" spans="1:14" x14ac:dyDescent="0.25">
      <c r="A338" t="s">
        <v>679</v>
      </c>
      <c r="B338" t="s">
        <v>11</v>
      </c>
      <c r="C338">
        <v>43</v>
      </c>
      <c r="D338" t="s">
        <v>46</v>
      </c>
      <c r="E338" t="s">
        <v>57</v>
      </c>
      <c r="F338" t="s">
        <v>20</v>
      </c>
      <c r="G338">
        <v>2337758</v>
      </c>
      <c r="H338">
        <v>12.98</v>
      </c>
      <c r="I338">
        <v>8.57</v>
      </c>
      <c r="J338" s="1">
        <v>45569</v>
      </c>
      <c r="K338">
        <v>184</v>
      </c>
      <c r="L338">
        <v>1</v>
      </c>
      <c r="M338">
        <v>233775.80000000002</v>
      </c>
      <c r="N338">
        <v>233775.80000000002</v>
      </c>
    </row>
    <row r="339" spans="1:14" x14ac:dyDescent="0.25">
      <c r="A339" t="s">
        <v>681</v>
      </c>
      <c r="B339" t="s">
        <v>11</v>
      </c>
      <c r="C339">
        <v>47</v>
      </c>
      <c r="D339" t="s">
        <v>12</v>
      </c>
      <c r="E339" t="s">
        <v>29</v>
      </c>
      <c r="F339" t="s">
        <v>35</v>
      </c>
      <c r="G339">
        <v>1275945</v>
      </c>
      <c r="H339">
        <v>5.28</v>
      </c>
      <c r="I339">
        <v>1.03</v>
      </c>
      <c r="J339" s="1">
        <v>43183</v>
      </c>
      <c r="K339">
        <v>179</v>
      </c>
      <c r="L339">
        <v>8</v>
      </c>
      <c r="M339">
        <v>127594.5</v>
      </c>
      <c r="N339">
        <v>1020756</v>
      </c>
    </row>
    <row r="340" spans="1:14" x14ac:dyDescent="0.25">
      <c r="A340" t="s">
        <v>683</v>
      </c>
      <c r="B340" t="s">
        <v>11</v>
      </c>
      <c r="C340">
        <v>45</v>
      </c>
      <c r="D340" t="s">
        <v>12</v>
      </c>
      <c r="E340" t="s">
        <v>50</v>
      </c>
      <c r="F340" t="s">
        <v>30</v>
      </c>
      <c r="G340">
        <v>3513481</v>
      </c>
      <c r="H340">
        <v>8.32</v>
      </c>
      <c r="I340">
        <v>37.82</v>
      </c>
      <c r="J340" s="1">
        <v>44569</v>
      </c>
      <c r="K340">
        <v>89</v>
      </c>
      <c r="L340">
        <v>4</v>
      </c>
      <c r="M340">
        <v>351348.10000000003</v>
      </c>
      <c r="N340">
        <v>1405392.4000000001</v>
      </c>
    </row>
    <row r="341" spans="1:14" x14ac:dyDescent="0.25">
      <c r="A341" t="s">
        <v>685</v>
      </c>
      <c r="B341" t="s">
        <v>17</v>
      </c>
      <c r="C341">
        <v>56</v>
      </c>
      <c r="D341" t="s">
        <v>46</v>
      </c>
      <c r="E341" t="s">
        <v>29</v>
      </c>
      <c r="F341" t="s">
        <v>47</v>
      </c>
      <c r="G341">
        <v>4594503</v>
      </c>
      <c r="H341">
        <v>13.14</v>
      </c>
      <c r="I341">
        <v>19.62</v>
      </c>
      <c r="J341" s="1">
        <v>44744</v>
      </c>
      <c r="K341">
        <v>56</v>
      </c>
      <c r="L341">
        <v>4</v>
      </c>
      <c r="M341">
        <v>459450.30000000005</v>
      </c>
      <c r="N341">
        <v>1837801.2000000002</v>
      </c>
    </row>
    <row r="342" spans="1:14" x14ac:dyDescent="0.25">
      <c r="A342" t="s">
        <v>687</v>
      </c>
      <c r="B342" t="s">
        <v>17</v>
      </c>
      <c r="C342">
        <v>59</v>
      </c>
      <c r="D342" t="s">
        <v>38</v>
      </c>
      <c r="E342" t="s">
        <v>50</v>
      </c>
      <c r="F342" t="s">
        <v>41</v>
      </c>
      <c r="G342">
        <v>1012514</v>
      </c>
      <c r="H342">
        <v>23.49</v>
      </c>
      <c r="I342">
        <v>6.7</v>
      </c>
      <c r="J342" s="1">
        <v>44650</v>
      </c>
      <c r="K342">
        <v>352</v>
      </c>
      <c r="L342">
        <v>4</v>
      </c>
      <c r="M342">
        <v>101251.40000000001</v>
      </c>
      <c r="N342">
        <v>405005.60000000003</v>
      </c>
    </row>
    <row r="343" spans="1:14" x14ac:dyDescent="0.25">
      <c r="A343" t="s">
        <v>689</v>
      </c>
      <c r="B343" t="s">
        <v>11</v>
      </c>
      <c r="C343">
        <v>36</v>
      </c>
      <c r="D343" t="s">
        <v>28</v>
      </c>
      <c r="E343" t="s">
        <v>50</v>
      </c>
      <c r="F343" t="s">
        <v>30</v>
      </c>
      <c r="G343">
        <v>869196</v>
      </c>
      <c r="H343">
        <v>23.71</v>
      </c>
      <c r="I343">
        <v>35.85</v>
      </c>
      <c r="J343" s="1">
        <v>44287</v>
      </c>
      <c r="K343">
        <v>173</v>
      </c>
      <c r="L343">
        <v>5</v>
      </c>
      <c r="M343">
        <v>86919.6</v>
      </c>
      <c r="N343">
        <v>434598</v>
      </c>
    </row>
    <row r="344" spans="1:14" x14ac:dyDescent="0.25">
      <c r="A344" t="s">
        <v>691</v>
      </c>
      <c r="B344" t="s">
        <v>17</v>
      </c>
      <c r="C344">
        <v>34</v>
      </c>
      <c r="D344" t="s">
        <v>46</v>
      </c>
      <c r="E344" t="s">
        <v>29</v>
      </c>
      <c r="F344" t="s">
        <v>47</v>
      </c>
      <c r="G344">
        <v>3342471</v>
      </c>
      <c r="H344">
        <v>23.81</v>
      </c>
      <c r="I344">
        <v>16.89</v>
      </c>
      <c r="J344" s="1">
        <v>44592</v>
      </c>
      <c r="K344">
        <v>50</v>
      </c>
      <c r="L344">
        <v>4</v>
      </c>
      <c r="M344">
        <v>334247.10000000003</v>
      </c>
      <c r="N344">
        <v>1336988.4000000001</v>
      </c>
    </row>
    <row r="345" spans="1:14" x14ac:dyDescent="0.25">
      <c r="A345" t="s">
        <v>693</v>
      </c>
      <c r="B345" t="s">
        <v>17</v>
      </c>
      <c r="C345">
        <v>31</v>
      </c>
      <c r="D345" t="s">
        <v>28</v>
      </c>
      <c r="E345" t="s">
        <v>57</v>
      </c>
      <c r="F345" t="s">
        <v>41</v>
      </c>
      <c r="G345">
        <v>3702137</v>
      </c>
      <c r="H345">
        <v>16.989999999999998</v>
      </c>
      <c r="I345">
        <v>21.34</v>
      </c>
      <c r="J345" s="1">
        <v>43988</v>
      </c>
      <c r="K345">
        <v>286</v>
      </c>
      <c r="L345">
        <v>6</v>
      </c>
      <c r="M345">
        <v>370213.7</v>
      </c>
      <c r="N345">
        <v>2221282.2000000002</v>
      </c>
    </row>
    <row r="346" spans="1:14" x14ac:dyDescent="0.25">
      <c r="A346" t="s">
        <v>695</v>
      </c>
      <c r="B346" t="s">
        <v>17</v>
      </c>
      <c r="C346">
        <v>51</v>
      </c>
      <c r="D346" t="s">
        <v>46</v>
      </c>
      <c r="E346" t="s">
        <v>50</v>
      </c>
      <c r="F346" t="s">
        <v>14</v>
      </c>
      <c r="G346">
        <v>3864851</v>
      </c>
      <c r="H346">
        <v>31.77</v>
      </c>
      <c r="I346">
        <v>32.299999999999997</v>
      </c>
      <c r="J346" s="1">
        <v>44369</v>
      </c>
      <c r="K346">
        <v>165</v>
      </c>
      <c r="L346">
        <v>5</v>
      </c>
      <c r="M346">
        <v>386485.10000000003</v>
      </c>
      <c r="N346">
        <v>1932425.5000000002</v>
      </c>
    </row>
    <row r="347" spans="1:14" x14ac:dyDescent="0.25">
      <c r="A347" t="s">
        <v>697</v>
      </c>
      <c r="B347" t="s">
        <v>11</v>
      </c>
      <c r="C347">
        <v>33</v>
      </c>
      <c r="D347" t="s">
        <v>38</v>
      </c>
      <c r="E347" t="s">
        <v>13</v>
      </c>
      <c r="F347" t="s">
        <v>41</v>
      </c>
      <c r="G347">
        <v>3547505</v>
      </c>
      <c r="H347">
        <v>9.4</v>
      </c>
      <c r="I347">
        <v>27.97</v>
      </c>
      <c r="J347" s="1">
        <v>43422</v>
      </c>
      <c r="K347">
        <v>217</v>
      </c>
      <c r="L347">
        <v>7</v>
      </c>
      <c r="M347">
        <v>354750.5</v>
      </c>
      <c r="N347">
        <v>2483253.5</v>
      </c>
    </row>
    <row r="348" spans="1:14" x14ac:dyDescent="0.25">
      <c r="A348" t="s">
        <v>699</v>
      </c>
      <c r="B348" t="s">
        <v>17</v>
      </c>
      <c r="C348">
        <v>36</v>
      </c>
      <c r="D348" t="s">
        <v>38</v>
      </c>
      <c r="E348" t="s">
        <v>23</v>
      </c>
      <c r="F348" t="s">
        <v>14</v>
      </c>
      <c r="G348">
        <v>3404617</v>
      </c>
      <c r="H348">
        <v>8.42</v>
      </c>
      <c r="I348">
        <v>24.03</v>
      </c>
      <c r="J348" s="1">
        <v>44750</v>
      </c>
      <c r="K348">
        <v>42</v>
      </c>
      <c r="L348">
        <v>4</v>
      </c>
      <c r="M348">
        <v>340461.7</v>
      </c>
      <c r="N348">
        <v>1361846.8</v>
      </c>
    </row>
    <row r="349" spans="1:14" x14ac:dyDescent="0.25">
      <c r="A349" t="s">
        <v>701</v>
      </c>
      <c r="B349" t="s">
        <v>17</v>
      </c>
      <c r="C349">
        <v>27</v>
      </c>
      <c r="D349" t="s">
        <v>18</v>
      </c>
      <c r="E349" t="s">
        <v>50</v>
      </c>
      <c r="F349" t="s">
        <v>41</v>
      </c>
      <c r="G349">
        <v>2433496</v>
      </c>
      <c r="H349">
        <v>19.93</v>
      </c>
      <c r="I349">
        <v>28.48</v>
      </c>
      <c r="J349" s="1">
        <v>44020</v>
      </c>
      <c r="K349">
        <v>288</v>
      </c>
      <c r="L349">
        <v>6</v>
      </c>
      <c r="M349">
        <v>243349.6</v>
      </c>
      <c r="N349">
        <v>1460097.6</v>
      </c>
    </row>
    <row r="350" spans="1:14" x14ac:dyDescent="0.25">
      <c r="A350" t="s">
        <v>703</v>
      </c>
      <c r="B350" t="s">
        <v>11</v>
      </c>
      <c r="C350">
        <v>27</v>
      </c>
      <c r="D350" t="s">
        <v>46</v>
      </c>
      <c r="E350" t="s">
        <v>19</v>
      </c>
      <c r="F350" t="s">
        <v>20</v>
      </c>
      <c r="G350">
        <v>3517842</v>
      </c>
      <c r="H350">
        <v>20.16</v>
      </c>
      <c r="I350">
        <v>7.36</v>
      </c>
      <c r="J350" s="1">
        <v>43866</v>
      </c>
      <c r="K350">
        <v>330</v>
      </c>
      <c r="L350">
        <v>6</v>
      </c>
      <c r="M350">
        <v>351784.2</v>
      </c>
      <c r="N350">
        <v>2110705.2000000002</v>
      </c>
    </row>
    <row r="351" spans="1:14" x14ac:dyDescent="0.25">
      <c r="A351" t="s">
        <v>705</v>
      </c>
      <c r="B351" t="s">
        <v>17</v>
      </c>
      <c r="C351">
        <v>40</v>
      </c>
      <c r="D351" t="s">
        <v>12</v>
      </c>
      <c r="E351" t="s">
        <v>23</v>
      </c>
      <c r="F351" t="s">
        <v>14</v>
      </c>
      <c r="G351">
        <v>2989344</v>
      </c>
      <c r="H351">
        <v>17.57</v>
      </c>
      <c r="I351">
        <v>12.5</v>
      </c>
      <c r="J351" s="1">
        <v>45148</v>
      </c>
      <c r="K351">
        <v>200</v>
      </c>
      <c r="L351">
        <v>2</v>
      </c>
      <c r="M351">
        <v>298934.40000000002</v>
      </c>
      <c r="N351">
        <v>597868.80000000005</v>
      </c>
    </row>
    <row r="352" spans="1:14" x14ac:dyDescent="0.25">
      <c r="A352" t="s">
        <v>707</v>
      </c>
      <c r="B352" t="s">
        <v>11</v>
      </c>
      <c r="C352">
        <v>28</v>
      </c>
      <c r="D352" t="s">
        <v>18</v>
      </c>
      <c r="E352" t="s">
        <v>23</v>
      </c>
      <c r="F352" t="s">
        <v>47</v>
      </c>
      <c r="G352">
        <v>4178987</v>
      </c>
      <c r="H352">
        <v>15.69</v>
      </c>
      <c r="I352">
        <v>33.58</v>
      </c>
      <c r="J352" s="1">
        <v>45212</v>
      </c>
      <c r="K352">
        <v>362</v>
      </c>
      <c r="L352">
        <v>2</v>
      </c>
      <c r="M352">
        <v>417898.7</v>
      </c>
      <c r="N352">
        <v>835797.4</v>
      </c>
    </row>
    <row r="353" spans="1:14" x14ac:dyDescent="0.25">
      <c r="A353" t="s">
        <v>709</v>
      </c>
      <c r="B353" t="s">
        <v>11</v>
      </c>
      <c r="C353">
        <v>44</v>
      </c>
      <c r="D353" t="s">
        <v>38</v>
      </c>
      <c r="E353" t="s">
        <v>57</v>
      </c>
      <c r="F353" t="s">
        <v>35</v>
      </c>
      <c r="G353">
        <v>1193481</v>
      </c>
      <c r="H353">
        <v>6.04</v>
      </c>
      <c r="I353">
        <v>19.48</v>
      </c>
      <c r="J353" s="1">
        <v>44234</v>
      </c>
      <c r="K353">
        <v>181</v>
      </c>
      <c r="L353">
        <v>5</v>
      </c>
      <c r="M353">
        <v>119348.1</v>
      </c>
      <c r="N353">
        <v>596740.5</v>
      </c>
    </row>
    <row r="354" spans="1:14" x14ac:dyDescent="0.25">
      <c r="A354" t="s">
        <v>711</v>
      </c>
      <c r="B354" t="s">
        <v>11</v>
      </c>
      <c r="C354">
        <v>46</v>
      </c>
      <c r="D354" t="s">
        <v>46</v>
      </c>
      <c r="E354" t="s">
        <v>13</v>
      </c>
      <c r="F354" t="s">
        <v>41</v>
      </c>
      <c r="G354">
        <v>1558610</v>
      </c>
      <c r="H354">
        <v>5.41</v>
      </c>
      <c r="I354">
        <v>44.41</v>
      </c>
      <c r="J354" s="1">
        <v>43956</v>
      </c>
      <c r="K354">
        <v>33</v>
      </c>
      <c r="L354">
        <v>6</v>
      </c>
      <c r="M354">
        <v>155861</v>
      </c>
      <c r="N354">
        <v>935166</v>
      </c>
    </row>
    <row r="355" spans="1:14" x14ac:dyDescent="0.25">
      <c r="A355" t="s">
        <v>713</v>
      </c>
      <c r="B355" t="s">
        <v>11</v>
      </c>
      <c r="C355">
        <v>24</v>
      </c>
      <c r="D355" t="s">
        <v>46</v>
      </c>
      <c r="E355" t="s">
        <v>50</v>
      </c>
      <c r="F355" t="s">
        <v>47</v>
      </c>
      <c r="G355">
        <v>3003878</v>
      </c>
      <c r="H355">
        <v>24.44</v>
      </c>
      <c r="I355">
        <v>-1.1100000000000001</v>
      </c>
      <c r="J355" s="1">
        <v>44196</v>
      </c>
      <c r="K355">
        <v>341</v>
      </c>
      <c r="L355">
        <v>5</v>
      </c>
      <c r="M355">
        <v>300387.8</v>
      </c>
      <c r="N355">
        <v>1501939</v>
      </c>
    </row>
    <row r="356" spans="1:14" x14ac:dyDescent="0.25">
      <c r="A356" t="s">
        <v>715</v>
      </c>
      <c r="B356" t="s">
        <v>17</v>
      </c>
      <c r="C356">
        <v>22</v>
      </c>
      <c r="D356" t="s">
        <v>12</v>
      </c>
      <c r="E356" t="s">
        <v>29</v>
      </c>
      <c r="F356" t="s">
        <v>47</v>
      </c>
      <c r="G356">
        <v>506337</v>
      </c>
      <c r="H356">
        <v>11.79</v>
      </c>
      <c r="I356">
        <v>32.58</v>
      </c>
      <c r="J356" s="1">
        <v>43551</v>
      </c>
      <c r="K356">
        <v>90</v>
      </c>
      <c r="L356">
        <v>7</v>
      </c>
      <c r="M356">
        <v>50633.700000000004</v>
      </c>
      <c r="N356">
        <v>354435.9</v>
      </c>
    </row>
    <row r="357" spans="1:14" x14ac:dyDescent="0.25">
      <c r="A357" t="s">
        <v>716</v>
      </c>
      <c r="B357" t="s">
        <v>17</v>
      </c>
      <c r="C357">
        <v>57</v>
      </c>
      <c r="D357" t="s">
        <v>28</v>
      </c>
      <c r="E357" t="s">
        <v>57</v>
      </c>
      <c r="F357" t="s">
        <v>14</v>
      </c>
      <c r="G357">
        <v>2982519</v>
      </c>
      <c r="H357">
        <v>30.84</v>
      </c>
      <c r="I357">
        <v>12.99</v>
      </c>
      <c r="J357" s="1">
        <v>44282</v>
      </c>
      <c r="K357">
        <v>128</v>
      </c>
      <c r="L357">
        <v>5</v>
      </c>
      <c r="M357">
        <v>298251.90000000002</v>
      </c>
      <c r="N357">
        <v>1491259.5</v>
      </c>
    </row>
    <row r="358" spans="1:14" x14ac:dyDescent="0.25">
      <c r="A358" t="s">
        <v>718</v>
      </c>
      <c r="B358" t="s">
        <v>17</v>
      </c>
      <c r="C358">
        <v>32</v>
      </c>
      <c r="D358" t="s">
        <v>18</v>
      </c>
      <c r="E358" t="s">
        <v>23</v>
      </c>
      <c r="F358" t="s">
        <v>35</v>
      </c>
      <c r="G358">
        <v>629343</v>
      </c>
      <c r="H358">
        <v>19.09</v>
      </c>
      <c r="I358">
        <v>42.13</v>
      </c>
      <c r="J358" s="1">
        <v>45260</v>
      </c>
      <c r="K358">
        <v>310</v>
      </c>
      <c r="L358">
        <v>2</v>
      </c>
      <c r="M358">
        <v>62934.3</v>
      </c>
      <c r="N358">
        <v>125868.6</v>
      </c>
    </row>
    <row r="359" spans="1:14" x14ac:dyDescent="0.25">
      <c r="A359" t="s">
        <v>720</v>
      </c>
      <c r="B359" t="s">
        <v>11</v>
      </c>
      <c r="C359">
        <v>47</v>
      </c>
      <c r="D359" t="s">
        <v>38</v>
      </c>
      <c r="E359" t="s">
        <v>23</v>
      </c>
      <c r="F359" t="s">
        <v>41</v>
      </c>
      <c r="G359">
        <v>2515529</v>
      </c>
      <c r="H359">
        <v>8.32</v>
      </c>
      <c r="I359">
        <v>16.97</v>
      </c>
      <c r="J359" s="1">
        <v>45083</v>
      </c>
      <c r="K359">
        <v>361</v>
      </c>
      <c r="L359">
        <v>3</v>
      </c>
      <c r="M359">
        <v>251552.90000000002</v>
      </c>
      <c r="N359">
        <v>754658.70000000007</v>
      </c>
    </row>
    <row r="360" spans="1:14" x14ac:dyDescent="0.25">
      <c r="A360" t="s">
        <v>722</v>
      </c>
      <c r="B360" t="s">
        <v>11</v>
      </c>
      <c r="C360">
        <v>45</v>
      </c>
      <c r="D360" t="s">
        <v>46</v>
      </c>
      <c r="E360" t="s">
        <v>57</v>
      </c>
      <c r="F360" t="s">
        <v>30</v>
      </c>
      <c r="G360">
        <v>1116056</v>
      </c>
      <c r="H360">
        <v>32.14</v>
      </c>
      <c r="I360">
        <v>19.100000000000001</v>
      </c>
      <c r="J360" s="1">
        <v>45332</v>
      </c>
      <c r="K360">
        <v>144</v>
      </c>
      <c r="L360">
        <v>2</v>
      </c>
      <c r="M360">
        <v>111605.6</v>
      </c>
      <c r="N360">
        <v>223211.2</v>
      </c>
    </row>
    <row r="361" spans="1:14" x14ac:dyDescent="0.25">
      <c r="A361" t="s">
        <v>724</v>
      </c>
      <c r="B361" t="s">
        <v>17</v>
      </c>
      <c r="C361">
        <v>39</v>
      </c>
      <c r="D361" t="s">
        <v>18</v>
      </c>
      <c r="E361" t="s">
        <v>13</v>
      </c>
      <c r="F361" t="s">
        <v>41</v>
      </c>
      <c r="G361">
        <v>871456</v>
      </c>
      <c r="H361">
        <v>20.51</v>
      </c>
      <c r="I361">
        <v>35.44</v>
      </c>
      <c r="J361" s="1">
        <v>44144</v>
      </c>
      <c r="K361">
        <v>39</v>
      </c>
      <c r="L361">
        <v>5</v>
      </c>
      <c r="M361">
        <v>87145.600000000006</v>
      </c>
      <c r="N361">
        <v>435728</v>
      </c>
    </row>
    <row r="362" spans="1:14" x14ac:dyDescent="0.25">
      <c r="A362" t="s">
        <v>726</v>
      </c>
      <c r="B362" t="s">
        <v>17</v>
      </c>
      <c r="C362">
        <v>27</v>
      </c>
      <c r="D362" t="s">
        <v>12</v>
      </c>
      <c r="E362" t="s">
        <v>23</v>
      </c>
      <c r="F362" t="s">
        <v>30</v>
      </c>
      <c r="G362">
        <v>4088569</v>
      </c>
      <c r="H362">
        <v>18.420000000000002</v>
      </c>
      <c r="I362">
        <v>3.33</v>
      </c>
      <c r="J362" s="1">
        <v>43634</v>
      </c>
      <c r="K362">
        <v>343</v>
      </c>
      <c r="L362">
        <v>7</v>
      </c>
      <c r="M362">
        <v>408856.9</v>
      </c>
      <c r="N362">
        <v>2861998.3000000003</v>
      </c>
    </row>
    <row r="363" spans="1:14" x14ac:dyDescent="0.25">
      <c r="A363" t="s">
        <v>728</v>
      </c>
      <c r="B363" t="s">
        <v>17</v>
      </c>
      <c r="C363">
        <v>25</v>
      </c>
      <c r="D363" t="s">
        <v>46</v>
      </c>
      <c r="E363" t="s">
        <v>13</v>
      </c>
      <c r="F363" t="s">
        <v>14</v>
      </c>
      <c r="G363">
        <v>108188</v>
      </c>
      <c r="H363">
        <v>6.89</v>
      </c>
      <c r="I363">
        <v>16.98</v>
      </c>
      <c r="J363" s="1">
        <v>44976</v>
      </c>
      <c r="K363">
        <v>329</v>
      </c>
      <c r="L363">
        <v>3</v>
      </c>
      <c r="M363">
        <v>10818.800000000001</v>
      </c>
      <c r="N363">
        <v>32456.400000000001</v>
      </c>
    </row>
    <row r="364" spans="1:14" x14ac:dyDescent="0.25">
      <c r="A364" t="s">
        <v>730</v>
      </c>
      <c r="B364" t="s">
        <v>11</v>
      </c>
      <c r="C364">
        <v>45</v>
      </c>
      <c r="D364" t="s">
        <v>38</v>
      </c>
      <c r="E364" t="s">
        <v>19</v>
      </c>
      <c r="F364" t="s">
        <v>30</v>
      </c>
      <c r="G364">
        <v>2706336</v>
      </c>
      <c r="H364">
        <v>34.57</v>
      </c>
      <c r="I364">
        <v>25.02</v>
      </c>
      <c r="J364" s="1">
        <v>43181</v>
      </c>
      <c r="K364">
        <v>263</v>
      </c>
      <c r="L364">
        <v>8</v>
      </c>
      <c r="M364">
        <v>270633.60000000003</v>
      </c>
      <c r="N364">
        <v>2165068.8000000003</v>
      </c>
    </row>
    <row r="365" spans="1:14" x14ac:dyDescent="0.25">
      <c r="A365" t="s">
        <v>731</v>
      </c>
      <c r="B365" t="s">
        <v>17</v>
      </c>
      <c r="C365">
        <v>60</v>
      </c>
      <c r="D365" t="s">
        <v>28</v>
      </c>
      <c r="E365" t="s">
        <v>29</v>
      </c>
      <c r="F365" t="s">
        <v>47</v>
      </c>
      <c r="G365">
        <v>686881</v>
      </c>
      <c r="H365">
        <v>12.07</v>
      </c>
      <c r="I365">
        <v>-6.48</v>
      </c>
      <c r="J365" s="1">
        <v>45348</v>
      </c>
      <c r="K365">
        <v>218</v>
      </c>
      <c r="L365">
        <v>2</v>
      </c>
      <c r="M365">
        <v>68688.100000000006</v>
      </c>
      <c r="N365">
        <v>137376.20000000001</v>
      </c>
    </row>
    <row r="366" spans="1:14" x14ac:dyDescent="0.25">
      <c r="A366" t="s">
        <v>732</v>
      </c>
      <c r="B366" t="s">
        <v>17</v>
      </c>
      <c r="C366">
        <v>47</v>
      </c>
      <c r="D366" t="s">
        <v>46</v>
      </c>
      <c r="E366" t="s">
        <v>19</v>
      </c>
      <c r="F366" t="s">
        <v>41</v>
      </c>
      <c r="G366">
        <v>1140912</v>
      </c>
      <c r="H366">
        <v>12.89</v>
      </c>
      <c r="I366">
        <v>12.17</v>
      </c>
      <c r="J366" s="1">
        <v>43874</v>
      </c>
      <c r="K366">
        <v>252</v>
      </c>
      <c r="L366">
        <v>6</v>
      </c>
      <c r="M366">
        <v>114091.20000000001</v>
      </c>
      <c r="N366">
        <v>684547.20000000007</v>
      </c>
    </row>
    <row r="367" spans="1:14" x14ac:dyDescent="0.25">
      <c r="A367" t="s">
        <v>734</v>
      </c>
      <c r="B367" t="s">
        <v>17</v>
      </c>
      <c r="C367">
        <v>49</v>
      </c>
      <c r="D367" t="s">
        <v>18</v>
      </c>
      <c r="E367" t="s">
        <v>29</v>
      </c>
      <c r="F367" t="s">
        <v>35</v>
      </c>
      <c r="G367">
        <v>3441110</v>
      </c>
      <c r="H367">
        <v>31.7</v>
      </c>
      <c r="I367">
        <v>39.5</v>
      </c>
      <c r="J367" s="1">
        <v>45599</v>
      </c>
      <c r="K367">
        <v>230</v>
      </c>
      <c r="L367">
        <v>1</v>
      </c>
      <c r="M367">
        <v>344111</v>
      </c>
      <c r="N367">
        <v>344111</v>
      </c>
    </row>
    <row r="368" spans="1:14" x14ac:dyDescent="0.25">
      <c r="A368" t="s">
        <v>736</v>
      </c>
      <c r="B368" t="s">
        <v>11</v>
      </c>
      <c r="C368">
        <v>23</v>
      </c>
      <c r="D368" t="s">
        <v>18</v>
      </c>
      <c r="E368" t="s">
        <v>29</v>
      </c>
      <c r="F368" t="s">
        <v>35</v>
      </c>
      <c r="G368">
        <v>3767717</v>
      </c>
      <c r="H368">
        <v>23.14</v>
      </c>
      <c r="I368">
        <v>44.95</v>
      </c>
      <c r="J368" s="1">
        <v>44569</v>
      </c>
      <c r="K368">
        <v>176</v>
      </c>
      <c r="L368">
        <v>4</v>
      </c>
      <c r="M368">
        <v>376771.7</v>
      </c>
      <c r="N368">
        <v>1507086.8</v>
      </c>
    </row>
    <row r="369" spans="1:14" x14ac:dyDescent="0.25">
      <c r="A369" t="s">
        <v>737</v>
      </c>
      <c r="B369" t="s">
        <v>17</v>
      </c>
      <c r="C369">
        <v>34</v>
      </c>
      <c r="D369" t="s">
        <v>12</v>
      </c>
      <c r="E369" t="s">
        <v>29</v>
      </c>
      <c r="F369" t="s">
        <v>35</v>
      </c>
      <c r="G369">
        <v>1941413</v>
      </c>
      <c r="H369">
        <v>24.79</v>
      </c>
      <c r="I369">
        <v>7.46</v>
      </c>
      <c r="J369" s="1">
        <v>43557</v>
      </c>
      <c r="K369">
        <v>308</v>
      </c>
      <c r="L369">
        <v>7</v>
      </c>
      <c r="M369">
        <v>194141.30000000002</v>
      </c>
      <c r="N369">
        <v>1358989.1</v>
      </c>
    </row>
    <row r="370" spans="1:14" x14ac:dyDescent="0.25">
      <c r="A370" t="s">
        <v>739</v>
      </c>
      <c r="B370" t="s">
        <v>17</v>
      </c>
      <c r="C370">
        <v>55</v>
      </c>
      <c r="D370" t="s">
        <v>12</v>
      </c>
      <c r="E370" t="s">
        <v>57</v>
      </c>
      <c r="F370" t="s">
        <v>14</v>
      </c>
      <c r="G370">
        <v>3573454</v>
      </c>
      <c r="H370">
        <v>32.32</v>
      </c>
      <c r="I370">
        <v>5.61</v>
      </c>
      <c r="J370" s="1">
        <v>44165</v>
      </c>
      <c r="K370">
        <v>92</v>
      </c>
      <c r="L370">
        <v>5</v>
      </c>
      <c r="M370">
        <v>357345.4</v>
      </c>
      <c r="N370">
        <v>1786727</v>
      </c>
    </row>
    <row r="371" spans="1:14" x14ac:dyDescent="0.25">
      <c r="A371" t="s">
        <v>741</v>
      </c>
      <c r="B371" t="s">
        <v>11</v>
      </c>
      <c r="C371">
        <v>56</v>
      </c>
      <c r="D371" t="s">
        <v>38</v>
      </c>
      <c r="E371" t="s">
        <v>57</v>
      </c>
      <c r="F371" t="s">
        <v>47</v>
      </c>
      <c r="G371">
        <v>2771545</v>
      </c>
      <c r="H371">
        <v>12.15</v>
      </c>
      <c r="I371">
        <v>39.26</v>
      </c>
      <c r="J371" s="1">
        <v>45293</v>
      </c>
      <c r="K371">
        <v>321</v>
      </c>
      <c r="L371">
        <v>2</v>
      </c>
      <c r="M371">
        <v>277154.5</v>
      </c>
      <c r="N371">
        <v>554309</v>
      </c>
    </row>
    <row r="372" spans="1:14" x14ac:dyDescent="0.25">
      <c r="A372" t="s">
        <v>743</v>
      </c>
      <c r="B372" t="s">
        <v>17</v>
      </c>
      <c r="C372">
        <v>62</v>
      </c>
      <c r="D372" t="s">
        <v>38</v>
      </c>
      <c r="E372" t="s">
        <v>13</v>
      </c>
      <c r="F372" t="s">
        <v>47</v>
      </c>
      <c r="G372">
        <v>4596930</v>
      </c>
      <c r="H372">
        <v>26.57</v>
      </c>
      <c r="I372">
        <v>-5.94</v>
      </c>
      <c r="J372" s="1">
        <v>45502</v>
      </c>
      <c r="K372">
        <v>295</v>
      </c>
      <c r="L372">
        <v>1</v>
      </c>
      <c r="M372">
        <v>459693</v>
      </c>
      <c r="N372">
        <v>459693</v>
      </c>
    </row>
    <row r="373" spans="1:14" x14ac:dyDescent="0.25">
      <c r="A373" t="s">
        <v>745</v>
      </c>
      <c r="B373" t="s">
        <v>11</v>
      </c>
      <c r="C373">
        <v>27</v>
      </c>
      <c r="D373" t="s">
        <v>18</v>
      </c>
      <c r="E373" t="s">
        <v>57</v>
      </c>
      <c r="F373" t="s">
        <v>47</v>
      </c>
      <c r="G373">
        <v>1448830</v>
      </c>
      <c r="H373">
        <v>28.82</v>
      </c>
      <c r="I373">
        <v>21.66</v>
      </c>
      <c r="J373" s="1">
        <v>44857</v>
      </c>
      <c r="K373">
        <v>118</v>
      </c>
      <c r="L373">
        <v>3</v>
      </c>
      <c r="M373">
        <v>144883</v>
      </c>
      <c r="N373">
        <v>434649</v>
      </c>
    </row>
    <row r="374" spans="1:14" x14ac:dyDescent="0.25">
      <c r="A374" t="s">
        <v>747</v>
      </c>
      <c r="B374" t="s">
        <v>11</v>
      </c>
      <c r="C374">
        <v>38</v>
      </c>
      <c r="D374" t="s">
        <v>28</v>
      </c>
      <c r="E374" t="s">
        <v>19</v>
      </c>
      <c r="F374" t="s">
        <v>47</v>
      </c>
      <c r="G374">
        <v>75855</v>
      </c>
      <c r="H374">
        <v>25.06</v>
      </c>
      <c r="I374">
        <v>23.93</v>
      </c>
      <c r="J374" s="1">
        <v>45580</v>
      </c>
      <c r="K374">
        <v>35</v>
      </c>
      <c r="L374">
        <v>1</v>
      </c>
      <c r="M374">
        <v>7585.5</v>
      </c>
      <c r="N374">
        <v>7585.5</v>
      </c>
    </row>
    <row r="375" spans="1:14" x14ac:dyDescent="0.25">
      <c r="A375" t="s">
        <v>749</v>
      </c>
      <c r="B375" t="s">
        <v>17</v>
      </c>
      <c r="C375">
        <v>42</v>
      </c>
      <c r="D375" t="s">
        <v>18</v>
      </c>
      <c r="E375" t="s">
        <v>29</v>
      </c>
      <c r="F375" t="s">
        <v>30</v>
      </c>
      <c r="G375">
        <v>3248777</v>
      </c>
      <c r="H375">
        <v>17.170000000000002</v>
      </c>
      <c r="I375">
        <v>6.57</v>
      </c>
      <c r="J375" s="1">
        <v>44130</v>
      </c>
      <c r="K375">
        <v>280</v>
      </c>
      <c r="L375">
        <v>5</v>
      </c>
      <c r="M375">
        <v>324877.7</v>
      </c>
      <c r="N375">
        <v>1624388.5</v>
      </c>
    </row>
    <row r="376" spans="1:14" x14ac:dyDescent="0.25">
      <c r="A376" t="s">
        <v>751</v>
      </c>
      <c r="B376" t="s">
        <v>17</v>
      </c>
      <c r="C376">
        <v>45</v>
      </c>
      <c r="D376" t="s">
        <v>18</v>
      </c>
      <c r="E376" t="s">
        <v>29</v>
      </c>
      <c r="F376" t="s">
        <v>47</v>
      </c>
      <c r="G376">
        <v>3224214</v>
      </c>
      <c r="H376">
        <v>31.97</v>
      </c>
      <c r="I376">
        <v>21.03</v>
      </c>
      <c r="J376" s="1">
        <v>43197</v>
      </c>
      <c r="K376">
        <v>209</v>
      </c>
      <c r="L376">
        <v>8</v>
      </c>
      <c r="M376">
        <v>322421.40000000002</v>
      </c>
      <c r="N376">
        <v>2579371.2000000002</v>
      </c>
    </row>
    <row r="377" spans="1:14" x14ac:dyDescent="0.25">
      <c r="A377" t="s">
        <v>752</v>
      </c>
      <c r="B377" t="s">
        <v>11</v>
      </c>
      <c r="C377">
        <v>63</v>
      </c>
      <c r="D377" t="s">
        <v>18</v>
      </c>
      <c r="E377" t="s">
        <v>23</v>
      </c>
      <c r="F377" t="s">
        <v>14</v>
      </c>
      <c r="G377">
        <v>2622078</v>
      </c>
      <c r="H377">
        <v>26.95</v>
      </c>
      <c r="I377">
        <v>34.07</v>
      </c>
      <c r="J377" s="1">
        <v>44675</v>
      </c>
      <c r="K377">
        <v>351</v>
      </c>
      <c r="L377">
        <v>4</v>
      </c>
      <c r="M377">
        <v>262207.8</v>
      </c>
      <c r="N377">
        <v>1048831.2</v>
      </c>
    </row>
    <row r="378" spans="1:14" x14ac:dyDescent="0.25">
      <c r="A378" t="s">
        <v>754</v>
      </c>
      <c r="B378" t="s">
        <v>17</v>
      </c>
      <c r="C378">
        <v>24</v>
      </c>
      <c r="D378" t="s">
        <v>28</v>
      </c>
      <c r="E378" t="s">
        <v>19</v>
      </c>
      <c r="F378" t="s">
        <v>14</v>
      </c>
      <c r="G378">
        <v>4675994</v>
      </c>
      <c r="H378">
        <v>31.42</v>
      </c>
      <c r="I378">
        <v>11.08</v>
      </c>
      <c r="J378" s="1">
        <v>44954</v>
      </c>
      <c r="K378">
        <v>91</v>
      </c>
      <c r="L378">
        <v>3</v>
      </c>
      <c r="M378">
        <v>467599.4</v>
      </c>
      <c r="N378">
        <v>1402798.2000000002</v>
      </c>
    </row>
    <row r="379" spans="1:14" x14ac:dyDescent="0.25">
      <c r="A379" t="s">
        <v>756</v>
      </c>
      <c r="B379" t="s">
        <v>11</v>
      </c>
      <c r="C379">
        <v>42</v>
      </c>
      <c r="D379" t="s">
        <v>18</v>
      </c>
      <c r="E379" t="s">
        <v>57</v>
      </c>
      <c r="F379" t="s">
        <v>35</v>
      </c>
      <c r="G379">
        <v>2204170</v>
      </c>
      <c r="H379">
        <v>31.91</v>
      </c>
      <c r="I379">
        <v>26</v>
      </c>
      <c r="J379" s="1">
        <v>45162</v>
      </c>
      <c r="K379">
        <v>200</v>
      </c>
      <c r="L379">
        <v>2</v>
      </c>
      <c r="M379">
        <v>220417</v>
      </c>
      <c r="N379">
        <v>440834</v>
      </c>
    </row>
    <row r="380" spans="1:14" x14ac:dyDescent="0.25">
      <c r="A380" t="s">
        <v>757</v>
      </c>
      <c r="B380" t="s">
        <v>11</v>
      </c>
      <c r="C380">
        <v>57</v>
      </c>
      <c r="D380" t="s">
        <v>28</v>
      </c>
      <c r="E380" t="s">
        <v>23</v>
      </c>
      <c r="F380" t="s">
        <v>41</v>
      </c>
      <c r="G380">
        <v>3885459</v>
      </c>
      <c r="H380">
        <v>9.3699999999999992</v>
      </c>
      <c r="I380">
        <v>0.83</v>
      </c>
      <c r="J380" s="1">
        <v>44516</v>
      </c>
      <c r="K380">
        <v>327</v>
      </c>
      <c r="L380">
        <v>4</v>
      </c>
      <c r="M380">
        <v>388545.9</v>
      </c>
      <c r="N380">
        <v>1554183.6</v>
      </c>
    </row>
    <row r="381" spans="1:14" x14ac:dyDescent="0.25">
      <c r="A381" t="s">
        <v>759</v>
      </c>
      <c r="B381" t="s">
        <v>11</v>
      </c>
      <c r="C381">
        <v>52</v>
      </c>
      <c r="D381" t="s">
        <v>18</v>
      </c>
      <c r="E381" t="s">
        <v>23</v>
      </c>
      <c r="F381" t="s">
        <v>35</v>
      </c>
      <c r="G381">
        <v>4551738</v>
      </c>
      <c r="H381">
        <v>30.84</v>
      </c>
      <c r="I381">
        <v>29.79</v>
      </c>
      <c r="J381" s="1">
        <v>43686</v>
      </c>
      <c r="K381">
        <v>111</v>
      </c>
      <c r="L381">
        <v>6</v>
      </c>
      <c r="M381">
        <v>455173.80000000005</v>
      </c>
      <c r="N381">
        <v>2731042.8000000003</v>
      </c>
    </row>
    <row r="382" spans="1:14" x14ac:dyDescent="0.25">
      <c r="A382" t="s">
        <v>761</v>
      </c>
      <c r="B382" t="s">
        <v>11</v>
      </c>
      <c r="C382">
        <v>21</v>
      </c>
      <c r="D382" t="s">
        <v>12</v>
      </c>
      <c r="E382" t="s">
        <v>29</v>
      </c>
      <c r="F382" t="s">
        <v>30</v>
      </c>
      <c r="G382">
        <v>280943</v>
      </c>
      <c r="H382">
        <v>20.260000000000002</v>
      </c>
      <c r="I382">
        <v>-4.41</v>
      </c>
      <c r="J382" s="1">
        <v>45187</v>
      </c>
      <c r="K382">
        <v>235</v>
      </c>
      <c r="L382">
        <v>2</v>
      </c>
      <c r="M382">
        <v>28094.300000000003</v>
      </c>
      <c r="N382">
        <v>56188.600000000006</v>
      </c>
    </row>
    <row r="383" spans="1:14" x14ac:dyDescent="0.25">
      <c r="A383" t="s">
        <v>763</v>
      </c>
      <c r="B383" t="s">
        <v>17</v>
      </c>
      <c r="C383">
        <v>61</v>
      </c>
      <c r="D383" t="s">
        <v>28</v>
      </c>
      <c r="E383" t="s">
        <v>19</v>
      </c>
      <c r="F383" t="s">
        <v>20</v>
      </c>
      <c r="G383">
        <v>3401455</v>
      </c>
      <c r="H383">
        <v>18.11</v>
      </c>
      <c r="I383">
        <v>25</v>
      </c>
      <c r="J383" s="1">
        <v>43762</v>
      </c>
      <c r="K383">
        <v>329</v>
      </c>
      <c r="L383">
        <v>6</v>
      </c>
      <c r="M383">
        <v>340145.5</v>
      </c>
      <c r="N383">
        <v>2040873</v>
      </c>
    </row>
    <row r="384" spans="1:14" x14ac:dyDescent="0.25">
      <c r="A384" t="s">
        <v>765</v>
      </c>
      <c r="B384" t="s">
        <v>11</v>
      </c>
      <c r="C384">
        <v>34</v>
      </c>
      <c r="D384" t="s">
        <v>12</v>
      </c>
      <c r="E384" t="s">
        <v>13</v>
      </c>
      <c r="F384" t="s">
        <v>47</v>
      </c>
      <c r="G384">
        <v>2357894</v>
      </c>
      <c r="H384">
        <v>22.87</v>
      </c>
      <c r="I384">
        <v>42.19</v>
      </c>
      <c r="J384" s="1">
        <v>43663</v>
      </c>
      <c r="K384">
        <v>262</v>
      </c>
      <c r="L384">
        <v>7</v>
      </c>
      <c r="M384">
        <v>235789.40000000002</v>
      </c>
      <c r="N384">
        <v>1650525.8000000003</v>
      </c>
    </row>
    <row r="385" spans="1:14" x14ac:dyDescent="0.25">
      <c r="A385" t="s">
        <v>767</v>
      </c>
      <c r="B385" t="s">
        <v>11</v>
      </c>
      <c r="C385">
        <v>46</v>
      </c>
      <c r="D385" t="s">
        <v>46</v>
      </c>
      <c r="E385" t="s">
        <v>19</v>
      </c>
      <c r="F385" t="s">
        <v>41</v>
      </c>
      <c r="G385">
        <v>1408149</v>
      </c>
      <c r="H385">
        <v>9.86</v>
      </c>
      <c r="I385">
        <v>10.62</v>
      </c>
      <c r="J385" s="1">
        <v>45066</v>
      </c>
      <c r="K385">
        <v>95</v>
      </c>
      <c r="L385">
        <v>3</v>
      </c>
      <c r="M385">
        <v>140814.9</v>
      </c>
      <c r="N385">
        <v>422444.69999999995</v>
      </c>
    </row>
    <row r="386" spans="1:14" x14ac:dyDescent="0.25">
      <c r="A386" t="s">
        <v>769</v>
      </c>
      <c r="B386" t="s">
        <v>11</v>
      </c>
      <c r="C386">
        <v>23</v>
      </c>
      <c r="D386" t="s">
        <v>28</v>
      </c>
      <c r="E386" t="s">
        <v>23</v>
      </c>
      <c r="F386" t="s">
        <v>41</v>
      </c>
      <c r="G386">
        <v>2013525</v>
      </c>
      <c r="H386">
        <v>33.86</v>
      </c>
      <c r="I386">
        <v>-9.4499999999999993</v>
      </c>
      <c r="J386" s="1">
        <v>43447</v>
      </c>
      <c r="K386">
        <v>26</v>
      </c>
      <c r="L386">
        <v>7</v>
      </c>
      <c r="M386">
        <v>201352.5</v>
      </c>
      <c r="N386">
        <v>1409467.5</v>
      </c>
    </row>
    <row r="387" spans="1:14" x14ac:dyDescent="0.25">
      <c r="A387" t="s">
        <v>770</v>
      </c>
      <c r="B387" t="s">
        <v>11</v>
      </c>
      <c r="C387">
        <v>59</v>
      </c>
      <c r="D387" t="s">
        <v>46</v>
      </c>
      <c r="E387" t="s">
        <v>19</v>
      </c>
      <c r="F387" t="s">
        <v>47</v>
      </c>
      <c r="G387">
        <v>2146298</v>
      </c>
      <c r="H387">
        <v>5.24</v>
      </c>
      <c r="I387">
        <v>12.94</v>
      </c>
      <c r="J387" s="1">
        <v>44172</v>
      </c>
      <c r="K387">
        <v>141</v>
      </c>
      <c r="L387">
        <v>5</v>
      </c>
      <c r="M387">
        <v>214629.80000000002</v>
      </c>
      <c r="N387">
        <v>1073149</v>
      </c>
    </row>
    <row r="388" spans="1:14" x14ac:dyDescent="0.25">
      <c r="A388" t="s">
        <v>772</v>
      </c>
      <c r="B388" t="s">
        <v>11</v>
      </c>
      <c r="C388">
        <v>29</v>
      </c>
      <c r="D388" t="s">
        <v>18</v>
      </c>
      <c r="E388" t="s">
        <v>50</v>
      </c>
      <c r="F388" t="s">
        <v>41</v>
      </c>
      <c r="G388">
        <v>2799061</v>
      </c>
      <c r="H388">
        <v>14.41</v>
      </c>
      <c r="I388">
        <v>10.41</v>
      </c>
      <c r="J388" s="1">
        <v>45405</v>
      </c>
      <c r="K388">
        <v>275</v>
      </c>
      <c r="L388">
        <v>2</v>
      </c>
      <c r="M388">
        <v>279906.10000000003</v>
      </c>
      <c r="N388">
        <v>559812.20000000007</v>
      </c>
    </row>
    <row r="389" spans="1:14" x14ac:dyDescent="0.25">
      <c r="A389" t="s">
        <v>774</v>
      </c>
      <c r="B389" t="s">
        <v>17</v>
      </c>
      <c r="C389">
        <v>58</v>
      </c>
      <c r="D389" t="s">
        <v>46</v>
      </c>
      <c r="E389" t="s">
        <v>57</v>
      </c>
      <c r="F389" t="s">
        <v>41</v>
      </c>
      <c r="G389">
        <v>1195769</v>
      </c>
      <c r="H389">
        <v>18.27</v>
      </c>
      <c r="I389">
        <v>21.65</v>
      </c>
      <c r="J389" s="1">
        <v>44705</v>
      </c>
      <c r="K389">
        <v>276</v>
      </c>
      <c r="L389">
        <v>4</v>
      </c>
      <c r="M389">
        <v>119576.90000000001</v>
      </c>
      <c r="N389">
        <v>478307.60000000003</v>
      </c>
    </row>
    <row r="390" spans="1:14" x14ac:dyDescent="0.25">
      <c r="A390" t="s">
        <v>776</v>
      </c>
      <c r="B390" t="s">
        <v>11</v>
      </c>
      <c r="C390">
        <v>42</v>
      </c>
      <c r="D390" t="s">
        <v>12</v>
      </c>
      <c r="E390" t="s">
        <v>23</v>
      </c>
      <c r="F390" t="s">
        <v>35</v>
      </c>
      <c r="G390">
        <v>1830432</v>
      </c>
      <c r="H390">
        <v>30.35</v>
      </c>
      <c r="I390">
        <v>7.65</v>
      </c>
      <c r="J390" s="1">
        <v>44672</v>
      </c>
      <c r="K390">
        <v>232</v>
      </c>
      <c r="L390">
        <v>4</v>
      </c>
      <c r="M390">
        <v>183043.20000000001</v>
      </c>
      <c r="N390">
        <v>732172.80000000005</v>
      </c>
    </row>
    <row r="391" spans="1:14" x14ac:dyDescent="0.25">
      <c r="A391" t="s">
        <v>778</v>
      </c>
      <c r="B391" t="s">
        <v>11</v>
      </c>
      <c r="C391">
        <v>61</v>
      </c>
      <c r="D391" t="s">
        <v>38</v>
      </c>
      <c r="E391" t="s">
        <v>13</v>
      </c>
      <c r="F391" t="s">
        <v>47</v>
      </c>
      <c r="G391">
        <v>4099922</v>
      </c>
      <c r="H391">
        <v>27.07</v>
      </c>
      <c r="I391">
        <v>13.3</v>
      </c>
      <c r="J391" s="1">
        <v>45241</v>
      </c>
      <c r="K391">
        <v>331</v>
      </c>
      <c r="L391">
        <v>2</v>
      </c>
      <c r="M391">
        <v>409992.2</v>
      </c>
      <c r="N391">
        <v>819984.4</v>
      </c>
    </row>
    <row r="392" spans="1:14" x14ac:dyDescent="0.25">
      <c r="A392" t="s">
        <v>779</v>
      </c>
      <c r="B392" t="s">
        <v>17</v>
      </c>
      <c r="C392">
        <v>62</v>
      </c>
      <c r="D392" t="s">
        <v>46</v>
      </c>
      <c r="E392" t="s">
        <v>19</v>
      </c>
      <c r="F392" t="s">
        <v>20</v>
      </c>
      <c r="G392">
        <v>4428808</v>
      </c>
      <c r="H392">
        <v>12.28</v>
      </c>
      <c r="I392">
        <v>18.02</v>
      </c>
      <c r="J392" s="1">
        <v>45027</v>
      </c>
      <c r="K392">
        <v>80</v>
      </c>
      <c r="L392">
        <v>3</v>
      </c>
      <c r="M392">
        <v>442880.80000000005</v>
      </c>
      <c r="N392">
        <v>1328642.4000000001</v>
      </c>
    </row>
    <row r="393" spans="1:14" x14ac:dyDescent="0.25">
      <c r="A393" t="s">
        <v>781</v>
      </c>
      <c r="B393" t="s">
        <v>11</v>
      </c>
      <c r="C393">
        <v>54</v>
      </c>
      <c r="D393" t="s">
        <v>12</v>
      </c>
      <c r="E393" t="s">
        <v>50</v>
      </c>
      <c r="F393" t="s">
        <v>47</v>
      </c>
      <c r="G393">
        <v>2552990</v>
      </c>
      <c r="H393">
        <v>7.13</v>
      </c>
      <c r="I393">
        <v>38.19</v>
      </c>
      <c r="J393" s="1">
        <v>43334</v>
      </c>
      <c r="K393">
        <v>243</v>
      </c>
      <c r="L393">
        <v>7</v>
      </c>
      <c r="M393">
        <v>255299</v>
      </c>
      <c r="N393">
        <v>1787093</v>
      </c>
    </row>
    <row r="394" spans="1:14" x14ac:dyDescent="0.25">
      <c r="A394" t="s">
        <v>783</v>
      </c>
      <c r="B394" t="s">
        <v>11</v>
      </c>
      <c r="C394">
        <v>43</v>
      </c>
      <c r="D394" t="s">
        <v>12</v>
      </c>
      <c r="E394" t="s">
        <v>13</v>
      </c>
      <c r="F394" t="s">
        <v>14</v>
      </c>
      <c r="G394">
        <v>177094</v>
      </c>
      <c r="H394">
        <v>9.3800000000000008</v>
      </c>
      <c r="I394">
        <v>31.24</v>
      </c>
      <c r="J394" s="1">
        <v>43701</v>
      </c>
      <c r="K394">
        <v>12</v>
      </c>
      <c r="L394">
        <v>6</v>
      </c>
      <c r="M394">
        <v>17709.400000000001</v>
      </c>
      <c r="N394">
        <v>106256.40000000001</v>
      </c>
    </row>
    <row r="395" spans="1:14" x14ac:dyDescent="0.25">
      <c r="A395" t="s">
        <v>785</v>
      </c>
      <c r="B395" t="s">
        <v>17</v>
      </c>
      <c r="C395">
        <v>43</v>
      </c>
      <c r="D395" t="s">
        <v>46</v>
      </c>
      <c r="E395" t="s">
        <v>57</v>
      </c>
      <c r="F395" t="s">
        <v>30</v>
      </c>
      <c r="G395">
        <v>3863414</v>
      </c>
      <c r="H395">
        <v>32.04</v>
      </c>
      <c r="I395">
        <v>25.74</v>
      </c>
      <c r="J395" s="1">
        <v>43685</v>
      </c>
      <c r="K395">
        <v>212</v>
      </c>
      <c r="L395">
        <v>6</v>
      </c>
      <c r="M395">
        <v>386341.4</v>
      </c>
      <c r="N395">
        <v>2318048.4000000004</v>
      </c>
    </row>
    <row r="396" spans="1:14" x14ac:dyDescent="0.25">
      <c r="A396" t="s">
        <v>787</v>
      </c>
      <c r="B396" t="s">
        <v>17</v>
      </c>
      <c r="C396">
        <v>28</v>
      </c>
      <c r="D396" t="s">
        <v>28</v>
      </c>
      <c r="E396" t="s">
        <v>57</v>
      </c>
      <c r="F396" t="s">
        <v>47</v>
      </c>
      <c r="G396">
        <v>4693454</v>
      </c>
      <c r="H396">
        <v>12.48</v>
      </c>
      <c r="I396">
        <v>0.33</v>
      </c>
      <c r="J396" s="1">
        <v>45019</v>
      </c>
      <c r="K396">
        <v>214</v>
      </c>
      <c r="L396">
        <v>3</v>
      </c>
      <c r="M396">
        <v>469345.4</v>
      </c>
      <c r="N396">
        <v>1408036.2000000002</v>
      </c>
    </row>
    <row r="397" spans="1:14" x14ac:dyDescent="0.25">
      <c r="A397" t="s">
        <v>789</v>
      </c>
      <c r="B397" t="s">
        <v>11</v>
      </c>
      <c r="C397">
        <v>39</v>
      </c>
      <c r="D397" t="s">
        <v>18</v>
      </c>
      <c r="E397" t="s">
        <v>13</v>
      </c>
      <c r="F397" t="s">
        <v>35</v>
      </c>
      <c r="G397">
        <v>4041370</v>
      </c>
      <c r="H397">
        <v>21.7</v>
      </c>
      <c r="I397">
        <v>21.21</v>
      </c>
      <c r="J397" s="1">
        <v>43293</v>
      </c>
      <c r="K397">
        <v>339</v>
      </c>
      <c r="L397">
        <v>8</v>
      </c>
      <c r="M397">
        <v>404137</v>
      </c>
      <c r="N397">
        <v>3233096</v>
      </c>
    </row>
    <row r="398" spans="1:14" x14ac:dyDescent="0.25">
      <c r="A398" t="s">
        <v>791</v>
      </c>
      <c r="B398" t="s">
        <v>11</v>
      </c>
      <c r="C398">
        <v>34</v>
      </c>
      <c r="D398" t="s">
        <v>28</v>
      </c>
      <c r="E398" t="s">
        <v>29</v>
      </c>
      <c r="F398" t="s">
        <v>20</v>
      </c>
      <c r="G398">
        <v>1550067</v>
      </c>
      <c r="H398">
        <v>26.06</v>
      </c>
      <c r="I398">
        <v>5.13</v>
      </c>
      <c r="J398" s="1">
        <v>45306</v>
      </c>
      <c r="K398">
        <v>119</v>
      </c>
      <c r="L398">
        <v>2</v>
      </c>
      <c r="M398">
        <v>155006.70000000001</v>
      </c>
      <c r="N398">
        <v>310013.40000000002</v>
      </c>
    </row>
    <row r="399" spans="1:14" x14ac:dyDescent="0.25">
      <c r="A399" t="s">
        <v>793</v>
      </c>
      <c r="B399" t="s">
        <v>11</v>
      </c>
      <c r="C399">
        <v>22</v>
      </c>
      <c r="D399" t="s">
        <v>38</v>
      </c>
      <c r="E399" t="s">
        <v>29</v>
      </c>
      <c r="F399" t="s">
        <v>35</v>
      </c>
      <c r="G399">
        <v>496281</v>
      </c>
      <c r="H399">
        <v>30.39</v>
      </c>
      <c r="I399">
        <v>37.08</v>
      </c>
      <c r="J399" s="1">
        <v>44950</v>
      </c>
      <c r="K399">
        <v>66</v>
      </c>
      <c r="L399">
        <v>3</v>
      </c>
      <c r="M399">
        <v>49628.100000000006</v>
      </c>
      <c r="N399">
        <v>148884.30000000002</v>
      </c>
    </row>
    <row r="400" spans="1:14" x14ac:dyDescent="0.25">
      <c r="A400" t="s">
        <v>795</v>
      </c>
      <c r="B400" t="s">
        <v>11</v>
      </c>
      <c r="C400">
        <v>59</v>
      </c>
      <c r="D400" t="s">
        <v>12</v>
      </c>
      <c r="E400" t="s">
        <v>13</v>
      </c>
      <c r="F400" t="s">
        <v>35</v>
      </c>
      <c r="G400">
        <v>2096975</v>
      </c>
      <c r="H400">
        <v>14.1</v>
      </c>
      <c r="I400">
        <v>28.96</v>
      </c>
      <c r="J400" s="1">
        <v>44922</v>
      </c>
      <c r="K400">
        <v>198</v>
      </c>
      <c r="L400">
        <v>3</v>
      </c>
      <c r="M400">
        <v>209697.5</v>
      </c>
      <c r="N400">
        <v>629092.5</v>
      </c>
    </row>
    <row r="401" spans="1:14" x14ac:dyDescent="0.25">
      <c r="A401" t="s">
        <v>796</v>
      </c>
      <c r="B401" t="s">
        <v>17</v>
      </c>
      <c r="C401">
        <v>29</v>
      </c>
      <c r="D401" t="s">
        <v>18</v>
      </c>
      <c r="E401" t="s">
        <v>50</v>
      </c>
      <c r="F401" t="s">
        <v>47</v>
      </c>
      <c r="G401">
        <v>1191908</v>
      </c>
      <c r="H401">
        <v>8.41</v>
      </c>
      <c r="I401">
        <v>22.73</v>
      </c>
      <c r="J401" s="1">
        <v>43541</v>
      </c>
      <c r="K401">
        <v>41</v>
      </c>
      <c r="L401">
        <v>7</v>
      </c>
      <c r="M401">
        <v>119190.8</v>
      </c>
      <c r="N401">
        <v>834335.6</v>
      </c>
    </row>
    <row r="402" spans="1:14" x14ac:dyDescent="0.25">
      <c r="A402" t="s">
        <v>798</v>
      </c>
      <c r="B402" t="s">
        <v>17</v>
      </c>
      <c r="C402">
        <v>54</v>
      </c>
      <c r="D402" t="s">
        <v>12</v>
      </c>
      <c r="E402" t="s">
        <v>29</v>
      </c>
      <c r="F402" t="s">
        <v>35</v>
      </c>
      <c r="G402">
        <v>567392</v>
      </c>
      <c r="H402">
        <v>9.1199999999999992</v>
      </c>
      <c r="I402">
        <v>-0.73</v>
      </c>
      <c r="J402" s="1">
        <v>45003</v>
      </c>
      <c r="K402">
        <v>144</v>
      </c>
      <c r="L402">
        <v>3</v>
      </c>
      <c r="M402">
        <v>56739.200000000004</v>
      </c>
      <c r="N402">
        <v>170217.60000000001</v>
      </c>
    </row>
    <row r="403" spans="1:14" x14ac:dyDescent="0.25">
      <c r="A403" t="s">
        <v>799</v>
      </c>
      <c r="B403" t="s">
        <v>11</v>
      </c>
      <c r="C403">
        <v>52</v>
      </c>
      <c r="D403" t="s">
        <v>18</v>
      </c>
      <c r="E403" t="s">
        <v>50</v>
      </c>
      <c r="F403" t="s">
        <v>41</v>
      </c>
      <c r="G403">
        <v>2615188</v>
      </c>
      <c r="H403">
        <v>14.16</v>
      </c>
      <c r="I403">
        <v>23.99</v>
      </c>
      <c r="J403" s="1">
        <v>45333</v>
      </c>
      <c r="K403">
        <v>242</v>
      </c>
      <c r="L403">
        <v>2</v>
      </c>
      <c r="M403">
        <v>261518.80000000002</v>
      </c>
      <c r="N403">
        <v>523037.60000000003</v>
      </c>
    </row>
    <row r="404" spans="1:14" x14ac:dyDescent="0.25">
      <c r="A404" t="s">
        <v>801</v>
      </c>
      <c r="B404" t="s">
        <v>17</v>
      </c>
      <c r="C404">
        <v>23</v>
      </c>
      <c r="D404" t="s">
        <v>46</v>
      </c>
      <c r="E404" t="s">
        <v>57</v>
      </c>
      <c r="F404" t="s">
        <v>47</v>
      </c>
      <c r="G404">
        <v>1454481</v>
      </c>
      <c r="H404">
        <v>31.09</v>
      </c>
      <c r="I404">
        <v>21.92</v>
      </c>
      <c r="J404" s="1">
        <v>44977</v>
      </c>
      <c r="K404">
        <v>273</v>
      </c>
      <c r="L404">
        <v>3</v>
      </c>
      <c r="M404">
        <v>145448.1</v>
      </c>
      <c r="N404">
        <v>436344.30000000005</v>
      </c>
    </row>
    <row r="405" spans="1:14" x14ac:dyDescent="0.25">
      <c r="A405" t="s">
        <v>803</v>
      </c>
      <c r="B405" t="s">
        <v>17</v>
      </c>
      <c r="C405">
        <v>27</v>
      </c>
      <c r="D405" t="s">
        <v>38</v>
      </c>
      <c r="E405" t="s">
        <v>50</v>
      </c>
      <c r="F405" t="s">
        <v>14</v>
      </c>
      <c r="G405">
        <v>1804138</v>
      </c>
      <c r="H405">
        <v>24.36</v>
      </c>
      <c r="I405">
        <v>21.12</v>
      </c>
      <c r="J405" s="1">
        <v>45085</v>
      </c>
      <c r="K405">
        <v>65</v>
      </c>
      <c r="L405">
        <v>3</v>
      </c>
      <c r="M405">
        <v>180413.80000000002</v>
      </c>
      <c r="N405">
        <v>541241.4</v>
      </c>
    </row>
    <row r="406" spans="1:14" x14ac:dyDescent="0.25">
      <c r="A406" t="s">
        <v>805</v>
      </c>
      <c r="B406" t="s">
        <v>17</v>
      </c>
      <c r="C406">
        <v>25</v>
      </c>
      <c r="D406" t="s">
        <v>38</v>
      </c>
      <c r="E406" t="s">
        <v>23</v>
      </c>
      <c r="F406" t="s">
        <v>30</v>
      </c>
      <c r="G406">
        <v>3098118</v>
      </c>
      <c r="H406">
        <v>32.869999999999997</v>
      </c>
      <c r="I406">
        <v>1.42</v>
      </c>
      <c r="J406" s="1">
        <v>44187</v>
      </c>
      <c r="K406">
        <v>336</v>
      </c>
      <c r="L406">
        <v>5</v>
      </c>
      <c r="M406">
        <v>309811.8</v>
      </c>
      <c r="N406">
        <v>1549059</v>
      </c>
    </row>
    <row r="407" spans="1:14" x14ac:dyDescent="0.25">
      <c r="A407" t="s">
        <v>807</v>
      </c>
      <c r="B407" t="s">
        <v>11</v>
      </c>
      <c r="C407">
        <v>40</v>
      </c>
      <c r="D407" t="s">
        <v>18</v>
      </c>
      <c r="E407" t="s">
        <v>19</v>
      </c>
      <c r="F407" t="s">
        <v>41</v>
      </c>
      <c r="G407">
        <v>4321178</v>
      </c>
      <c r="H407">
        <v>32.130000000000003</v>
      </c>
      <c r="I407">
        <v>-6.89</v>
      </c>
      <c r="J407" s="1">
        <v>43736</v>
      </c>
      <c r="K407">
        <v>35</v>
      </c>
      <c r="L407">
        <v>6</v>
      </c>
      <c r="M407">
        <v>432117.80000000005</v>
      </c>
      <c r="N407">
        <v>2592706.8000000003</v>
      </c>
    </row>
    <row r="408" spans="1:14" x14ac:dyDescent="0.25">
      <c r="A408" t="s">
        <v>809</v>
      </c>
      <c r="B408" t="s">
        <v>11</v>
      </c>
      <c r="C408">
        <v>30</v>
      </c>
      <c r="D408" t="s">
        <v>46</v>
      </c>
      <c r="E408" t="s">
        <v>23</v>
      </c>
      <c r="F408" t="s">
        <v>20</v>
      </c>
      <c r="G408">
        <v>4236657</v>
      </c>
      <c r="H408">
        <v>29.79</v>
      </c>
      <c r="I408">
        <v>43.21</v>
      </c>
      <c r="J408" s="1">
        <v>45183</v>
      </c>
      <c r="K408">
        <v>204</v>
      </c>
      <c r="L408">
        <v>2</v>
      </c>
      <c r="M408">
        <v>423665.7</v>
      </c>
      <c r="N408">
        <v>847331.4</v>
      </c>
    </row>
    <row r="409" spans="1:14" x14ac:dyDescent="0.25">
      <c r="A409" t="s">
        <v>811</v>
      </c>
      <c r="B409" t="s">
        <v>17</v>
      </c>
      <c r="C409">
        <v>54</v>
      </c>
      <c r="D409" t="s">
        <v>12</v>
      </c>
      <c r="E409" t="s">
        <v>23</v>
      </c>
      <c r="F409" t="s">
        <v>14</v>
      </c>
      <c r="G409">
        <v>2558276</v>
      </c>
      <c r="H409">
        <v>16.46</v>
      </c>
      <c r="I409">
        <v>26.56</v>
      </c>
      <c r="J409" s="1">
        <v>44850</v>
      </c>
      <c r="K409">
        <v>341</v>
      </c>
      <c r="L409">
        <v>3</v>
      </c>
      <c r="M409">
        <v>255827.6</v>
      </c>
      <c r="N409">
        <v>767482.8</v>
      </c>
    </row>
    <row r="410" spans="1:14" x14ac:dyDescent="0.25">
      <c r="A410" t="s">
        <v>813</v>
      </c>
      <c r="B410" t="s">
        <v>17</v>
      </c>
      <c r="C410">
        <v>39</v>
      </c>
      <c r="D410" t="s">
        <v>28</v>
      </c>
      <c r="E410" t="s">
        <v>23</v>
      </c>
      <c r="F410" t="s">
        <v>47</v>
      </c>
      <c r="G410">
        <v>3365493</v>
      </c>
      <c r="H410">
        <v>12</v>
      </c>
      <c r="I410">
        <v>32.75</v>
      </c>
      <c r="J410" s="1">
        <v>43627</v>
      </c>
      <c r="K410">
        <v>21</v>
      </c>
      <c r="L410">
        <v>7</v>
      </c>
      <c r="M410">
        <v>336549.30000000005</v>
      </c>
      <c r="N410">
        <v>2355845.1000000006</v>
      </c>
    </row>
    <row r="411" spans="1:14" x14ac:dyDescent="0.25">
      <c r="A411" t="s">
        <v>815</v>
      </c>
      <c r="B411" t="s">
        <v>17</v>
      </c>
      <c r="C411">
        <v>46</v>
      </c>
      <c r="D411" t="s">
        <v>38</v>
      </c>
      <c r="E411" t="s">
        <v>57</v>
      </c>
      <c r="F411" t="s">
        <v>41</v>
      </c>
      <c r="G411">
        <v>2192658</v>
      </c>
      <c r="H411">
        <v>22.86</v>
      </c>
      <c r="I411">
        <v>-8.24</v>
      </c>
      <c r="J411" s="1">
        <v>44241</v>
      </c>
      <c r="K411">
        <v>37</v>
      </c>
      <c r="L411">
        <v>5</v>
      </c>
      <c r="M411">
        <v>219265.80000000002</v>
      </c>
      <c r="N411">
        <v>1096329</v>
      </c>
    </row>
    <row r="412" spans="1:14" x14ac:dyDescent="0.25">
      <c r="A412" t="s">
        <v>817</v>
      </c>
      <c r="B412" t="s">
        <v>11</v>
      </c>
      <c r="C412">
        <v>51</v>
      </c>
      <c r="D412" t="s">
        <v>28</v>
      </c>
      <c r="E412" t="s">
        <v>19</v>
      </c>
      <c r="F412" t="s">
        <v>47</v>
      </c>
      <c r="G412">
        <v>4386827</v>
      </c>
      <c r="H412">
        <v>14.4</v>
      </c>
      <c r="I412">
        <v>37.53</v>
      </c>
      <c r="J412" s="1">
        <v>44187</v>
      </c>
      <c r="K412">
        <v>216</v>
      </c>
      <c r="L412">
        <v>5</v>
      </c>
      <c r="M412">
        <v>438682.7</v>
      </c>
      <c r="N412">
        <v>2193413.5</v>
      </c>
    </row>
    <row r="413" spans="1:14" x14ac:dyDescent="0.25">
      <c r="A413" t="s">
        <v>818</v>
      </c>
      <c r="B413" t="s">
        <v>11</v>
      </c>
      <c r="C413">
        <v>39</v>
      </c>
      <c r="D413" t="s">
        <v>46</v>
      </c>
      <c r="E413" t="s">
        <v>19</v>
      </c>
      <c r="F413" t="s">
        <v>14</v>
      </c>
      <c r="G413">
        <v>3295779</v>
      </c>
      <c r="H413">
        <v>27.96</v>
      </c>
      <c r="I413">
        <v>33.15</v>
      </c>
      <c r="J413" s="1">
        <v>43986</v>
      </c>
      <c r="K413">
        <v>170</v>
      </c>
      <c r="L413">
        <v>6</v>
      </c>
      <c r="M413">
        <v>329577.90000000002</v>
      </c>
      <c r="N413">
        <v>1977467.4000000001</v>
      </c>
    </row>
    <row r="414" spans="1:14" x14ac:dyDescent="0.25">
      <c r="A414" t="s">
        <v>820</v>
      </c>
      <c r="B414" t="s">
        <v>17</v>
      </c>
      <c r="C414">
        <v>54</v>
      </c>
      <c r="D414" t="s">
        <v>38</v>
      </c>
      <c r="E414" t="s">
        <v>50</v>
      </c>
      <c r="F414" t="s">
        <v>41</v>
      </c>
      <c r="G414">
        <v>237661</v>
      </c>
      <c r="H414">
        <v>20.5</v>
      </c>
      <c r="I414">
        <v>36.79</v>
      </c>
      <c r="J414" s="1">
        <v>45039</v>
      </c>
      <c r="K414">
        <v>222</v>
      </c>
      <c r="L414">
        <v>3</v>
      </c>
      <c r="M414">
        <v>23766.100000000002</v>
      </c>
      <c r="N414">
        <v>71298.3</v>
      </c>
    </row>
    <row r="415" spans="1:14" x14ac:dyDescent="0.25">
      <c r="A415" t="s">
        <v>822</v>
      </c>
      <c r="B415" t="s">
        <v>11</v>
      </c>
      <c r="C415">
        <v>54</v>
      </c>
      <c r="D415" t="s">
        <v>46</v>
      </c>
      <c r="E415" t="s">
        <v>50</v>
      </c>
      <c r="F415" t="s">
        <v>41</v>
      </c>
      <c r="G415">
        <v>2976983</v>
      </c>
      <c r="H415">
        <v>17.59</v>
      </c>
      <c r="I415">
        <v>25.69</v>
      </c>
      <c r="J415" s="1">
        <v>44266</v>
      </c>
      <c r="K415">
        <v>28</v>
      </c>
      <c r="L415">
        <v>5</v>
      </c>
      <c r="M415">
        <v>297698.3</v>
      </c>
      <c r="N415">
        <v>1488491.5</v>
      </c>
    </row>
    <row r="416" spans="1:14" x14ac:dyDescent="0.25">
      <c r="A416" t="s">
        <v>824</v>
      </c>
      <c r="B416" t="s">
        <v>11</v>
      </c>
      <c r="C416">
        <v>52</v>
      </c>
      <c r="D416" t="s">
        <v>46</v>
      </c>
      <c r="E416" t="s">
        <v>23</v>
      </c>
      <c r="F416" t="s">
        <v>30</v>
      </c>
      <c r="G416">
        <v>2731462</v>
      </c>
      <c r="H416">
        <v>33.03</v>
      </c>
      <c r="I416">
        <v>8.36</v>
      </c>
      <c r="J416" s="1">
        <v>45546</v>
      </c>
      <c r="K416">
        <v>38</v>
      </c>
      <c r="L416">
        <v>1</v>
      </c>
      <c r="M416">
        <v>273146.2</v>
      </c>
      <c r="N416">
        <v>273146.2</v>
      </c>
    </row>
    <row r="417" spans="1:14" x14ac:dyDescent="0.25">
      <c r="A417" t="s">
        <v>826</v>
      </c>
      <c r="B417" t="s">
        <v>11</v>
      </c>
      <c r="C417">
        <v>42</v>
      </c>
      <c r="D417" t="s">
        <v>28</v>
      </c>
      <c r="E417" t="s">
        <v>23</v>
      </c>
      <c r="F417" t="s">
        <v>20</v>
      </c>
      <c r="G417">
        <v>829978</v>
      </c>
      <c r="H417">
        <v>34.43</v>
      </c>
      <c r="I417">
        <v>17.25</v>
      </c>
      <c r="J417" s="1">
        <v>45033</v>
      </c>
      <c r="K417">
        <v>190</v>
      </c>
      <c r="L417">
        <v>3</v>
      </c>
      <c r="M417">
        <v>82997.8</v>
      </c>
      <c r="N417">
        <v>248993.40000000002</v>
      </c>
    </row>
    <row r="418" spans="1:14" x14ac:dyDescent="0.25">
      <c r="A418" t="s">
        <v>828</v>
      </c>
      <c r="B418" t="s">
        <v>11</v>
      </c>
      <c r="C418">
        <v>53</v>
      </c>
      <c r="D418" t="s">
        <v>12</v>
      </c>
      <c r="E418" t="s">
        <v>50</v>
      </c>
      <c r="F418" t="s">
        <v>41</v>
      </c>
      <c r="G418">
        <v>3545017</v>
      </c>
      <c r="H418">
        <v>30.16</v>
      </c>
      <c r="I418">
        <v>10.48</v>
      </c>
      <c r="J418" s="1">
        <v>44673</v>
      </c>
      <c r="K418">
        <v>166</v>
      </c>
      <c r="L418">
        <v>4</v>
      </c>
      <c r="M418">
        <v>354501.7</v>
      </c>
      <c r="N418">
        <v>1418006.8</v>
      </c>
    </row>
    <row r="419" spans="1:14" x14ac:dyDescent="0.25">
      <c r="A419" t="s">
        <v>830</v>
      </c>
      <c r="B419" t="s">
        <v>17</v>
      </c>
      <c r="C419">
        <v>65</v>
      </c>
      <c r="D419" t="s">
        <v>38</v>
      </c>
      <c r="E419" t="s">
        <v>23</v>
      </c>
      <c r="F419" t="s">
        <v>47</v>
      </c>
      <c r="G419">
        <v>1879311</v>
      </c>
      <c r="H419">
        <v>10.01</v>
      </c>
      <c r="I419">
        <v>43.89</v>
      </c>
      <c r="J419" s="1">
        <v>45529</v>
      </c>
      <c r="K419">
        <v>293</v>
      </c>
      <c r="L419">
        <v>1</v>
      </c>
      <c r="M419">
        <v>187931.1</v>
      </c>
      <c r="N419">
        <v>187931.1</v>
      </c>
    </row>
    <row r="420" spans="1:14" x14ac:dyDescent="0.25">
      <c r="A420" t="s">
        <v>832</v>
      </c>
      <c r="B420" t="s">
        <v>11</v>
      </c>
      <c r="C420">
        <v>33</v>
      </c>
      <c r="D420" t="s">
        <v>28</v>
      </c>
      <c r="E420" t="s">
        <v>29</v>
      </c>
      <c r="F420" t="s">
        <v>41</v>
      </c>
      <c r="G420">
        <v>1621981</v>
      </c>
      <c r="H420">
        <v>6.74</v>
      </c>
      <c r="I420">
        <v>19.579999999999998</v>
      </c>
      <c r="J420" s="1">
        <v>45263</v>
      </c>
      <c r="K420">
        <v>249</v>
      </c>
      <c r="L420">
        <v>2</v>
      </c>
      <c r="M420">
        <v>162198.1</v>
      </c>
      <c r="N420">
        <v>324396.2</v>
      </c>
    </row>
    <row r="421" spans="1:14" x14ac:dyDescent="0.25">
      <c r="A421" t="s">
        <v>834</v>
      </c>
      <c r="B421" t="s">
        <v>17</v>
      </c>
      <c r="C421">
        <v>53</v>
      </c>
      <c r="D421" t="s">
        <v>12</v>
      </c>
      <c r="E421" t="s">
        <v>13</v>
      </c>
      <c r="F421" t="s">
        <v>35</v>
      </c>
      <c r="G421">
        <v>2817853</v>
      </c>
      <c r="H421">
        <v>27.26</v>
      </c>
      <c r="I421">
        <v>34.590000000000003</v>
      </c>
      <c r="J421" s="1">
        <v>45248</v>
      </c>
      <c r="K421">
        <v>215</v>
      </c>
      <c r="L421">
        <v>2</v>
      </c>
      <c r="M421">
        <v>281785.3</v>
      </c>
      <c r="N421">
        <v>563570.6</v>
      </c>
    </row>
    <row r="422" spans="1:14" x14ac:dyDescent="0.25">
      <c r="A422" t="s">
        <v>836</v>
      </c>
      <c r="B422" t="s">
        <v>17</v>
      </c>
      <c r="C422">
        <v>38</v>
      </c>
      <c r="D422" t="s">
        <v>46</v>
      </c>
      <c r="E422" t="s">
        <v>29</v>
      </c>
      <c r="F422" t="s">
        <v>30</v>
      </c>
      <c r="G422">
        <v>4404107</v>
      </c>
      <c r="H422">
        <v>26.04</v>
      </c>
      <c r="I422">
        <v>11.59</v>
      </c>
      <c r="J422" s="1">
        <v>45413</v>
      </c>
      <c r="K422">
        <v>332</v>
      </c>
      <c r="L422">
        <v>2</v>
      </c>
      <c r="M422">
        <v>440410.7</v>
      </c>
      <c r="N422">
        <v>880821.4</v>
      </c>
    </row>
    <row r="423" spans="1:14" x14ac:dyDescent="0.25">
      <c r="A423" t="s">
        <v>838</v>
      </c>
      <c r="B423" t="s">
        <v>17</v>
      </c>
      <c r="C423">
        <v>25</v>
      </c>
      <c r="D423" t="s">
        <v>18</v>
      </c>
      <c r="E423" t="s">
        <v>57</v>
      </c>
      <c r="F423" t="s">
        <v>47</v>
      </c>
      <c r="G423">
        <v>1674429</v>
      </c>
      <c r="H423">
        <v>14.19</v>
      </c>
      <c r="I423">
        <v>42.1</v>
      </c>
      <c r="J423" s="1">
        <v>44903</v>
      </c>
      <c r="K423">
        <v>98</v>
      </c>
      <c r="L423">
        <v>3</v>
      </c>
      <c r="M423">
        <v>167442.90000000002</v>
      </c>
      <c r="N423">
        <v>502328.70000000007</v>
      </c>
    </row>
    <row r="424" spans="1:14" x14ac:dyDescent="0.25">
      <c r="A424" t="s">
        <v>839</v>
      </c>
      <c r="B424" t="s">
        <v>17</v>
      </c>
      <c r="C424">
        <v>33</v>
      </c>
      <c r="D424" t="s">
        <v>18</v>
      </c>
      <c r="E424" t="s">
        <v>50</v>
      </c>
      <c r="F424" t="s">
        <v>20</v>
      </c>
      <c r="G424">
        <v>56032</v>
      </c>
      <c r="H424">
        <v>28.1</v>
      </c>
      <c r="I424">
        <v>43.69</v>
      </c>
      <c r="J424" s="1">
        <v>44144</v>
      </c>
      <c r="K424">
        <v>332</v>
      </c>
      <c r="L424">
        <v>5</v>
      </c>
      <c r="M424">
        <v>5603.2000000000007</v>
      </c>
      <c r="N424">
        <v>28016.000000000004</v>
      </c>
    </row>
    <row r="425" spans="1:14" x14ac:dyDescent="0.25">
      <c r="A425" t="s">
        <v>840</v>
      </c>
      <c r="B425" t="s">
        <v>17</v>
      </c>
      <c r="C425">
        <v>42</v>
      </c>
      <c r="D425" t="s">
        <v>46</v>
      </c>
      <c r="E425" t="s">
        <v>50</v>
      </c>
      <c r="F425" t="s">
        <v>47</v>
      </c>
      <c r="G425">
        <v>2998416</v>
      </c>
      <c r="H425">
        <v>17.86</v>
      </c>
      <c r="I425">
        <v>40.340000000000003</v>
      </c>
      <c r="J425" s="1">
        <v>45562</v>
      </c>
      <c r="K425">
        <v>330</v>
      </c>
      <c r="L425">
        <v>1</v>
      </c>
      <c r="M425">
        <v>299841.60000000003</v>
      </c>
      <c r="N425">
        <v>299841.60000000003</v>
      </c>
    </row>
    <row r="426" spans="1:14" x14ac:dyDescent="0.25">
      <c r="A426" t="s">
        <v>842</v>
      </c>
      <c r="B426" t="s">
        <v>11</v>
      </c>
      <c r="C426">
        <v>27</v>
      </c>
      <c r="D426" t="s">
        <v>12</v>
      </c>
      <c r="E426" t="s">
        <v>57</v>
      </c>
      <c r="F426" t="s">
        <v>20</v>
      </c>
      <c r="G426">
        <v>1956860</v>
      </c>
      <c r="H426">
        <v>17.3</v>
      </c>
      <c r="I426">
        <v>10.39</v>
      </c>
      <c r="J426" s="1">
        <v>44354</v>
      </c>
      <c r="K426">
        <v>156</v>
      </c>
      <c r="L426">
        <v>5</v>
      </c>
      <c r="M426">
        <v>195686</v>
      </c>
      <c r="N426">
        <v>978430</v>
      </c>
    </row>
    <row r="427" spans="1:14" x14ac:dyDescent="0.25">
      <c r="A427" t="s">
        <v>843</v>
      </c>
      <c r="B427" t="s">
        <v>17</v>
      </c>
      <c r="C427">
        <v>34</v>
      </c>
      <c r="D427" t="s">
        <v>18</v>
      </c>
      <c r="E427" t="s">
        <v>13</v>
      </c>
      <c r="F427" t="s">
        <v>41</v>
      </c>
      <c r="G427">
        <v>1707058</v>
      </c>
      <c r="H427">
        <v>14.91</v>
      </c>
      <c r="I427">
        <v>-5.66</v>
      </c>
      <c r="J427" s="1">
        <v>43222</v>
      </c>
      <c r="K427">
        <v>330</v>
      </c>
      <c r="L427">
        <v>8</v>
      </c>
      <c r="M427">
        <v>170705.80000000002</v>
      </c>
      <c r="N427">
        <v>1365646.4000000001</v>
      </c>
    </row>
    <row r="428" spans="1:14" x14ac:dyDescent="0.25">
      <c r="A428" t="s">
        <v>845</v>
      </c>
      <c r="B428" t="s">
        <v>11</v>
      </c>
      <c r="C428">
        <v>54</v>
      </c>
      <c r="D428" t="s">
        <v>28</v>
      </c>
      <c r="E428" t="s">
        <v>57</v>
      </c>
      <c r="F428" t="s">
        <v>41</v>
      </c>
      <c r="G428">
        <v>3733978</v>
      </c>
      <c r="H428">
        <v>6.52</v>
      </c>
      <c r="I428">
        <v>-6.93</v>
      </c>
      <c r="J428" s="1">
        <v>44347</v>
      </c>
      <c r="K428">
        <v>108</v>
      </c>
      <c r="L428">
        <v>5</v>
      </c>
      <c r="M428">
        <v>373397.80000000005</v>
      </c>
      <c r="N428">
        <v>1866989.0000000002</v>
      </c>
    </row>
    <row r="429" spans="1:14" x14ac:dyDescent="0.25">
      <c r="A429" t="s">
        <v>847</v>
      </c>
      <c r="B429" t="s">
        <v>11</v>
      </c>
      <c r="C429">
        <v>47</v>
      </c>
      <c r="D429" t="s">
        <v>18</v>
      </c>
      <c r="E429" t="s">
        <v>29</v>
      </c>
      <c r="F429" t="s">
        <v>41</v>
      </c>
      <c r="G429">
        <v>2547385</v>
      </c>
      <c r="H429">
        <v>24.73</v>
      </c>
      <c r="I429">
        <v>6.66</v>
      </c>
      <c r="J429" s="1">
        <v>44145</v>
      </c>
      <c r="K429">
        <v>273</v>
      </c>
      <c r="L429">
        <v>5</v>
      </c>
      <c r="M429">
        <v>254738.5</v>
      </c>
      <c r="N429">
        <v>1273692.5</v>
      </c>
    </row>
    <row r="430" spans="1:14" x14ac:dyDescent="0.25">
      <c r="A430" t="s">
        <v>849</v>
      </c>
      <c r="B430" t="s">
        <v>17</v>
      </c>
      <c r="C430">
        <v>26</v>
      </c>
      <c r="D430" t="s">
        <v>46</v>
      </c>
      <c r="E430" t="s">
        <v>23</v>
      </c>
      <c r="F430" t="s">
        <v>20</v>
      </c>
      <c r="G430">
        <v>231613</v>
      </c>
      <c r="H430">
        <v>10.92</v>
      </c>
      <c r="I430">
        <v>35.24</v>
      </c>
      <c r="J430" s="1">
        <v>44292</v>
      </c>
      <c r="K430">
        <v>92</v>
      </c>
      <c r="L430">
        <v>5</v>
      </c>
      <c r="M430">
        <v>23161.300000000003</v>
      </c>
      <c r="N430">
        <v>115806.50000000001</v>
      </c>
    </row>
    <row r="431" spans="1:14" x14ac:dyDescent="0.25">
      <c r="A431" t="s">
        <v>851</v>
      </c>
      <c r="B431" t="s">
        <v>17</v>
      </c>
      <c r="C431">
        <v>60</v>
      </c>
      <c r="D431" t="s">
        <v>38</v>
      </c>
      <c r="E431" t="s">
        <v>50</v>
      </c>
      <c r="F431" t="s">
        <v>30</v>
      </c>
      <c r="G431">
        <v>2122436</v>
      </c>
      <c r="H431">
        <v>20.23</v>
      </c>
      <c r="I431">
        <v>39.25</v>
      </c>
      <c r="J431" s="1">
        <v>45280</v>
      </c>
      <c r="K431">
        <v>362</v>
      </c>
      <c r="L431">
        <v>2</v>
      </c>
      <c r="M431">
        <v>212243.6</v>
      </c>
      <c r="N431">
        <v>424487.2</v>
      </c>
    </row>
    <row r="432" spans="1:14" x14ac:dyDescent="0.25">
      <c r="A432" t="s">
        <v>853</v>
      </c>
      <c r="B432" t="s">
        <v>11</v>
      </c>
      <c r="C432">
        <v>53</v>
      </c>
      <c r="D432" t="s">
        <v>12</v>
      </c>
      <c r="E432" t="s">
        <v>57</v>
      </c>
      <c r="F432" t="s">
        <v>14</v>
      </c>
      <c r="G432">
        <v>4894450</v>
      </c>
      <c r="H432">
        <v>14.71</v>
      </c>
      <c r="I432">
        <v>24.35</v>
      </c>
      <c r="J432" s="1">
        <v>44869</v>
      </c>
      <c r="K432">
        <v>151</v>
      </c>
      <c r="L432">
        <v>3</v>
      </c>
      <c r="M432">
        <v>489445</v>
      </c>
      <c r="N432">
        <v>1468335</v>
      </c>
    </row>
    <row r="433" spans="1:14" x14ac:dyDescent="0.25">
      <c r="A433" t="s">
        <v>855</v>
      </c>
      <c r="B433" t="s">
        <v>17</v>
      </c>
      <c r="C433">
        <v>41</v>
      </c>
      <c r="D433" t="s">
        <v>12</v>
      </c>
      <c r="E433" t="s">
        <v>29</v>
      </c>
      <c r="F433" t="s">
        <v>20</v>
      </c>
      <c r="G433">
        <v>2507490</v>
      </c>
      <c r="H433">
        <v>18.13</v>
      </c>
      <c r="I433">
        <v>16.29</v>
      </c>
      <c r="J433" s="1">
        <v>44031</v>
      </c>
      <c r="K433">
        <v>319</v>
      </c>
      <c r="L433">
        <v>6</v>
      </c>
      <c r="M433">
        <v>250749</v>
      </c>
      <c r="N433">
        <v>1504494</v>
      </c>
    </row>
    <row r="434" spans="1:14" x14ac:dyDescent="0.25">
      <c r="A434" t="s">
        <v>857</v>
      </c>
      <c r="B434" t="s">
        <v>17</v>
      </c>
      <c r="C434">
        <v>48</v>
      </c>
      <c r="D434" t="s">
        <v>38</v>
      </c>
      <c r="E434" t="s">
        <v>13</v>
      </c>
      <c r="F434" t="s">
        <v>20</v>
      </c>
      <c r="G434">
        <v>459801</v>
      </c>
      <c r="H434">
        <v>24.91</v>
      </c>
      <c r="I434">
        <v>28.09</v>
      </c>
      <c r="J434" s="1">
        <v>44055</v>
      </c>
      <c r="K434">
        <v>237</v>
      </c>
      <c r="L434">
        <v>5</v>
      </c>
      <c r="M434">
        <v>45980.100000000006</v>
      </c>
      <c r="N434">
        <v>229900.50000000003</v>
      </c>
    </row>
    <row r="435" spans="1:14" x14ac:dyDescent="0.25">
      <c r="A435" t="s">
        <v>858</v>
      </c>
      <c r="B435" t="s">
        <v>11</v>
      </c>
      <c r="C435">
        <v>63</v>
      </c>
      <c r="D435" t="s">
        <v>18</v>
      </c>
      <c r="E435" t="s">
        <v>29</v>
      </c>
      <c r="F435" t="s">
        <v>41</v>
      </c>
      <c r="G435">
        <v>3273914</v>
      </c>
      <c r="H435">
        <v>7.02</v>
      </c>
      <c r="I435">
        <v>4.93</v>
      </c>
      <c r="J435" s="1">
        <v>45130</v>
      </c>
      <c r="K435">
        <v>280</v>
      </c>
      <c r="L435">
        <v>2</v>
      </c>
      <c r="M435">
        <v>327391.40000000002</v>
      </c>
      <c r="N435">
        <v>654782.80000000005</v>
      </c>
    </row>
    <row r="436" spans="1:14" x14ac:dyDescent="0.25">
      <c r="A436" t="s">
        <v>860</v>
      </c>
      <c r="B436" t="s">
        <v>17</v>
      </c>
      <c r="C436">
        <v>41</v>
      </c>
      <c r="D436" t="s">
        <v>46</v>
      </c>
      <c r="E436" t="s">
        <v>50</v>
      </c>
      <c r="F436" t="s">
        <v>20</v>
      </c>
      <c r="G436">
        <v>633933</v>
      </c>
      <c r="H436">
        <v>19.71</v>
      </c>
      <c r="I436">
        <v>12.31</v>
      </c>
      <c r="J436" s="1">
        <v>44604</v>
      </c>
      <c r="K436">
        <v>121</v>
      </c>
      <c r="L436">
        <v>4</v>
      </c>
      <c r="M436">
        <v>63393.3</v>
      </c>
      <c r="N436">
        <v>253573.2</v>
      </c>
    </row>
    <row r="437" spans="1:14" x14ac:dyDescent="0.25">
      <c r="A437" t="s">
        <v>861</v>
      </c>
      <c r="B437" t="s">
        <v>11</v>
      </c>
      <c r="C437">
        <v>36</v>
      </c>
      <c r="D437" t="s">
        <v>12</v>
      </c>
      <c r="E437" t="s">
        <v>50</v>
      </c>
      <c r="F437" t="s">
        <v>41</v>
      </c>
      <c r="G437">
        <v>2736159</v>
      </c>
      <c r="H437">
        <v>13</v>
      </c>
      <c r="I437">
        <v>43.2</v>
      </c>
      <c r="J437" s="1">
        <v>44838</v>
      </c>
      <c r="K437">
        <v>336</v>
      </c>
      <c r="L437">
        <v>3</v>
      </c>
      <c r="M437">
        <v>273615.90000000002</v>
      </c>
      <c r="N437">
        <v>820847.70000000007</v>
      </c>
    </row>
    <row r="438" spans="1:14" x14ac:dyDescent="0.25">
      <c r="A438" t="s">
        <v>863</v>
      </c>
      <c r="B438" t="s">
        <v>17</v>
      </c>
      <c r="C438">
        <v>24</v>
      </c>
      <c r="D438" t="s">
        <v>12</v>
      </c>
      <c r="E438" t="s">
        <v>29</v>
      </c>
      <c r="F438" t="s">
        <v>30</v>
      </c>
      <c r="G438">
        <v>2763799</v>
      </c>
      <c r="H438">
        <v>25.8</v>
      </c>
      <c r="I438">
        <v>26.46</v>
      </c>
      <c r="J438" s="1">
        <v>44541</v>
      </c>
      <c r="K438">
        <v>91</v>
      </c>
      <c r="L438">
        <v>4</v>
      </c>
      <c r="M438">
        <v>276379.90000000002</v>
      </c>
      <c r="N438">
        <v>1105519.6000000001</v>
      </c>
    </row>
    <row r="439" spans="1:14" x14ac:dyDescent="0.25">
      <c r="A439" t="s">
        <v>865</v>
      </c>
      <c r="B439" t="s">
        <v>11</v>
      </c>
      <c r="C439">
        <v>60</v>
      </c>
      <c r="D439" t="s">
        <v>18</v>
      </c>
      <c r="E439" t="s">
        <v>13</v>
      </c>
      <c r="F439" t="s">
        <v>30</v>
      </c>
      <c r="G439">
        <v>1042316</v>
      </c>
      <c r="H439">
        <v>29.49</v>
      </c>
      <c r="I439">
        <v>5.56</v>
      </c>
      <c r="J439" s="1">
        <v>43516</v>
      </c>
      <c r="K439">
        <v>32</v>
      </c>
      <c r="L439">
        <v>7</v>
      </c>
      <c r="M439">
        <v>104231.6</v>
      </c>
      <c r="N439">
        <v>729621.20000000007</v>
      </c>
    </row>
    <row r="440" spans="1:14" x14ac:dyDescent="0.25">
      <c r="A440" t="s">
        <v>867</v>
      </c>
      <c r="B440" t="s">
        <v>11</v>
      </c>
      <c r="C440">
        <v>35</v>
      </c>
      <c r="D440" t="s">
        <v>38</v>
      </c>
      <c r="E440" t="s">
        <v>19</v>
      </c>
      <c r="F440" t="s">
        <v>14</v>
      </c>
      <c r="G440">
        <v>3866600</v>
      </c>
      <c r="H440">
        <v>17.89</v>
      </c>
      <c r="I440">
        <v>25.55</v>
      </c>
      <c r="J440" s="1">
        <v>45312</v>
      </c>
      <c r="K440">
        <v>149</v>
      </c>
      <c r="L440">
        <v>2</v>
      </c>
      <c r="M440">
        <v>386660</v>
      </c>
      <c r="N440">
        <v>773320</v>
      </c>
    </row>
    <row r="441" spans="1:14" x14ac:dyDescent="0.25">
      <c r="A441" t="s">
        <v>869</v>
      </c>
      <c r="B441" t="s">
        <v>17</v>
      </c>
      <c r="C441">
        <v>53</v>
      </c>
      <c r="D441" t="s">
        <v>38</v>
      </c>
      <c r="E441" t="s">
        <v>57</v>
      </c>
      <c r="F441" t="s">
        <v>35</v>
      </c>
      <c r="G441">
        <v>277267</v>
      </c>
      <c r="H441">
        <v>34.619999999999997</v>
      </c>
      <c r="I441">
        <v>-1.1299999999999999</v>
      </c>
      <c r="J441" s="1">
        <v>43258</v>
      </c>
      <c r="K441">
        <v>102</v>
      </c>
      <c r="L441">
        <v>8</v>
      </c>
      <c r="M441">
        <v>27726.7</v>
      </c>
      <c r="N441">
        <v>221813.6</v>
      </c>
    </row>
    <row r="442" spans="1:14" x14ac:dyDescent="0.25">
      <c r="A442" t="s">
        <v>871</v>
      </c>
      <c r="B442" t="s">
        <v>11</v>
      </c>
      <c r="C442">
        <v>60</v>
      </c>
      <c r="D442" t="s">
        <v>12</v>
      </c>
      <c r="E442" t="s">
        <v>13</v>
      </c>
      <c r="F442" t="s">
        <v>30</v>
      </c>
      <c r="G442">
        <v>3855640</v>
      </c>
      <c r="H442">
        <v>17.079999999999998</v>
      </c>
      <c r="I442">
        <v>20.38</v>
      </c>
      <c r="J442" s="1">
        <v>45399</v>
      </c>
      <c r="K442">
        <v>202</v>
      </c>
      <c r="L442">
        <v>2</v>
      </c>
      <c r="M442">
        <v>385564</v>
      </c>
      <c r="N442">
        <v>771128</v>
      </c>
    </row>
    <row r="443" spans="1:14" x14ac:dyDescent="0.25">
      <c r="A443" t="s">
        <v>873</v>
      </c>
      <c r="B443" t="s">
        <v>17</v>
      </c>
      <c r="C443">
        <v>52</v>
      </c>
      <c r="D443" t="s">
        <v>12</v>
      </c>
      <c r="E443" t="s">
        <v>57</v>
      </c>
      <c r="F443" t="s">
        <v>14</v>
      </c>
      <c r="G443">
        <v>2766967</v>
      </c>
      <c r="H443">
        <v>23.11</v>
      </c>
      <c r="I443">
        <v>21.37</v>
      </c>
      <c r="J443" s="1">
        <v>43917</v>
      </c>
      <c r="K443">
        <v>298</v>
      </c>
      <c r="L443">
        <v>6</v>
      </c>
      <c r="M443">
        <v>276696.7</v>
      </c>
      <c r="N443">
        <v>1660180.2000000002</v>
      </c>
    </row>
    <row r="444" spans="1:14" x14ac:dyDescent="0.25">
      <c r="A444" t="s">
        <v>875</v>
      </c>
      <c r="B444" t="s">
        <v>11</v>
      </c>
      <c r="C444">
        <v>58</v>
      </c>
      <c r="D444" t="s">
        <v>28</v>
      </c>
      <c r="E444" t="s">
        <v>57</v>
      </c>
      <c r="F444" t="s">
        <v>14</v>
      </c>
      <c r="G444">
        <v>2232369</v>
      </c>
      <c r="H444">
        <v>29.42</v>
      </c>
      <c r="I444">
        <v>42.07</v>
      </c>
      <c r="J444" s="1">
        <v>44996</v>
      </c>
      <c r="K444">
        <v>38</v>
      </c>
      <c r="L444">
        <v>3</v>
      </c>
      <c r="M444">
        <v>223236.90000000002</v>
      </c>
      <c r="N444">
        <v>669710.70000000007</v>
      </c>
    </row>
    <row r="445" spans="1:14" x14ac:dyDescent="0.25">
      <c r="A445" t="s">
        <v>877</v>
      </c>
      <c r="B445" t="s">
        <v>17</v>
      </c>
      <c r="C445">
        <v>64</v>
      </c>
      <c r="D445" t="s">
        <v>38</v>
      </c>
      <c r="E445" t="s">
        <v>19</v>
      </c>
      <c r="F445" t="s">
        <v>14</v>
      </c>
      <c r="G445">
        <v>4534450</v>
      </c>
      <c r="H445">
        <v>19.420000000000002</v>
      </c>
      <c r="I445">
        <v>36.17</v>
      </c>
      <c r="J445" s="1">
        <v>44852</v>
      </c>
      <c r="K445">
        <v>278</v>
      </c>
      <c r="L445">
        <v>3</v>
      </c>
      <c r="M445">
        <v>453445</v>
      </c>
      <c r="N445">
        <v>1360335</v>
      </c>
    </row>
    <row r="446" spans="1:14" x14ac:dyDescent="0.25">
      <c r="A446" t="s">
        <v>878</v>
      </c>
      <c r="B446" t="s">
        <v>11</v>
      </c>
      <c r="C446">
        <v>41</v>
      </c>
      <c r="D446" t="s">
        <v>46</v>
      </c>
      <c r="E446" t="s">
        <v>13</v>
      </c>
      <c r="F446" t="s">
        <v>47</v>
      </c>
      <c r="G446">
        <v>3131575</v>
      </c>
      <c r="H446">
        <v>9.85</v>
      </c>
      <c r="I446">
        <v>15.39</v>
      </c>
      <c r="J446" s="1">
        <v>43931</v>
      </c>
      <c r="K446">
        <v>361</v>
      </c>
      <c r="L446">
        <v>6</v>
      </c>
      <c r="M446">
        <v>313157.5</v>
      </c>
      <c r="N446">
        <v>1878945</v>
      </c>
    </row>
    <row r="447" spans="1:14" x14ac:dyDescent="0.25">
      <c r="A447" t="s">
        <v>880</v>
      </c>
      <c r="B447" t="s">
        <v>17</v>
      </c>
      <c r="C447">
        <v>59</v>
      </c>
      <c r="D447" t="s">
        <v>18</v>
      </c>
      <c r="E447" t="s">
        <v>19</v>
      </c>
      <c r="F447" t="s">
        <v>35</v>
      </c>
      <c r="G447">
        <v>2720547</v>
      </c>
      <c r="H447">
        <v>31.77</v>
      </c>
      <c r="I447">
        <v>-1.5</v>
      </c>
      <c r="J447" s="1">
        <v>43420</v>
      </c>
      <c r="K447">
        <v>55</v>
      </c>
      <c r="L447">
        <v>7</v>
      </c>
      <c r="M447">
        <v>272054.7</v>
      </c>
      <c r="N447">
        <v>1904382.9000000001</v>
      </c>
    </row>
    <row r="448" spans="1:14" x14ac:dyDescent="0.25">
      <c r="A448" t="s">
        <v>882</v>
      </c>
      <c r="B448" t="s">
        <v>17</v>
      </c>
      <c r="C448">
        <v>64</v>
      </c>
      <c r="D448" t="s">
        <v>28</v>
      </c>
      <c r="E448" t="s">
        <v>57</v>
      </c>
      <c r="F448" t="s">
        <v>30</v>
      </c>
      <c r="G448">
        <v>546705</v>
      </c>
      <c r="H448">
        <v>15.55</v>
      </c>
      <c r="I448">
        <v>31.51</v>
      </c>
      <c r="J448" s="1">
        <v>45360</v>
      </c>
      <c r="K448">
        <v>365</v>
      </c>
      <c r="L448">
        <v>2</v>
      </c>
      <c r="M448">
        <v>54670.5</v>
      </c>
      <c r="N448">
        <v>109341</v>
      </c>
    </row>
    <row r="449" spans="1:14" x14ac:dyDescent="0.25">
      <c r="A449" t="s">
        <v>884</v>
      </c>
      <c r="B449" t="s">
        <v>11</v>
      </c>
      <c r="C449">
        <v>37</v>
      </c>
      <c r="D449" t="s">
        <v>12</v>
      </c>
      <c r="E449" t="s">
        <v>19</v>
      </c>
      <c r="F449" t="s">
        <v>47</v>
      </c>
      <c r="G449">
        <v>4242337</v>
      </c>
      <c r="H449">
        <v>27.39</v>
      </c>
      <c r="I449">
        <v>6.16</v>
      </c>
      <c r="J449" s="1">
        <v>44522</v>
      </c>
      <c r="K449">
        <v>333</v>
      </c>
      <c r="L449">
        <v>4</v>
      </c>
      <c r="M449">
        <v>424233.7</v>
      </c>
      <c r="N449">
        <v>1696934.8</v>
      </c>
    </row>
    <row r="450" spans="1:14" x14ac:dyDescent="0.25">
      <c r="A450" t="s">
        <v>886</v>
      </c>
      <c r="B450" t="s">
        <v>11</v>
      </c>
      <c r="C450">
        <v>30</v>
      </c>
      <c r="D450" t="s">
        <v>38</v>
      </c>
      <c r="E450" t="s">
        <v>23</v>
      </c>
      <c r="F450" t="s">
        <v>20</v>
      </c>
      <c r="G450">
        <v>4379024</v>
      </c>
      <c r="H450">
        <v>5.91</v>
      </c>
      <c r="I450">
        <v>5.86</v>
      </c>
      <c r="J450" s="1">
        <v>44658</v>
      </c>
      <c r="K450">
        <v>260</v>
      </c>
      <c r="L450">
        <v>4</v>
      </c>
      <c r="M450">
        <v>437902.4</v>
      </c>
      <c r="N450">
        <v>1751609.6</v>
      </c>
    </row>
    <row r="451" spans="1:14" x14ac:dyDescent="0.25">
      <c r="A451" t="s">
        <v>888</v>
      </c>
      <c r="B451" t="s">
        <v>17</v>
      </c>
      <c r="C451">
        <v>53</v>
      </c>
      <c r="D451" t="s">
        <v>12</v>
      </c>
      <c r="E451" t="s">
        <v>50</v>
      </c>
      <c r="F451" t="s">
        <v>47</v>
      </c>
      <c r="G451">
        <v>2343358</v>
      </c>
      <c r="H451">
        <v>15.03</v>
      </c>
      <c r="I451">
        <v>25.9</v>
      </c>
      <c r="J451" s="1">
        <v>44384</v>
      </c>
      <c r="K451">
        <v>332</v>
      </c>
      <c r="L451">
        <v>5</v>
      </c>
      <c r="M451">
        <v>234335.80000000002</v>
      </c>
      <c r="N451">
        <v>1171679</v>
      </c>
    </row>
    <row r="452" spans="1:14" x14ac:dyDescent="0.25">
      <c r="A452" t="s">
        <v>890</v>
      </c>
      <c r="B452" t="s">
        <v>17</v>
      </c>
      <c r="C452">
        <v>63</v>
      </c>
      <c r="D452" t="s">
        <v>28</v>
      </c>
      <c r="E452" t="s">
        <v>23</v>
      </c>
      <c r="F452" t="s">
        <v>41</v>
      </c>
      <c r="G452">
        <v>2395112</v>
      </c>
      <c r="H452">
        <v>32.020000000000003</v>
      </c>
      <c r="I452">
        <v>1.6</v>
      </c>
      <c r="J452" s="1">
        <v>43358</v>
      </c>
      <c r="K452">
        <v>66</v>
      </c>
      <c r="L452">
        <v>7</v>
      </c>
      <c r="M452">
        <v>239511.2</v>
      </c>
      <c r="N452">
        <v>1676578.4000000001</v>
      </c>
    </row>
    <row r="453" spans="1:14" x14ac:dyDescent="0.25">
      <c r="A453" t="s">
        <v>892</v>
      </c>
      <c r="B453" t="s">
        <v>11</v>
      </c>
      <c r="C453">
        <v>44</v>
      </c>
      <c r="D453" t="s">
        <v>12</v>
      </c>
      <c r="E453" t="s">
        <v>13</v>
      </c>
      <c r="F453" t="s">
        <v>14</v>
      </c>
      <c r="G453">
        <v>4031968</v>
      </c>
      <c r="H453">
        <v>22.77</v>
      </c>
      <c r="I453">
        <v>41.58</v>
      </c>
      <c r="J453" s="1">
        <v>44218</v>
      </c>
      <c r="K453">
        <v>76</v>
      </c>
      <c r="L453">
        <v>5</v>
      </c>
      <c r="M453">
        <v>403196.80000000005</v>
      </c>
      <c r="N453">
        <v>2015984.0000000002</v>
      </c>
    </row>
    <row r="454" spans="1:14" x14ac:dyDescent="0.25">
      <c r="A454" t="s">
        <v>894</v>
      </c>
      <c r="B454" t="s">
        <v>11</v>
      </c>
      <c r="C454">
        <v>44</v>
      </c>
      <c r="D454" t="s">
        <v>12</v>
      </c>
      <c r="E454" t="s">
        <v>29</v>
      </c>
      <c r="F454" t="s">
        <v>20</v>
      </c>
      <c r="G454">
        <v>682376</v>
      </c>
      <c r="H454">
        <v>16.899999999999999</v>
      </c>
      <c r="I454">
        <v>29.99</v>
      </c>
      <c r="J454" s="1">
        <v>43918</v>
      </c>
      <c r="K454">
        <v>155</v>
      </c>
      <c r="L454">
        <v>6</v>
      </c>
      <c r="M454">
        <v>68237.600000000006</v>
      </c>
      <c r="N454">
        <v>409425.60000000003</v>
      </c>
    </row>
    <row r="455" spans="1:14" x14ac:dyDescent="0.25">
      <c r="A455" t="s">
        <v>896</v>
      </c>
      <c r="B455" t="s">
        <v>11</v>
      </c>
      <c r="C455">
        <v>47</v>
      </c>
      <c r="D455" t="s">
        <v>18</v>
      </c>
      <c r="E455" t="s">
        <v>29</v>
      </c>
      <c r="F455" t="s">
        <v>35</v>
      </c>
      <c r="G455">
        <v>4847536</v>
      </c>
      <c r="H455">
        <v>14.87</v>
      </c>
      <c r="I455">
        <v>20.09</v>
      </c>
      <c r="J455" s="1">
        <v>44049</v>
      </c>
      <c r="K455">
        <v>42</v>
      </c>
      <c r="L455">
        <v>5</v>
      </c>
      <c r="M455">
        <v>484753.60000000003</v>
      </c>
      <c r="N455">
        <v>2423768</v>
      </c>
    </row>
    <row r="456" spans="1:14" x14ac:dyDescent="0.25">
      <c r="A456" t="s">
        <v>898</v>
      </c>
      <c r="B456" t="s">
        <v>11</v>
      </c>
      <c r="C456">
        <v>61</v>
      </c>
      <c r="D456" t="s">
        <v>46</v>
      </c>
      <c r="E456" t="s">
        <v>50</v>
      </c>
      <c r="F456" t="s">
        <v>30</v>
      </c>
      <c r="G456">
        <v>2641784</v>
      </c>
      <c r="H456">
        <v>8.34</v>
      </c>
      <c r="I456">
        <v>41.14</v>
      </c>
      <c r="J456" s="1">
        <v>45540</v>
      </c>
      <c r="K456">
        <v>73</v>
      </c>
      <c r="L456">
        <v>1</v>
      </c>
      <c r="M456">
        <v>264178.40000000002</v>
      </c>
      <c r="N456">
        <v>264178.40000000002</v>
      </c>
    </row>
    <row r="457" spans="1:14" x14ac:dyDescent="0.25">
      <c r="A457" t="s">
        <v>900</v>
      </c>
      <c r="B457" t="s">
        <v>17</v>
      </c>
      <c r="C457">
        <v>54</v>
      </c>
      <c r="D457" t="s">
        <v>38</v>
      </c>
      <c r="E457" t="s">
        <v>29</v>
      </c>
      <c r="F457" t="s">
        <v>30</v>
      </c>
      <c r="G457">
        <v>2048635</v>
      </c>
      <c r="H457">
        <v>17.93</v>
      </c>
      <c r="I457">
        <v>12.47</v>
      </c>
      <c r="J457" s="1">
        <v>44211</v>
      </c>
      <c r="K457">
        <v>160</v>
      </c>
      <c r="L457">
        <v>5</v>
      </c>
      <c r="M457">
        <v>204863.5</v>
      </c>
      <c r="N457">
        <v>1024317.5</v>
      </c>
    </row>
    <row r="458" spans="1:14" x14ac:dyDescent="0.25">
      <c r="A458" t="s">
        <v>901</v>
      </c>
      <c r="B458" t="s">
        <v>17</v>
      </c>
      <c r="C458">
        <v>25</v>
      </c>
      <c r="D458" t="s">
        <v>38</v>
      </c>
      <c r="E458" t="s">
        <v>19</v>
      </c>
      <c r="F458" t="s">
        <v>20</v>
      </c>
      <c r="G458">
        <v>921492</v>
      </c>
      <c r="H458">
        <v>6.28</v>
      </c>
      <c r="I458">
        <v>18.32</v>
      </c>
      <c r="J458" s="1">
        <v>44464</v>
      </c>
      <c r="K458">
        <v>351</v>
      </c>
      <c r="L458">
        <v>4</v>
      </c>
      <c r="M458">
        <v>92149.200000000012</v>
      </c>
      <c r="N458">
        <v>368596.80000000005</v>
      </c>
    </row>
    <row r="459" spans="1:14" x14ac:dyDescent="0.25">
      <c r="A459" t="s">
        <v>903</v>
      </c>
      <c r="B459" t="s">
        <v>17</v>
      </c>
      <c r="C459">
        <v>33</v>
      </c>
      <c r="D459" t="s">
        <v>46</v>
      </c>
      <c r="E459" t="s">
        <v>50</v>
      </c>
      <c r="F459" t="s">
        <v>30</v>
      </c>
      <c r="G459">
        <v>4286266</v>
      </c>
      <c r="H459">
        <v>32.57</v>
      </c>
      <c r="I459">
        <v>28.72</v>
      </c>
      <c r="J459" s="1">
        <v>43117</v>
      </c>
      <c r="K459">
        <v>332</v>
      </c>
      <c r="L459">
        <v>8</v>
      </c>
      <c r="M459">
        <v>428626.60000000003</v>
      </c>
      <c r="N459">
        <v>3429012.8000000003</v>
      </c>
    </row>
    <row r="460" spans="1:14" x14ac:dyDescent="0.25">
      <c r="A460" t="s">
        <v>905</v>
      </c>
      <c r="B460" t="s">
        <v>11</v>
      </c>
      <c r="C460">
        <v>50</v>
      </c>
      <c r="D460" t="s">
        <v>38</v>
      </c>
      <c r="E460" t="s">
        <v>29</v>
      </c>
      <c r="F460" t="s">
        <v>47</v>
      </c>
      <c r="G460">
        <v>4928607</v>
      </c>
      <c r="H460">
        <v>9.4700000000000006</v>
      </c>
      <c r="I460">
        <v>44.93</v>
      </c>
      <c r="J460" s="1">
        <v>44621</v>
      </c>
      <c r="K460">
        <v>94</v>
      </c>
      <c r="L460">
        <v>4</v>
      </c>
      <c r="M460">
        <v>492860.7</v>
      </c>
      <c r="N460">
        <v>1971442.8</v>
      </c>
    </row>
    <row r="461" spans="1:14" x14ac:dyDescent="0.25">
      <c r="A461" t="s">
        <v>907</v>
      </c>
      <c r="B461" t="s">
        <v>17</v>
      </c>
      <c r="C461">
        <v>24</v>
      </c>
      <c r="D461" t="s">
        <v>28</v>
      </c>
      <c r="E461" t="s">
        <v>23</v>
      </c>
      <c r="F461" t="s">
        <v>35</v>
      </c>
      <c r="G461">
        <v>4627814</v>
      </c>
      <c r="H461">
        <v>8.56</v>
      </c>
      <c r="I461">
        <v>5.32</v>
      </c>
      <c r="J461" s="1">
        <v>45388</v>
      </c>
      <c r="K461">
        <v>195</v>
      </c>
      <c r="L461">
        <v>2</v>
      </c>
      <c r="M461">
        <v>462781.4</v>
      </c>
      <c r="N461">
        <v>925562.8</v>
      </c>
    </row>
    <row r="462" spans="1:14" x14ac:dyDescent="0.25">
      <c r="A462" t="s">
        <v>909</v>
      </c>
      <c r="B462" t="s">
        <v>11</v>
      </c>
      <c r="C462">
        <v>25</v>
      </c>
      <c r="D462" t="s">
        <v>12</v>
      </c>
      <c r="E462" t="s">
        <v>13</v>
      </c>
      <c r="F462" t="s">
        <v>30</v>
      </c>
      <c r="G462">
        <v>204632</v>
      </c>
      <c r="H462">
        <v>7.62</v>
      </c>
      <c r="I462">
        <v>5.9</v>
      </c>
      <c r="J462" s="1">
        <v>44526</v>
      </c>
      <c r="K462">
        <v>117</v>
      </c>
      <c r="L462">
        <v>4</v>
      </c>
      <c r="M462">
        <v>20463.2</v>
      </c>
      <c r="N462">
        <v>81852.800000000003</v>
      </c>
    </row>
    <row r="463" spans="1:14" x14ac:dyDescent="0.25">
      <c r="A463" t="s">
        <v>911</v>
      </c>
      <c r="B463" t="s">
        <v>11</v>
      </c>
      <c r="C463">
        <v>56</v>
      </c>
      <c r="D463" t="s">
        <v>38</v>
      </c>
      <c r="E463" t="s">
        <v>57</v>
      </c>
      <c r="F463" t="s">
        <v>41</v>
      </c>
      <c r="G463">
        <v>2974151</v>
      </c>
      <c r="H463">
        <v>10.28</v>
      </c>
      <c r="I463">
        <v>27.23</v>
      </c>
      <c r="J463" s="1">
        <v>43560</v>
      </c>
      <c r="K463">
        <v>84</v>
      </c>
      <c r="L463">
        <v>7</v>
      </c>
      <c r="M463">
        <v>297415.10000000003</v>
      </c>
      <c r="N463">
        <v>2081905.7000000002</v>
      </c>
    </row>
    <row r="464" spans="1:14" x14ac:dyDescent="0.25">
      <c r="A464" t="s">
        <v>913</v>
      </c>
      <c r="B464" t="s">
        <v>17</v>
      </c>
      <c r="C464">
        <v>55</v>
      </c>
      <c r="D464" t="s">
        <v>46</v>
      </c>
      <c r="E464" t="s">
        <v>23</v>
      </c>
      <c r="F464" t="s">
        <v>41</v>
      </c>
      <c r="G464">
        <v>1802914</v>
      </c>
      <c r="H464">
        <v>25.93</v>
      </c>
      <c r="I464">
        <v>11.93</v>
      </c>
      <c r="J464" s="1">
        <v>44504</v>
      </c>
      <c r="K464">
        <v>159</v>
      </c>
      <c r="L464">
        <v>4</v>
      </c>
      <c r="M464">
        <v>180291.40000000002</v>
      </c>
      <c r="N464">
        <v>721165.60000000009</v>
      </c>
    </row>
    <row r="465" spans="1:14" x14ac:dyDescent="0.25">
      <c r="A465" t="s">
        <v>915</v>
      </c>
      <c r="B465" t="s">
        <v>11</v>
      </c>
      <c r="C465">
        <v>40</v>
      </c>
      <c r="D465" t="s">
        <v>12</v>
      </c>
      <c r="E465" t="s">
        <v>19</v>
      </c>
      <c r="F465" t="s">
        <v>14</v>
      </c>
      <c r="G465">
        <v>808165</v>
      </c>
      <c r="H465">
        <v>13.99</v>
      </c>
      <c r="I465">
        <v>-5.15</v>
      </c>
      <c r="J465" s="1">
        <v>45549</v>
      </c>
      <c r="K465">
        <v>76</v>
      </c>
      <c r="L465">
        <v>1</v>
      </c>
      <c r="M465">
        <v>80816.5</v>
      </c>
      <c r="N465">
        <v>80816.5</v>
      </c>
    </row>
    <row r="466" spans="1:14" x14ac:dyDescent="0.25">
      <c r="A466" t="s">
        <v>917</v>
      </c>
      <c r="B466" t="s">
        <v>17</v>
      </c>
      <c r="C466">
        <v>60</v>
      </c>
      <c r="D466" t="s">
        <v>28</v>
      </c>
      <c r="E466" t="s">
        <v>29</v>
      </c>
      <c r="F466" t="s">
        <v>30</v>
      </c>
      <c r="G466">
        <v>3206026</v>
      </c>
      <c r="H466">
        <v>19.739999999999998</v>
      </c>
      <c r="I466">
        <v>1.97</v>
      </c>
      <c r="J466" s="1">
        <v>45572</v>
      </c>
      <c r="K466">
        <v>85</v>
      </c>
      <c r="L466">
        <v>1</v>
      </c>
      <c r="M466">
        <v>320602.60000000003</v>
      </c>
      <c r="N466">
        <v>320602.60000000003</v>
      </c>
    </row>
    <row r="467" spans="1:14" x14ac:dyDescent="0.25">
      <c r="A467" t="s">
        <v>919</v>
      </c>
      <c r="B467" t="s">
        <v>17</v>
      </c>
      <c r="C467">
        <v>41</v>
      </c>
      <c r="D467" t="s">
        <v>46</v>
      </c>
      <c r="E467" t="s">
        <v>57</v>
      </c>
      <c r="F467" t="s">
        <v>20</v>
      </c>
      <c r="G467">
        <v>4938652</v>
      </c>
      <c r="H467">
        <v>23.71</v>
      </c>
      <c r="I467">
        <v>3.04</v>
      </c>
      <c r="J467" s="1">
        <v>44933</v>
      </c>
      <c r="K467">
        <v>173</v>
      </c>
      <c r="L467">
        <v>3</v>
      </c>
      <c r="M467">
        <v>493865.2</v>
      </c>
      <c r="N467">
        <v>1481595.6</v>
      </c>
    </row>
    <row r="468" spans="1:14" x14ac:dyDescent="0.25">
      <c r="A468" t="s">
        <v>921</v>
      </c>
      <c r="B468" t="s">
        <v>11</v>
      </c>
      <c r="C468">
        <v>26</v>
      </c>
      <c r="D468" t="s">
        <v>46</v>
      </c>
      <c r="E468" t="s">
        <v>23</v>
      </c>
      <c r="F468" t="s">
        <v>30</v>
      </c>
      <c r="G468">
        <v>2349472</v>
      </c>
      <c r="H468">
        <v>19.96</v>
      </c>
      <c r="I468">
        <v>36.36</v>
      </c>
      <c r="J468" s="1">
        <v>44034</v>
      </c>
      <c r="K468">
        <v>42</v>
      </c>
      <c r="L468">
        <v>5</v>
      </c>
      <c r="M468">
        <v>234947.20000000001</v>
      </c>
      <c r="N468">
        <v>1174736</v>
      </c>
    </row>
    <row r="469" spans="1:14" x14ac:dyDescent="0.25">
      <c r="A469" t="s">
        <v>923</v>
      </c>
      <c r="B469" t="s">
        <v>17</v>
      </c>
      <c r="C469">
        <v>33</v>
      </c>
      <c r="D469" t="s">
        <v>12</v>
      </c>
      <c r="E469" t="s">
        <v>29</v>
      </c>
      <c r="F469" t="s">
        <v>35</v>
      </c>
      <c r="G469">
        <v>4269660</v>
      </c>
      <c r="H469">
        <v>7.21</v>
      </c>
      <c r="I469">
        <v>2.59</v>
      </c>
      <c r="J469" s="1">
        <v>44009</v>
      </c>
      <c r="K469">
        <v>140</v>
      </c>
      <c r="L469">
        <v>6</v>
      </c>
      <c r="M469">
        <v>426966</v>
      </c>
      <c r="N469">
        <v>2561796</v>
      </c>
    </row>
    <row r="470" spans="1:14" x14ac:dyDescent="0.25">
      <c r="A470" t="s">
        <v>925</v>
      </c>
      <c r="B470" t="s">
        <v>17</v>
      </c>
      <c r="C470">
        <v>22</v>
      </c>
      <c r="D470" t="s">
        <v>12</v>
      </c>
      <c r="E470" t="s">
        <v>13</v>
      </c>
      <c r="F470" t="s">
        <v>35</v>
      </c>
      <c r="G470">
        <v>4159437</v>
      </c>
      <c r="H470">
        <v>22.33</v>
      </c>
      <c r="I470">
        <v>29.16</v>
      </c>
      <c r="J470" s="1">
        <v>44074</v>
      </c>
      <c r="K470">
        <v>267</v>
      </c>
      <c r="L470">
        <v>5</v>
      </c>
      <c r="M470">
        <v>415943.7</v>
      </c>
      <c r="N470">
        <v>2079718.5</v>
      </c>
    </row>
    <row r="471" spans="1:14" x14ac:dyDescent="0.25">
      <c r="A471" t="s">
        <v>927</v>
      </c>
      <c r="B471" t="s">
        <v>17</v>
      </c>
      <c r="C471">
        <v>59</v>
      </c>
      <c r="D471" t="s">
        <v>28</v>
      </c>
      <c r="E471" t="s">
        <v>23</v>
      </c>
      <c r="F471" t="s">
        <v>30</v>
      </c>
      <c r="G471">
        <v>4528640</v>
      </c>
      <c r="H471">
        <v>20.94</v>
      </c>
      <c r="I471">
        <v>16.47</v>
      </c>
      <c r="J471" s="1">
        <v>43683</v>
      </c>
      <c r="K471">
        <v>183</v>
      </c>
      <c r="L471">
        <v>6</v>
      </c>
      <c r="M471">
        <v>452864</v>
      </c>
      <c r="N471">
        <v>2717184</v>
      </c>
    </row>
    <row r="472" spans="1:14" x14ac:dyDescent="0.25">
      <c r="A472" t="s">
        <v>928</v>
      </c>
      <c r="B472" t="s">
        <v>11</v>
      </c>
      <c r="C472">
        <v>63</v>
      </c>
      <c r="D472" t="s">
        <v>38</v>
      </c>
      <c r="E472" t="s">
        <v>57</v>
      </c>
      <c r="F472" t="s">
        <v>47</v>
      </c>
      <c r="G472">
        <v>3270605</v>
      </c>
      <c r="H472">
        <v>23.93</v>
      </c>
      <c r="I472">
        <v>-2.27</v>
      </c>
      <c r="J472" s="1">
        <v>43599</v>
      </c>
      <c r="K472">
        <v>172</v>
      </c>
      <c r="L472">
        <v>7</v>
      </c>
      <c r="M472">
        <v>327060.5</v>
      </c>
      <c r="N472">
        <v>2289423.5</v>
      </c>
    </row>
    <row r="473" spans="1:14" x14ac:dyDescent="0.25">
      <c r="A473" t="s">
        <v>930</v>
      </c>
      <c r="B473" t="s">
        <v>17</v>
      </c>
      <c r="C473">
        <v>27</v>
      </c>
      <c r="D473" t="s">
        <v>28</v>
      </c>
      <c r="E473" t="s">
        <v>50</v>
      </c>
      <c r="F473" t="s">
        <v>47</v>
      </c>
      <c r="G473">
        <v>3979757</v>
      </c>
      <c r="H473">
        <v>11.46</v>
      </c>
      <c r="I473">
        <v>20.77</v>
      </c>
      <c r="J473" s="1">
        <v>43822</v>
      </c>
      <c r="K473">
        <v>84</v>
      </c>
      <c r="L473">
        <v>6</v>
      </c>
      <c r="M473">
        <v>397975.7</v>
      </c>
      <c r="N473">
        <v>2387854.2000000002</v>
      </c>
    </row>
    <row r="474" spans="1:14" x14ac:dyDescent="0.25">
      <c r="A474" t="s">
        <v>932</v>
      </c>
      <c r="B474" t="s">
        <v>17</v>
      </c>
      <c r="C474">
        <v>23</v>
      </c>
      <c r="D474" t="s">
        <v>46</v>
      </c>
      <c r="E474" t="s">
        <v>29</v>
      </c>
      <c r="F474" t="s">
        <v>41</v>
      </c>
      <c r="G474">
        <v>3568943</v>
      </c>
      <c r="H474">
        <v>15.08</v>
      </c>
      <c r="I474">
        <v>17.88</v>
      </c>
      <c r="J474" s="1">
        <v>44407</v>
      </c>
      <c r="K474">
        <v>17</v>
      </c>
      <c r="L474">
        <v>4</v>
      </c>
      <c r="M474">
        <v>356894.30000000005</v>
      </c>
      <c r="N474">
        <v>1427577.2000000002</v>
      </c>
    </row>
    <row r="475" spans="1:14" x14ac:dyDescent="0.25">
      <c r="A475" t="s">
        <v>934</v>
      </c>
      <c r="B475" t="s">
        <v>11</v>
      </c>
      <c r="C475">
        <v>30</v>
      </c>
      <c r="D475" t="s">
        <v>38</v>
      </c>
      <c r="E475" t="s">
        <v>57</v>
      </c>
      <c r="F475" t="s">
        <v>14</v>
      </c>
      <c r="G475">
        <v>637323</v>
      </c>
      <c r="H475">
        <v>21.92</v>
      </c>
      <c r="I475">
        <v>-6.78</v>
      </c>
      <c r="J475" s="1">
        <v>43187</v>
      </c>
      <c r="K475">
        <v>136</v>
      </c>
      <c r="L475">
        <v>8</v>
      </c>
      <c r="M475">
        <v>63732.3</v>
      </c>
      <c r="N475">
        <v>509858.4</v>
      </c>
    </row>
    <row r="476" spans="1:14" x14ac:dyDescent="0.25">
      <c r="A476" t="s">
        <v>936</v>
      </c>
      <c r="B476" t="s">
        <v>11</v>
      </c>
      <c r="C476">
        <v>28</v>
      </c>
      <c r="D476" t="s">
        <v>38</v>
      </c>
      <c r="E476" t="s">
        <v>23</v>
      </c>
      <c r="F476" t="s">
        <v>20</v>
      </c>
      <c r="G476">
        <v>2247831</v>
      </c>
      <c r="H476">
        <v>34.26</v>
      </c>
      <c r="I476">
        <v>15.48</v>
      </c>
      <c r="J476" s="1">
        <v>44859</v>
      </c>
      <c r="K476">
        <v>342</v>
      </c>
      <c r="L476">
        <v>3</v>
      </c>
      <c r="M476">
        <v>224783.1</v>
      </c>
      <c r="N476">
        <v>674349.3</v>
      </c>
    </row>
    <row r="477" spans="1:14" x14ac:dyDescent="0.25">
      <c r="A477" t="s">
        <v>938</v>
      </c>
      <c r="B477" t="s">
        <v>11</v>
      </c>
      <c r="C477">
        <v>49</v>
      </c>
      <c r="D477" t="s">
        <v>28</v>
      </c>
      <c r="E477" t="s">
        <v>13</v>
      </c>
      <c r="F477" t="s">
        <v>41</v>
      </c>
      <c r="G477">
        <v>636721</v>
      </c>
      <c r="H477">
        <v>18.75</v>
      </c>
      <c r="I477">
        <v>29.29</v>
      </c>
      <c r="J477" s="1">
        <v>44620</v>
      </c>
      <c r="K477">
        <v>89</v>
      </c>
      <c r="L477">
        <v>4</v>
      </c>
      <c r="M477">
        <v>63672.100000000006</v>
      </c>
      <c r="N477">
        <v>254688.40000000002</v>
      </c>
    </row>
    <row r="478" spans="1:14" x14ac:dyDescent="0.25">
      <c r="A478" t="s">
        <v>939</v>
      </c>
      <c r="B478" t="s">
        <v>17</v>
      </c>
      <c r="C478">
        <v>52</v>
      </c>
      <c r="D478" t="s">
        <v>46</v>
      </c>
      <c r="E478" t="s">
        <v>50</v>
      </c>
      <c r="F478" t="s">
        <v>20</v>
      </c>
      <c r="G478">
        <v>4183596</v>
      </c>
      <c r="H478">
        <v>12.15</v>
      </c>
      <c r="I478">
        <v>15.91</v>
      </c>
      <c r="J478" s="1">
        <v>43394</v>
      </c>
      <c r="K478">
        <v>108</v>
      </c>
      <c r="L478">
        <v>7</v>
      </c>
      <c r="M478">
        <v>418359.60000000003</v>
      </c>
      <c r="N478">
        <v>2928517.2</v>
      </c>
    </row>
    <row r="479" spans="1:14" x14ac:dyDescent="0.25">
      <c r="A479" t="s">
        <v>941</v>
      </c>
      <c r="B479" t="s">
        <v>11</v>
      </c>
      <c r="C479">
        <v>51</v>
      </c>
      <c r="D479" t="s">
        <v>38</v>
      </c>
      <c r="E479" t="s">
        <v>19</v>
      </c>
      <c r="F479" t="s">
        <v>41</v>
      </c>
      <c r="G479">
        <v>1185697</v>
      </c>
      <c r="H479">
        <v>20.11</v>
      </c>
      <c r="I479">
        <v>36.6</v>
      </c>
      <c r="J479" s="1">
        <v>43172</v>
      </c>
      <c r="K479">
        <v>20</v>
      </c>
      <c r="L479">
        <v>8</v>
      </c>
      <c r="M479">
        <v>118569.70000000001</v>
      </c>
      <c r="N479">
        <v>948557.60000000009</v>
      </c>
    </row>
    <row r="480" spans="1:14" x14ac:dyDescent="0.25">
      <c r="A480" t="s">
        <v>943</v>
      </c>
      <c r="B480" t="s">
        <v>11</v>
      </c>
      <c r="C480">
        <v>63</v>
      </c>
      <c r="D480" t="s">
        <v>18</v>
      </c>
      <c r="E480" t="s">
        <v>50</v>
      </c>
      <c r="F480" t="s">
        <v>35</v>
      </c>
      <c r="G480">
        <v>3562372</v>
      </c>
      <c r="H480">
        <v>33.950000000000003</v>
      </c>
      <c r="I480">
        <v>-1.89</v>
      </c>
      <c r="J480" s="1">
        <v>43947</v>
      </c>
      <c r="K480">
        <v>65</v>
      </c>
      <c r="L480">
        <v>6</v>
      </c>
      <c r="M480">
        <v>356237.2</v>
      </c>
      <c r="N480">
        <v>2137423.2000000002</v>
      </c>
    </row>
    <row r="481" spans="1:14" x14ac:dyDescent="0.25">
      <c r="A481" t="s">
        <v>945</v>
      </c>
      <c r="B481" t="s">
        <v>17</v>
      </c>
      <c r="C481">
        <v>58</v>
      </c>
      <c r="D481" t="s">
        <v>18</v>
      </c>
      <c r="E481" t="s">
        <v>50</v>
      </c>
      <c r="F481" t="s">
        <v>14</v>
      </c>
      <c r="G481">
        <v>4202753</v>
      </c>
      <c r="H481">
        <v>7.84</v>
      </c>
      <c r="I481">
        <v>-7.56</v>
      </c>
      <c r="J481" s="1">
        <v>44596</v>
      </c>
      <c r="K481">
        <v>114</v>
      </c>
      <c r="L481">
        <v>4</v>
      </c>
      <c r="M481">
        <v>420275.30000000005</v>
      </c>
      <c r="N481">
        <v>1681101.2000000002</v>
      </c>
    </row>
    <row r="482" spans="1:14" x14ac:dyDescent="0.25">
      <c r="A482" t="s">
        <v>947</v>
      </c>
      <c r="B482" t="s">
        <v>17</v>
      </c>
      <c r="C482">
        <v>51</v>
      </c>
      <c r="D482" t="s">
        <v>28</v>
      </c>
      <c r="E482" t="s">
        <v>29</v>
      </c>
      <c r="F482" t="s">
        <v>47</v>
      </c>
      <c r="G482">
        <v>2095006</v>
      </c>
      <c r="H482">
        <v>14.46</v>
      </c>
      <c r="I482">
        <v>-1.38</v>
      </c>
      <c r="J482" s="1">
        <v>43813</v>
      </c>
      <c r="K482">
        <v>33</v>
      </c>
      <c r="L482">
        <v>6</v>
      </c>
      <c r="M482">
        <v>209500.6</v>
      </c>
      <c r="N482">
        <v>1257003.6000000001</v>
      </c>
    </row>
    <row r="483" spans="1:14" x14ac:dyDescent="0.25">
      <c r="A483" t="s">
        <v>949</v>
      </c>
      <c r="B483" t="s">
        <v>17</v>
      </c>
      <c r="C483">
        <v>25</v>
      </c>
      <c r="D483" t="s">
        <v>28</v>
      </c>
      <c r="E483" t="s">
        <v>13</v>
      </c>
      <c r="F483" t="s">
        <v>35</v>
      </c>
      <c r="G483">
        <v>3578639</v>
      </c>
      <c r="H483">
        <v>28.71</v>
      </c>
      <c r="I483">
        <v>44.62</v>
      </c>
      <c r="J483" s="1">
        <v>44794</v>
      </c>
      <c r="K483">
        <v>152</v>
      </c>
      <c r="L483">
        <v>3</v>
      </c>
      <c r="M483">
        <v>357863.9</v>
      </c>
      <c r="N483">
        <v>1073591.7000000002</v>
      </c>
    </row>
    <row r="484" spans="1:14" x14ac:dyDescent="0.25">
      <c r="A484" t="s">
        <v>951</v>
      </c>
      <c r="B484" t="s">
        <v>11</v>
      </c>
      <c r="C484">
        <v>63</v>
      </c>
      <c r="D484" t="s">
        <v>28</v>
      </c>
      <c r="E484" t="s">
        <v>13</v>
      </c>
      <c r="F484" t="s">
        <v>35</v>
      </c>
      <c r="G484">
        <v>1127606</v>
      </c>
      <c r="H484">
        <v>8.89</v>
      </c>
      <c r="I484">
        <v>2.08</v>
      </c>
      <c r="J484" s="1">
        <v>45304</v>
      </c>
      <c r="K484">
        <v>304</v>
      </c>
      <c r="L484">
        <v>2</v>
      </c>
      <c r="M484">
        <v>112760.6</v>
      </c>
      <c r="N484">
        <v>225521.2</v>
      </c>
    </row>
    <row r="485" spans="1:14" x14ac:dyDescent="0.25">
      <c r="A485" t="s">
        <v>953</v>
      </c>
      <c r="B485" t="s">
        <v>17</v>
      </c>
      <c r="C485">
        <v>26</v>
      </c>
      <c r="D485" t="s">
        <v>38</v>
      </c>
      <c r="E485" t="s">
        <v>19</v>
      </c>
      <c r="F485" t="s">
        <v>47</v>
      </c>
      <c r="G485">
        <v>2244682</v>
      </c>
      <c r="H485">
        <v>14.45</v>
      </c>
      <c r="I485">
        <v>-8.19</v>
      </c>
      <c r="J485" s="1">
        <v>43992</v>
      </c>
      <c r="K485">
        <v>200</v>
      </c>
      <c r="L485">
        <v>6</v>
      </c>
      <c r="M485">
        <v>224468.2</v>
      </c>
      <c r="N485">
        <v>1346809.2000000002</v>
      </c>
    </row>
    <row r="486" spans="1:14" x14ac:dyDescent="0.25">
      <c r="A486" t="s">
        <v>955</v>
      </c>
      <c r="B486" t="s">
        <v>11</v>
      </c>
      <c r="C486">
        <v>34</v>
      </c>
      <c r="D486" t="s">
        <v>18</v>
      </c>
      <c r="E486" t="s">
        <v>23</v>
      </c>
      <c r="F486" t="s">
        <v>41</v>
      </c>
      <c r="G486">
        <v>4250353</v>
      </c>
      <c r="H486">
        <v>9.35</v>
      </c>
      <c r="I486">
        <v>29.55</v>
      </c>
      <c r="J486" s="1">
        <v>43503</v>
      </c>
      <c r="K486">
        <v>252</v>
      </c>
      <c r="L486">
        <v>7</v>
      </c>
      <c r="M486">
        <v>425035.30000000005</v>
      </c>
      <c r="N486">
        <v>2975247.1000000006</v>
      </c>
    </row>
    <row r="487" spans="1:14" x14ac:dyDescent="0.25">
      <c r="A487" t="s">
        <v>957</v>
      </c>
      <c r="B487" t="s">
        <v>17</v>
      </c>
      <c r="C487">
        <v>24</v>
      </c>
      <c r="D487" t="s">
        <v>12</v>
      </c>
      <c r="E487" t="s">
        <v>23</v>
      </c>
      <c r="F487" t="s">
        <v>20</v>
      </c>
      <c r="G487">
        <v>3587485</v>
      </c>
      <c r="H487">
        <v>11.31</v>
      </c>
      <c r="I487">
        <v>41</v>
      </c>
      <c r="J487" s="1">
        <v>45401</v>
      </c>
      <c r="K487">
        <v>111</v>
      </c>
      <c r="L487">
        <v>2</v>
      </c>
      <c r="M487">
        <v>358748.5</v>
      </c>
      <c r="N487">
        <v>717497</v>
      </c>
    </row>
    <row r="488" spans="1:14" x14ac:dyDescent="0.25">
      <c r="A488" t="s">
        <v>959</v>
      </c>
      <c r="B488" t="s">
        <v>17</v>
      </c>
      <c r="C488">
        <v>41</v>
      </c>
      <c r="D488" t="s">
        <v>38</v>
      </c>
      <c r="E488" t="s">
        <v>13</v>
      </c>
      <c r="F488" t="s">
        <v>30</v>
      </c>
      <c r="G488">
        <v>1304052</v>
      </c>
      <c r="H488">
        <v>23.29</v>
      </c>
      <c r="I488">
        <v>-1.93</v>
      </c>
      <c r="J488" s="1">
        <v>44862</v>
      </c>
      <c r="K488">
        <v>283</v>
      </c>
      <c r="L488">
        <v>3</v>
      </c>
      <c r="M488">
        <v>130405.20000000001</v>
      </c>
      <c r="N488">
        <v>391215.60000000003</v>
      </c>
    </row>
    <row r="489" spans="1:14" x14ac:dyDescent="0.25">
      <c r="A489" t="s">
        <v>961</v>
      </c>
      <c r="B489" t="s">
        <v>11</v>
      </c>
      <c r="C489">
        <v>61</v>
      </c>
      <c r="D489" t="s">
        <v>18</v>
      </c>
      <c r="E489" t="s">
        <v>50</v>
      </c>
      <c r="F489" t="s">
        <v>41</v>
      </c>
      <c r="G489">
        <v>923680</v>
      </c>
      <c r="H489">
        <v>31.16</v>
      </c>
      <c r="I489">
        <v>37.01</v>
      </c>
      <c r="J489" s="1">
        <v>44611</v>
      </c>
      <c r="K489">
        <v>290</v>
      </c>
      <c r="L489">
        <v>4</v>
      </c>
      <c r="M489">
        <v>92368</v>
      </c>
      <c r="N489">
        <v>369472</v>
      </c>
    </row>
    <row r="490" spans="1:14" x14ac:dyDescent="0.25">
      <c r="A490" t="s">
        <v>963</v>
      </c>
      <c r="B490" t="s">
        <v>17</v>
      </c>
      <c r="C490">
        <v>49</v>
      </c>
      <c r="D490" t="s">
        <v>12</v>
      </c>
      <c r="E490" t="s">
        <v>23</v>
      </c>
      <c r="F490" t="s">
        <v>20</v>
      </c>
      <c r="G490">
        <v>3617916</v>
      </c>
      <c r="H490">
        <v>17</v>
      </c>
      <c r="I490">
        <v>5.97</v>
      </c>
      <c r="J490" s="1">
        <v>45508</v>
      </c>
      <c r="K490">
        <v>133</v>
      </c>
      <c r="L490">
        <v>1</v>
      </c>
      <c r="M490">
        <v>361791.60000000003</v>
      </c>
      <c r="N490">
        <v>361791.60000000003</v>
      </c>
    </row>
    <row r="491" spans="1:14" x14ac:dyDescent="0.25">
      <c r="A491" t="s">
        <v>965</v>
      </c>
      <c r="B491" t="s">
        <v>17</v>
      </c>
      <c r="C491">
        <v>27</v>
      </c>
      <c r="D491" t="s">
        <v>38</v>
      </c>
      <c r="E491" t="s">
        <v>13</v>
      </c>
      <c r="F491" t="s">
        <v>14</v>
      </c>
      <c r="G491">
        <v>4780418</v>
      </c>
      <c r="H491">
        <v>24.91</v>
      </c>
      <c r="I491">
        <v>-6.65</v>
      </c>
      <c r="J491" s="1">
        <v>43227</v>
      </c>
      <c r="K491">
        <v>164</v>
      </c>
      <c r="L491">
        <v>8</v>
      </c>
      <c r="M491">
        <v>478041.80000000005</v>
      </c>
      <c r="N491">
        <v>3824334.4000000004</v>
      </c>
    </row>
    <row r="492" spans="1:14" x14ac:dyDescent="0.25">
      <c r="A492" t="s">
        <v>966</v>
      </c>
      <c r="B492" t="s">
        <v>17</v>
      </c>
      <c r="C492">
        <v>53</v>
      </c>
      <c r="D492" t="s">
        <v>18</v>
      </c>
      <c r="E492" t="s">
        <v>23</v>
      </c>
      <c r="F492" t="s">
        <v>20</v>
      </c>
      <c r="G492">
        <v>3316019</v>
      </c>
      <c r="H492">
        <v>7.83</v>
      </c>
      <c r="I492">
        <v>-9.75</v>
      </c>
      <c r="J492" s="1">
        <v>44288</v>
      </c>
      <c r="K492">
        <v>72</v>
      </c>
      <c r="L492">
        <v>5</v>
      </c>
      <c r="M492">
        <v>331601.90000000002</v>
      </c>
      <c r="N492">
        <v>1658009.5</v>
      </c>
    </row>
    <row r="493" spans="1:14" x14ac:dyDescent="0.25">
      <c r="A493" t="s">
        <v>968</v>
      </c>
      <c r="B493" t="s">
        <v>11</v>
      </c>
      <c r="C493">
        <v>61</v>
      </c>
      <c r="D493" t="s">
        <v>38</v>
      </c>
      <c r="E493" t="s">
        <v>29</v>
      </c>
      <c r="F493" t="s">
        <v>30</v>
      </c>
      <c r="G493">
        <v>3391202</v>
      </c>
      <c r="H493">
        <v>29.66</v>
      </c>
      <c r="I493">
        <v>29.67</v>
      </c>
      <c r="J493" s="1">
        <v>45428</v>
      </c>
      <c r="K493">
        <v>130</v>
      </c>
      <c r="L493">
        <v>2</v>
      </c>
      <c r="M493">
        <v>339120.2</v>
      </c>
      <c r="N493">
        <v>678240.4</v>
      </c>
    </row>
    <row r="494" spans="1:14" x14ac:dyDescent="0.25">
      <c r="A494" t="s">
        <v>970</v>
      </c>
      <c r="B494" t="s">
        <v>11</v>
      </c>
      <c r="C494">
        <v>56</v>
      </c>
      <c r="D494" t="s">
        <v>18</v>
      </c>
      <c r="E494" t="s">
        <v>19</v>
      </c>
      <c r="F494" t="s">
        <v>47</v>
      </c>
      <c r="G494">
        <v>204814</v>
      </c>
      <c r="H494">
        <v>26.47</v>
      </c>
      <c r="I494">
        <v>-7.51</v>
      </c>
      <c r="J494" s="1">
        <v>44272</v>
      </c>
      <c r="K494">
        <v>109</v>
      </c>
      <c r="L494">
        <v>5</v>
      </c>
      <c r="M494">
        <v>20481.400000000001</v>
      </c>
      <c r="N494">
        <v>102407</v>
      </c>
    </row>
    <row r="495" spans="1:14" x14ac:dyDescent="0.25">
      <c r="A495" t="s">
        <v>972</v>
      </c>
      <c r="B495" t="s">
        <v>17</v>
      </c>
      <c r="C495">
        <v>36</v>
      </c>
      <c r="D495" t="s">
        <v>12</v>
      </c>
      <c r="E495" t="s">
        <v>23</v>
      </c>
      <c r="F495" t="s">
        <v>41</v>
      </c>
      <c r="G495">
        <v>1847047</v>
      </c>
      <c r="H495">
        <v>5.34</v>
      </c>
      <c r="I495">
        <v>3.91</v>
      </c>
      <c r="J495" s="1">
        <v>44867</v>
      </c>
      <c r="K495">
        <v>365</v>
      </c>
      <c r="L495">
        <v>3</v>
      </c>
      <c r="M495">
        <v>184704.7</v>
      </c>
      <c r="N495">
        <v>554114.10000000009</v>
      </c>
    </row>
    <row r="496" spans="1:14" x14ac:dyDescent="0.25">
      <c r="A496" t="s">
        <v>974</v>
      </c>
      <c r="B496" t="s">
        <v>11</v>
      </c>
      <c r="C496">
        <v>49</v>
      </c>
      <c r="D496" t="s">
        <v>28</v>
      </c>
      <c r="E496" t="s">
        <v>19</v>
      </c>
      <c r="F496" t="s">
        <v>30</v>
      </c>
      <c r="G496">
        <v>963644</v>
      </c>
      <c r="H496">
        <v>34.11</v>
      </c>
      <c r="I496">
        <v>12.92</v>
      </c>
      <c r="J496" s="1">
        <v>43990</v>
      </c>
      <c r="K496">
        <v>86</v>
      </c>
      <c r="L496">
        <v>6</v>
      </c>
      <c r="M496">
        <v>96364.400000000009</v>
      </c>
      <c r="N496">
        <v>578186.4</v>
      </c>
    </row>
    <row r="497" spans="1:14" x14ac:dyDescent="0.25">
      <c r="A497" t="s">
        <v>976</v>
      </c>
      <c r="B497" t="s">
        <v>17</v>
      </c>
      <c r="C497">
        <v>65</v>
      </c>
      <c r="D497" t="s">
        <v>28</v>
      </c>
      <c r="E497" t="s">
        <v>23</v>
      </c>
      <c r="F497" t="s">
        <v>20</v>
      </c>
      <c r="G497">
        <v>2813164</v>
      </c>
      <c r="H497">
        <v>16.760000000000002</v>
      </c>
      <c r="I497">
        <v>29.73</v>
      </c>
      <c r="J497" s="1">
        <v>43119</v>
      </c>
      <c r="K497">
        <v>189</v>
      </c>
      <c r="L497">
        <v>8</v>
      </c>
      <c r="M497">
        <v>281316.40000000002</v>
      </c>
      <c r="N497">
        <v>2250531.2000000002</v>
      </c>
    </row>
    <row r="498" spans="1:14" x14ac:dyDescent="0.25">
      <c r="A498" t="s">
        <v>978</v>
      </c>
      <c r="B498" t="s">
        <v>17</v>
      </c>
      <c r="C498">
        <v>52</v>
      </c>
      <c r="D498" t="s">
        <v>12</v>
      </c>
      <c r="E498" t="s">
        <v>29</v>
      </c>
      <c r="F498" t="s">
        <v>41</v>
      </c>
      <c r="G498">
        <v>203375</v>
      </c>
      <c r="H498">
        <v>7.77</v>
      </c>
      <c r="I498">
        <v>9.49</v>
      </c>
      <c r="J498" s="1">
        <v>43418</v>
      </c>
      <c r="K498">
        <v>270</v>
      </c>
      <c r="L498">
        <v>7</v>
      </c>
      <c r="M498">
        <v>20337.5</v>
      </c>
      <c r="N498">
        <v>142362.5</v>
      </c>
    </row>
    <row r="499" spans="1:14" x14ac:dyDescent="0.25">
      <c r="A499" t="s">
        <v>979</v>
      </c>
      <c r="B499" t="s">
        <v>17</v>
      </c>
      <c r="C499">
        <v>46</v>
      </c>
      <c r="D499" t="s">
        <v>28</v>
      </c>
      <c r="E499" t="s">
        <v>29</v>
      </c>
      <c r="F499" t="s">
        <v>41</v>
      </c>
      <c r="G499">
        <v>2426201</v>
      </c>
      <c r="H499">
        <v>24.11</v>
      </c>
      <c r="I499">
        <v>-5.21</v>
      </c>
      <c r="J499" s="1">
        <v>44529</v>
      </c>
      <c r="K499">
        <v>99</v>
      </c>
      <c r="L499">
        <v>4</v>
      </c>
      <c r="M499">
        <v>242620.1</v>
      </c>
      <c r="N499">
        <v>970480.4</v>
      </c>
    </row>
    <row r="500" spans="1:14" x14ac:dyDescent="0.25">
      <c r="A500" t="s">
        <v>981</v>
      </c>
      <c r="B500" t="s">
        <v>17</v>
      </c>
      <c r="C500">
        <v>55</v>
      </c>
      <c r="D500" t="s">
        <v>18</v>
      </c>
      <c r="E500" t="s">
        <v>19</v>
      </c>
      <c r="F500" t="s">
        <v>41</v>
      </c>
      <c r="G500">
        <v>4150352</v>
      </c>
      <c r="H500">
        <v>28.95</v>
      </c>
      <c r="I500">
        <v>38.75</v>
      </c>
      <c r="J500" s="1">
        <v>44580</v>
      </c>
      <c r="K500">
        <v>259</v>
      </c>
      <c r="L500">
        <v>4</v>
      </c>
      <c r="M500">
        <v>415035.2</v>
      </c>
      <c r="N500">
        <v>1660140.8</v>
      </c>
    </row>
    <row r="501" spans="1:14" x14ac:dyDescent="0.25">
      <c r="A501" t="s">
        <v>983</v>
      </c>
      <c r="B501" t="s">
        <v>17</v>
      </c>
      <c r="C501">
        <v>32</v>
      </c>
      <c r="D501" t="s">
        <v>12</v>
      </c>
      <c r="E501" t="s">
        <v>23</v>
      </c>
      <c r="F501" t="s">
        <v>14</v>
      </c>
      <c r="G501">
        <v>1151215</v>
      </c>
      <c r="H501">
        <v>27.92</v>
      </c>
      <c r="I501">
        <v>9.06</v>
      </c>
      <c r="J501" s="1">
        <v>43234</v>
      </c>
      <c r="K501">
        <v>272</v>
      </c>
      <c r="L501">
        <v>8</v>
      </c>
      <c r="M501">
        <v>115121.5</v>
      </c>
      <c r="N501">
        <v>920972</v>
      </c>
    </row>
    <row r="502" spans="1:14" x14ac:dyDescent="0.25">
      <c r="A502" t="s">
        <v>985</v>
      </c>
      <c r="B502" t="s">
        <v>17</v>
      </c>
      <c r="C502">
        <v>34</v>
      </c>
      <c r="D502" t="s">
        <v>46</v>
      </c>
      <c r="E502" t="s">
        <v>50</v>
      </c>
      <c r="F502" t="s">
        <v>47</v>
      </c>
      <c r="G502">
        <v>3329580</v>
      </c>
      <c r="H502">
        <v>10.19</v>
      </c>
      <c r="I502">
        <v>-7.4</v>
      </c>
      <c r="J502" s="1">
        <v>44879</v>
      </c>
      <c r="K502">
        <v>278</v>
      </c>
      <c r="L502">
        <v>3</v>
      </c>
      <c r="M502">
        <v>332958</v>
      </c>
      <c r="N502">
        <v>998874</v>
      </c>
    </row>
    <row r="503" spans="1:14" x14ac:dyDescent="0.25">
      <c r="A503" t="s">
        <v>987</v>
      </c>
      <c r="B503" t="s">
        <v>11</v>
      </c>
      <c r="C503">
        <v>24</v>
      </c>
      <c r="D503" t="s">
        <v>12</v>
      </c>
      <c r="E503" t="s">
        <v>23</v>
      </c>
      <c r="F503" t="s">
        <v>30</v>
      </c>
      <c r="G503">
        <v>791301</v>
      </c>
      <c r="H503">
        <v>8.06</v>
      </c>
      <c r="I503">
        <v>30.15</v>
      </c>
      <c r="J503" s="1">
        <v>44232</v>
      </c>
      <c r="K503">
        <v>311</v>
      </c>
      <c r="L503">
        <v>5</v>
      </c>
      <c r="M503">
        <v>79130.100000000006</v>
      </c>
      <c r="N503">
        <v>395650.5</v>
      </c>
    </row>
    <row r="504" spans="1:14" x14ac:dyDescent="0.25">
      <c r="A504" t="s">
        <v>989</v>
      </c>
      <c r="B504" t="s">
        <v>11</v>
      </c>
      <c r="C504">
        <v>43</v>
      </c>
      <c r="D504" t="s">
        <v>46</v>
      </c>
      <c r="E504" t="s">
        <v>13</v>
      </c>
      <c r="F504" t="s">
        <v>35</v>
      </c>
      <c r="G504">
        <v>1866966</v>
      </c>
      <c r="H504">
        <v>26.16</v>
      </c>
      <c r="I504">
        <v>-8.4600000000000009</v>
      </c>
      <c r="J504" s="1">
        <v>43879</v>
      </c>
      <c r="K504">
        <v>101</v>
      </c>
      <c r="L504">
        <v>6</v>
      </c>
      <c r="M504">
        <v>186696.6</v>
      </c>
      <c r="N504">
        <v>1120179.6000000001</v>
      </c>
    </row>
    <row r="505" spans="1:14" x14ac:dyDescent="0.25">
      <c r="A505" t="s">
        <v>991</v>
      </c>
      <c r="B505" t="s">
        <v>11</v>
      </c>
      <c r="C505">
        <v>63</v>
      </c>
      <c r="D505" t="s">
        <v>46</v>
      </c>
      <c r="E505" t="s">
        <v>13</v>
      </c>
      <c r="F505" t="s">
        <v>30</v>
      </c>
      <c r="G505">
        <v>4375339</v>
      </c>
      <c r="H505">
        <v>16.87</v>
      </c>
      <c r="I505">
        <v>35.979999999999997</v>
      </c>
      <c r="J505" s="1">
        <v>44417</v>
      </c>
      <c r="K505">
        <v>248</v>
      </c>
      <c r="L505">
        <v>4</v>
      </c>
      <c r="M505">
        <v>437533.9</v>
      </c>
      <c r="N505">
        <v>1750135.6</v>
      </c>
    </row>
    <row r="506" spans="1:14" x14ac:dyDescent="0.25">
      <c r="A506" t="s">
        <v>993</v>
      </c>
      <c r="B506" t="s">
        <v>17</v>
      </c>
      <c r="C506">
        <v>51</v>
      </c>
      <c r="D506" t="s">
        <v>46</v>
      </c>
      <c r="E506" t="s">
        <v>50</v>
      </c>
      <c r="F506" t="s">
        <v>41</v>
      </c>
      <c r="G506">
        <v>1568055</v>
      </c>
      <c r="H506">
        <v>6.56</v>
      </c>
      <c r="I506">
        <v>-8.56</v>
      </c>
      <c r="J506" s="1">
        <v>44954</v>
      </c>
      <c r="K506">
        <v>339</v>
      </c>
      <c r="L506">
        <v>3</v>
      </c>
      <c r="M506">
        <v>156805.5</v>
      </c>
      <c r="N506">
        <v>470416.5</v>
      </c>
    </row>
    <row r="507" spans="1:14" x14ac:dyDescent="0.25">
      <c r="A507" t="s">
        <v>994</v>
      </c>
      <c r="B507" t="s">
        <v>11</v>
      </c>
      <c r="C507">
        <v>40</v>
      </c>
      <c r="D507" t="s">
        <v>12</v>
      </c>
      <c r="E507" t="s">
        <v>50</v>
      </c>
      <c r="F507" t="s">
        <v>20</v>
      </c>
      <c r="G507">
        <v>1712243</v>
      </c>
      <c r="H507">
        <v>32.15</v>
      </c>
      <c r="I507">
        <v>28.85</v>
      </c>
      <c r="J507" s="1">
        <v>44164</v>
      </c>
      <c r="K507">
        <v>214</v>
      </c>
      <c r="L507">
        <v>5</v>
      </c>
      <c r="M507">
        <v>171224.30000000002</v>
      </c>
      <c r="N507">
        <v>856121.50000000012</v>
      </c>
    </row>
    <row r="508" spans="1:14" x14ac:dyDescent="0.25">
      <c r="A508" t="s">
        <v>996</v>
      </c>
      <c r="B508" t="s">
        <v>11</v>
      </c>
      <c r="C508">
        <v>25</v>
      </c>
      <c r="D508" t="s">
        <v>46</v>
      </c>
      <c r="E508" t="s">
        <v>50</v>
      </c>
      <c r="F508" t="s">
        <v>20</v>
      </c>
      <c r="G508">
        <v>4550409</v>
      </c>
      <c r="H508">
        <v>17.760000000000002</v>
      </c>
      <c r="I508">
        <v>5.59</v>
      </c>
      <c r="J508" s="1">
        <v>45517</v>
      </c>
      <c r="K508">
        <v>77</v>
      </c>
      <c r="L508">
        <v>1</v>
      </c>
      <c r="M508">
        <v>455040.9</v>
      </c>
      <c r="N508">
        <v>455040.9</v>
      </c>
    </row>
    <row r="509" spans="1:14" x14ac:dyDescent="0.25">
      <c r="A509" t="s">
        <v>998</v>
      </c>
      <c r="B509" t="s">
        <v>17</v>
      </c>
      <c r="C509">
        <v>59</v>
      </c>
      <c r="D509" t="s">
        <v>18</v>
      </c>
      <c r="E509" t="s">
        <v>29</v>
      </c>
      <c r="F509" t="s">
        <v>20</v>
      </c>
      <c r="G509">
        <v>761347</v>
      </c>
      <c r="H509">
        <v>12.71</v>
      </c>
      <c r="I509">
        <v>32.86</v>
      </c>
      <c r="J509" s="1">
        <v>44903</v>
      </c>
      <c r="K509">
        <v>89</v>
      </c>
      <c r="L509">
        <v>3</v>
      </c>
      <c r="M509">
        <v>76134.7</v>
      </c>
      <c r="N509">
        <v>228404.09999999998</v>
      </c>
    </row>
    <row r="510" spans="1:14" x14ac:dyDescent="0.25">
      <c r="A510" t="s">
        <v>999</v>
      </c>
      <c r="B510" t="s">
        <v>17</v>
      </c>
      <c r="C510">
        <v>54</v>
      </c>
      <c r="D510" t="s">
        <v>46</v>
      </c>
      <c r="E510" t="s">
        <v>23</v>
      </c>
      <c r="F510" t="s">
        <v>35</v>
      </c>
      <c r="G510">
        <v>3466370</v>
      </c>
      <c r="H510">
        <v>12.91</v>
      </c>
      <c r="I510">
        <v>29.99</v>
      </c>
      <c r="J510" s="1">
        <v>44351</v>
      </c>
      <c r="K510">
        <v>224</v>
      </c>
      <c r="L510">
        <v>5</v>
      </c>
      <c r="M510">
        <v>346637</v>
      </c>
      <c r="N510">
        <v>1733185</v>
      </c>
    </row>
    <row r="511" spans="1:14" x14ac:dyDescent="0.25">
      <c r="A511" t="s">
        <v>1001</v>
      </c>
      <c r="B511" t="s">
        <v>11</v>
      </c>
      <c r="C511">
        <v>30</v>
      </c>
      <c r="D511" t="s">
        <v>18</v>
      </c>
      <c r="E511" t="s">
        <v>29</v>
      </c>
      <c r="F511" t="s">
        <v>41</v>
      </c>
      <c r="G511">
        <v>4343851</v>
      </c>
      <c r="H511">
        <v>16.21</v>
      </c>
      <c r="I511">
        <v>28.72</v>
      </c>
      <c r="J511" s="1">
        <v>44054</v>
      </c>
      <c r="K511">
        <v>300</v>
      </c>
      <c r="L511">
        <v>5</v>
      </c>
      <c r="M511">
        <v>434385.10000000003</v>
      </c>
      <c r="N511">
        <v>2171925.5</v>
      </c>
    </row>
    <row r="512" spans="1:14" x14ac:dyDescent="0.25">
      <c r="A512" t="s">
        <v>1002</v>
      </c>
      <c r="B512" t="s">
        <v>17</v>
      </c>
      <c r="C512">
        <v>37</v>
      </c>
      <c r="D512" t="s">
        <v>46</v>
      </c>
      <c r="E512" t="s">
        <v>13</v>
      </c>
      <c r="F512" t="s">
        <v>35</v>
      </c>
      <c r="G512">
        <v>4323803</v>
      </c>
      <c r="H512">
        <v>18.559999999999999</v>
      </c>
      <c r="I512">
        <v>2.75</v>
      </c>
      <c r="J512" s="1">
        <v>45195</v>
      </c>
      <c r="K512">
        <v>248</v>
      </c>
      <c r="L512">
        <v>2</v>
      </c>
      <c r="M512">
        <v>432380.30000000005</v>
      </c>
      <c r="N512">
        <v>864760.60000000009</v>
      </c>
    </row>
    <row r="513" spans="1:14" x14ac:dyDescent="0.25">
      <c r="A513" t="s">
        <v>1004</v>
      </c>
      <c r="B513" t="s">
        <v>11</v>
      </c>
      <c r="C513">
        <v>59</v>
      </c>
      <c r="D513" t="s">
        <v>38</v>
      </c>
      <c r="E513" t="s">
        <v>23</v>
      </c>
      <c r="F513" t="s">
        <v>41</v>
      </c>
      <c r="G513">
        <v>2858370</v>
      </c>
      <c r="H513">
        <v>13.62</v>
      </c>
      <c r="I513">
        <v>18.600000000000001</v>
      </c>
      <c r="J513" s="1">
        <v>43120</v>
      </c>
      <c r="K513">
        <v>192</v>
      </c>
      <c r="L513">
        <v>8</v>
      </c>
      <c r="M513">
        <v>285837</v>
      </c>
      <c r="N513">
        <v>2286696</v>
      </c>
    </row>
    <row r="514" spans="1:14" x14ac:dyDescent="0.25">
      <c r="A514" t="s">
        <v>1006</v>
      </c>
      <c r="B514" t="s">
        <v>11</v>
      </c>
      <c r="C514">
        <v>53</v>
      </c>
      <c r="D514" t="s">
        <v>18</v>
      </c>
      <c r="E514" t="s">
        <v>23</v>
      </c>
      <c r="F514" t="s">
        <v>35</v>
      </c>
      <c r="G514">
        <v>3622025</v>
      </c>
      <c r="H514">
        <v>21.7</v>
      </c>
      <c r="I514">
        <v>29.54</v>
      </c>
      <c r="J514" s="1">
        <v>44298</v>
      </c>
      <c r="K514">
        <v>128</v>
      </c>
      <c r="L514">
        <v>5</v>
      </c>
      <c r="M514">
        <v>362202.5</v>
      </c>
      <c r="N514">
        <v>1811012.5</v>
      </c>
    </row>
    <row r="515" spans="1:14" x14ac:dyDescent="0.25">
      <c r="A515" t="s">
        <v>1008</v>
      </c>
      <c r="B515" t="s">
        <v>11</v>
      </c>
      <c r="C515">
        <v>53</v>
      </c>
      <c r="D515" t="s">
        <v>28</v>
      </c>
      <c r="E515" t="s">
        <v>19</v>
      </c>
      <c r="F515" t="s">
        <v>35</v>
      </c>
      <c r="G515">
        <v>611287</v>
      </c>
      <c r="H515">
        <v>32.99</v>
      </c>
      <c r="I515">
        <v>17.440000000000001</v>
      </c>
      <c r="J515" s="1">
        <v>45300</v>
      </c>
      <c r="K515">
        <v>303</v>
      </c>
      <c r="L515">
        <v>2</v>
      </c>
      <c r="M515">
        <v>61128.700000000004</v>
      </c>
      <c r="N515">
        <v>122257.40000000001</v>
      </c>
    </row>
    <row r="516" spans="1:14" x14ac:dyDescent="0.25">
      <c r="A516" t="s">
        <v>1010</v>
      </c>
      <c r="B516" t="s">
        <v>17</v>
      </c>
      <c r="C516">
        <v>34</v>
      </c>
      <c r="D516" t="s">
        <v>46</v>
      </c>
      <c r="E516" t="s">
        <v>57</v>
      </c>
      <c r="F516" t="s">
        <v>47</v>
      </c>
      <c r="G516">
        <v>2059089</v>
      </c>
      <c r="H516">
        <v>7.92</v>
      </c>
      <c r="I516">
        <v>20.5</v>
      </c>
      <c r="J516" s="1">
        <v>43698</v>
      </c>
      <c r="K516">
        <v>110</v>
      </c>
      <c r="L516">
        <v>6</v>
      </c>
      <c r="M516">
        <v>205908.90000000002</v>
      </c>
      <c r="N516">
        <v>1235453.4000000001</v>
      </c>
    </row>
    <row r="517" spans="1:14" x14ac:dyDescent="0.25">
      <c r="A517" t="s">
        <v>1012</v>
      </c>
      <c r="B517" t="s">
        <v>17</v>
      </c>
      <c r="C517">
        <v>57</v>
      </c>
      <c r="D517" t="s">
        <v>12</v>
      </c>
      <c r="E517" t="s">
        <v>57</v>
      </c>
      <c r="F517" t="s">
        <v>41</v>
      </c>
      <c r="G517">
        <v>1347305</v>
      </c>
      <c r="H517">
        <v>31.7</v>
      </c>
      <c r="I517">
        <v>0.84</v>
      </c>
      <c r="J517" s="1">
        <v>45368</v>
      </c>
      <c r="K517">
        <v>10</v>
      </c>
      <c r="L517">
        <v>2</v>
      </c>
      <c r="M517">
        <v>134730.5</v>
      </c>
      <c r="N517">
        <v>269461</v>
      </c>
    </row>
    <row r="518" spans="1:14" x14ac:dyDescent="0.25">
      <c r="A518" t="s">
        <v>1014</v>
      </c>
      <c r="B518" t="s">
        <v>17</v>
      </c>
      <c r="C518">
        <v>65</v>
      </c>
      <c r="D518" t="s">
        <v>46</v>
      </c>
      <c r="E518" t="s">
        <v>57</v>
      </c>
      <c r="F518" t="s">
        <v>14</v>
      </c>
      <c r="G518">
        <v>468378</v>
      </c>
      <c r="H518">
        <v>9.92</v>
      </c>
      <c r="I518">
        <v>44.65</v>
      </c>
      <c r="J518" s="1">
        <v>45429</v>
      </c>
      <c r="K518">
        <v>66</v>
      </c>
      <c r="L518">
        <v>2</v>
      </c>
      <c r="M518">
        <v>46837.8</v>
      </c>
      <c r="N518">
        <v>93675.6</v>
      </c>
    </row>
    <row r="519" spans="1:14" x14ac:dyDescent="0.25">
      <c r="A519" t="s">
        <v>1016</v>
      </c>
      <c r="B519" t="s">
        <v>17</v>
      </c>
      <c r="C519">
        <v>37</v>
      </c>
      <c r="D519" t="s">
        <v>28</v>
      </c>
      <c r="E519" t="s">
        <v>50</v>
      </c>
      <c r="F519" t="s">
        <v>41</v>
      </c>
      <c r="G519">
        <v>3006576</v>
      </c>
      <c r="H519">
        <v>15.4</v>
      </c>
      <c r="I519">
        <v>44.77</v>
      </c>
      <c r="J519" s="1">
        <v>43113</v>
      </c>
      <c r="K519">
        <v>287</v>
      </c>
      <c r="L519">
        <v>8</v>
      </c>
      <c r="M519">
        <v>300657.60000000003</v>
      </c>
      <c r="N519">
        <v>2405260.8000000003</v>
      </c>
    </row>
    <row r="520" spans="1:14" x14ac:dyDescent="0.25">
      <c r="A520" t="s">
        <v>1018</v>
      </c>
      <c r="B520" t="s">
        <v>11</v>
      </c>
      <c r="C520">
        <v>50</v>
      </c>
      <c r="D520" t="s">
        <v>28</v>
      </c>
      <c r="E520" t="s">
        <v>57</v>
      </c>
      <c r="F520" t="s">
        <v>41</v>
      </c>
      <c r="G520">
        <v>3283907</v>
      </c>
      <c r="H520">
        <v>12.93</v>
      </c>
      <c r="I520">
        <v>33.340000000000003</v>
      </c>
      <c r="J520" s="1">
        <v>44961</v>
      </c>
      <c r="K520">
        <v>141</v>
      </c>
      <c r="L520">
        <v>3</v>
      </c>
      <c r="M520">
        <v>328390.7</v>
      </c>
      <c r="N520">
        <v>985172.10000000009</v>
      </c>
    </row>
    <row r="521" spans="1:14" x14ac:dyDescent="0.25">
      <c r="A521" t="s">
        <v>1020</v>
      </c>
      <c r="B521" t="s">
        <v>11</v>
      </c>
      <c r="C521">
        <v>32</v>
      </c>
      <c r="D521" t="s">
        <v>46</v>
      </c>
      <c r="E521" t="s">
        <v>13</v>
      </c>
      <c r="F521" t="s">
        <v>41</v>
      </c>
      <c r="G521">
        <v>3842014</v>
      </c>
      <c r="H521">
        <v>24.32</v>
      </c>
      <c r="I521">
        <v>38.18</v>
      </c>
      <c r="J521" s="1">
        <v>43670</v>
      </c>
      <c r="K521">
        <v>204</v>
      </c>
      <c r="L521">
        <v>6</v>
      </c>
      <c r="M521">
        <v>384201.4</v>
      </c>
      <c r="N521">
        <v>2305208.4000000004</v>
      </c>
    </row>
    <row r="522" spans="1:14" x14ac:dyDescent="0.25">
      <c r="A522" t="s">
        <v>1022</v>
      </c>
      <c r="B522" t="s">
        <v>17</v>
      </c>
      <c r="C522">
        <v>59</v>
      </c>
      <c r="D522" t="s">
        <v>38</v>
      </c>
      <c r="E522" t="s">
        <v>29</v>
      </c>
      <c r="F522" t="s">
        <v>47</v>
      </c>
      <c r="G522">
        <v>2476680</v>
      </c>
      <c r="H522">
        <v>9.16</v>
      </c>
      <c r="I522">
        <v>9.5500000000000007</v>
      </c>
      <c r="J522" s="1">
        <v>44632</v>
      </c>
      <c r="K522">
        <v>102</v>
      </c>
      <c r="L522">
        <v>4</v>
      </c>
      <c r="M522">
        <v>247668</v>
      </c>
      <c r="N522">
        <v>990672</v>
      </c>
    </row>
    <row r="523" spans="1:14" x14ac:dyDescent="0.25">
      <c r="A523" t="s">
        <v>1024</v>
      </c>
      <c r="B523" t="s">
        <v>11</v>
      </c>
      <c r="C523">
        <v>51</v>
      </c>
      <c r="D523" t="s">
        <v>46</v>
      </c>
      <c r="E523" t="s">
        <v>13</v>
      </c>
      <c r="F523" t="s">
        <v>14</v>
      </c>
      <c r="G523">
        <v>830124</v>
      </c>
      <c r="H523">
        <v>17.059999999999999</v>
      </c>
      <c r="I523">
        <v>16.850000000000001</v>
      </c>
      <c r="J523" s="1">
        <v>43664</v>
      </c>
      <c r="K523">
        <v>30</v>
      </c>
      <c r="L523">
        <v>7</v>
      </c>
      <c r="M523">
        <v>83012.400000000009</v>
      </c>
      <c r="N523">
        <v>581086.80000000005</v>
      </c>
    </row>
    <row r="524" spans="1:14" x14ac:dyDescent="0.25">
      <c r="A524" t="s">
        <v>1026</v>
      </c>
      <c r="B524" t="s">
        <v>11</v>
      </c>
      <c r="C524">
        <v>46</v>
      </c>
      <c r="D524" t="s">
        <v>12</v>
      </c>
      <c r="E524" t="s">
        <v>13</v>
      </c>
      <c r="F524" t="s">
        <v>14</v>
      </c>
      <c r="G524">
        <v>1377316</v>
      </c>
      <c r="H524">
        <v>22.01</v>
      </c>
      <c r="I524">
        <v>6.53</v>
      </c>
      <c r="J524" s="1">
        <v>43638</v>
      </c>
      <c r="K524">
        <v>88</v>
      </c>
      <c r="L524">
        <v>7</v>
      </c>
      <c r="M524">
        <v>137731.6</v>
      </c>
      <c r="N524">
        <v>964121.20000000007</v>
      </c>
    </row>
    <row r="525" spans="1:14" x14ac:dyDescent="0.25">
      <c r="A525" t="s">
        <v>1028</v>
      </c>
      <c r="B525" t="s">
        <v>11</v>
      </c>
      <c r="C525">
        <v>32</v>
      </c>
      <c r="D525" t="s">
        <v>18</v>
      </c>
      <c r="E525" t="s">
        <v>13</v>
      </c>
      <c r="F525" t="s">
        <v>35</v>
      </c>
      <c r="G525">
        <v>980153</v>
      </c>
      <c r="H525">
        <v>29.08</v>
      </c>
      <c r="I525">
        <v>-9.94</v>
      </c>
      <c r="J525" s="1">
        <v>44197</v>
      </c>
      <c r="K525">
        <v>97</v>
      </c>
      <c r="L525">
        <v>5</v>
      </c>
      <c r="M525">
        <v>98015.3</v>
      </c>
      <c r="N525">
        <v>490076.5</v>
      </c>
    </row>
    <row r="526" spans="1:14" x14ac:dyDescent="0.25">
      <c r="A526" t="s">
        <v>1029</v>
      </c>
      <c r="B526" t="s">
        <v>17</v>
      </c>
      <c r="C526">
        <v>24</v>
      </c>
      <c r="D526" t="s">
        <v>46</v>
      </c>
      <c r="E526" t="s">
        <v>50</v>
      </c>
      <c r="F526" t="s">
        <v>14</v>
      </c>
      <c r="G526">
        <v>3368375</v>
      </c>
      <c r="H526">
        <v>32.380000000000003</v>
      </c>
      <c r="I526">
        <v>26.91</v>
      </c>
      <c r="J526" s="1">
        <v>43706</v>
      </c>
      <c r="K526">
        <v>318</v>
      </c>
      <c r="L526">
        <v>6</v>
      </c>
      <c r="M526">
        <v>336837.5</v>
      </c>
      <c r="N526">
        <v>2021025</v>
      </c>
    </row>
    <row r="527" spans="1:14" x14ac:dyDescent="0.25">
      <c r="A527" t="s">
        <v>1031</v>
      </c>
      <c r="B527" t="s">
        <v>11</v>
      </c>
      <c r="C527">
        <v>40</v>
      </c>
      <c r="D527" t="s">
        <v>46</v>
      </c>
      <c r="E527" t="s">
        <v>50</v>
      </c>
      <c r="F527" t="s">
        <v>35</v>
      </c>
      <c r="G527">
        <v>1525024</v>
      </c>
      <c r="H527">
        <v>12.45</v>
      </c>
      <c r="I527">
        <v>28.98</v>
      </c>
      <c r="J527" s="1">
        <v>44662</v>
      </c>
      <c r="K527">
        <v>336</v>
      </c>
      <c r="L527">
        <v>4</v>
      </c>
      <c r="M527">
        <v>152502.39999999999</v>
      </c>
      <c r="N527">
        <v>610009.59999999998</v>
      </c>
    </row>
    <row r="528" spans="1:14" x14ac:dyDescent="0.25">
      <c r="A528" t="s">
        <v>1033</v>
      </c>
      <c r="B528" t="s">
        <v>11</v>
      </c>
      <c r="C528">
        <v>52</v>
      </c>
      <c r="D528" t="s">
        <v>12</v>
      </c>
      <c r="E528" t="s">
        <v>50</v>
      </c>
      <c r="F528" t="s">
        <v>35</v>
      </c>
      <c r="G528">
        <v>2591795</v>
      </c>
      <c r="H528">
        <v>33.6</v>
      </c>
      <c r="I528">
        <v>1.78</v>
      </c>
      <c r="J528" s="1">
        <v>44729</v>
      </c>
      <c r="K528">
        <v>26</v>
      </c>
      <c r="L528">
        <v>4</v>
      </c>
      <c r="M528">
        <v>259179.5</v>
      </c>
      <c r="N528">
        <v>1036718</v>
      </c>
    </row>
    <row r="529" spans="1:14" x14ac:dyDescent="0.25">
      <c r="A529" t="s">
        <v>1035</v>
      </c>
      <c r="B529" t="s">
        <v>17</v>
      </c>
      <c r="C529">
        <v>56</v>
      </c>
      <c r="D529" t="s">
        <v>12</v>
      </c>
      <c r="E529" t="s">
        <v>19</v>
      </c>
      <c r="F529" t="s">
        <v>30</v>
      </c>
      <c r="G529">
        <v>2979888</v>
      </c>
      <c r="H529">
        <v>24.45</v>
      </c>
      <c r="I529">
        <v>24.66</v>
      </c>
      <c r="J529" s="1">
        <v>44085</v>
      </c>
      <c r="K529">
        <v>362</v>
      </c>
      <c r="L529">
        <v>5</v>
      </c>
      <c r="M529">
        <v>297988.8</v>
      </c>
      <c r="N529">
        <v>1489944</v>
      </c>
    </row>
    <row r="530" spans="1:14" x14ac:dyDescent="0.25">
      <c r="A530" t="s">
        <v>1037</v>
      </c>
      <c r="B530" t="s">
        <v>17</v>
      </c>
      <c r="C530">
        <v>60</v>
      </c>
      <c r="D530" t="s">
        <v>28</v>
      </c>
      <c r="E530" t="s">
        <v>29</v>
      </c>
      <c r="F530" t="s">
        <v>20</v>
      </c>
      <c r="G530">
        <v>3730488</v>
      </c>
      <c r="H530">
        <v>15.98</v>
      </c>
      <c r="I530">
        <v>-1.5</v>
      </c>
      <c r="J530" s="1">
        <v>44771</v>
      </c>
      <c r="K530">
        <v>272</v>
      </c>
      <c r="L530">
        <v>3</v>
      </c>
      <c r="M530">
        <v>373048.80000000005</v>
      </c>
      <c r="N530">
        <v>1119146.4000000001</v>
      </c>
    </row>
    <row r="531" spans="1:14" x14ac:dyDescent="0.25">
      <c r="A531" t="s">
        <v>1039</v>
      </c>
      <c r="B531" t="s">
        <v>11</v>
      </c>
      <c r="C531">
        <v>25</v>
      </c>
      <c r="D531" t="s">
        <v>18</v>
      </c>
      <c r="E531" t="s">
        <v>23</v>
      </c>
      <c r="F531" t="s">
        <v>41</v>
      </c>
      <c r="G531">
        <v>2790538</v>
      </c>
      <c r="H531">
        <v>32.630000000000003</v>
      </c>
      <c r="I531">
        <v>39.18</v>
      </c>
      <c r="J531" s="1">
        <v>44849</v>
      </c>
      <c r="K531">
        <v>220</v>
      </c>
      <c r="L531">
        <v>3</v>
      </c>
      <c r="M531">
        <v>279053.8</v>
      </c>
      <c r="N531">
        <v>837161.39999999991</v>
      </c>
    </row>
    <row r="532" spans="1:14" x14ac:dyDescent="0.25">
      <c r="A532" t="s">
        <v>1041</v>
      </c>
      <c r="B532" t="s">
        <v>11</v>
      </c>
      <c r="C532">
        <v>55</v>
      </c>
      <c r="D532" t="s">
        <v>46</v>
      </c>
      <c r="E532" t="s">
        <v>13</v>
      </c>
      <c r="F532" t="s">
        <v>47</v>
      </c>
      <c r="G532">
        <v>4144205</v>
      </c>
      <c r="H532">
        <v>9.4</v>
      </c>
      <c r="I532">
        <v>13.69</v>
      </c>
      <c r="J532" s="1">
        <v>43901</v>
      </c>
      <c r="K532">
        <v>155</v>
      </c>
      <c r="L532">
        <v>6</v>
      </c>
      <c r="M532">
        <v>414420.5</v>
      </c>
      <c r="N532">
        <v>2486523</v>
      </c>
    </row>
    <row r="533" spans="1:14" x14ac:dyDescent="0.25">
      <c r="A533" t="s">
        <v>1043</v>
      </c>
      <c r="B533" t="s">
        <v>11</v>
      </c>
      <c r="C533">
        <v>60</v>
      </c>
      <c r="D533" t="s">
        <v>12</v>
      </c>
      <c r="E533" t="s">
        <v>57</v>
      </c>
      <c r="F533" t="s">
        <v>20</v>
      </c>
      <c r="G533">
        <v>3599472</v>
      </c>
      <c r="H533">
        <v>32.74</v>
      </c>
      <c r="I533">
        <v>12.04</v>
      </c>
      <c r="J533" s="1">
        <v>44364</v>
      </c>
      <c r="K533">
        <v>170</v>
      </c>
      <c r="L533">
        <v>5</v>
      </c>
      <c r="M533">
        <v>359947.2</v>
      </c>
      <c r="N533">
        <v>1799736</v>
      </c>
    </row>
    <row r="534" spans="1:14" x14ac:dyDescent="0.25">
      <c r="A534" t="s">
        <v>1044</v>
      </c>
      <c r="B534" t="s">
        <v>11</v>
      </c>
      <c r="C534">
        <v>26</v>
      </c>
      <c r="D534" t="s">
        <v>28</v>
      </c>
      <c r="E534" t="s">
        <v>29</v>
      </c>
      <c r="F534" t="s">
        <v>47</v>
      </c>
      <c r="G534">
        <v>2030228</v>
      </c>
      <c r="H534">
        <v>5.96</v>
      </c>
      <c r="I534">
        <v>38.07</v>
      </c>
      <c r="J534" s="1">
        <v>44090</v>
      </c>
      <c r="K534">
        <v>99</v>
      </c>
      <c r="L534">
        <v>5</v>
      </c>
      <c r="M534">
        <v>203022.80000000002</v>
      </c>
      <c r="N534">
        <v>1015114.0000000001</v>
      </c>
    </row>
    <row r="535" spans="1:14" x14ac:dyDescent="0.25">
      <c r="A535" t="s">
        <v>1046</v>
      </c>
      <c r="B535" t="s">
        <v>11</v>
      </c>
      <c r="C535">
        <v>44</v>
      </c>
      <c r="D535" t="s">
        <v>18</v>
      </c>
      <c r="E535" t="s">
        <v>13</v>
      </c>
      <c r="F535" t="s">
        <v>20</v>
      </c>
      <c r="G535">
        <v>3543797</v>
      </c>
      <c r="H535">
        <v>20.62</v>
      </c>
      <c r="I535">
        <v>9.44</v>
      </c>
      <c r="J535" s="1">
        <v>43494</v>
      </c>
      <c r="K535">
        <v>128</v>
      </c>
      <c r="L535">
        <v>7</v>
      </c>
      <c r="M535">
        <v>354379.7</v>
      </c>
      <c r="N535">
        <v>2480657.9</v>
      </c>
    </row>
    <row r="536" spans="1:14" x14ac:dyDescent="0.25">
      <c r="A536" t="s">
        <v>1047</v>
      </c>
      <c r="B536" t="s">
        <v>11</v>
      </c>
      <c r="C536">
        <v>57</v>
      </c>
      <c r="D536" t="s">
        <v>12</v>
      </c>
      <c r="E536" t="s">
        <v>13</v>
      </c>
      <c r="F536" t="s">
        <v>35</v>
      </c>
      <c r="G536">
        <v>290361</v>
      </c>
      <c r="H536">
        <v>32.72</v>
      </c>
      <c r="I536">
        <v>5.81</v>
      </c>
      <c r="J536" s="1">
        <v>43996</v>
      </c>
      <c r="K536">
        <v>43</v>
      </c>
      <c r="L536">
        <v>6</v>
      </c>
      <c r="M536">
        <v>29036.100000000002</v>
      </c>
      <c r="N536">
        <v>174216.6</v>
      </c>
    </row>
    <row r="537" spans="1:14" x14ac:dyDescent="0.25">
      <c r="A537" t="s">
        <v>1048</v>
      </c>
      <c r="B537" t="s">
        <v>11</v>
      </c>
      <c r="C537">
        <v>24</v>
      </c>
      <c r="D537" t="s">
        <v>18</v>
      </c>
      <c r="E537" t="s">
        <v>13</v>
      </c>
      <c r="F537" t="s">
        <v>35</v>
      </c>
      <c r="G537">
        <v>3627499</v>
      </c>
      <c r="H537">
        <v>29.03</v>
      </c>
      <c r="I537">
        <v>38.76</v>
      </c>
      <c r="J537" s="1">
        <v>44842</v>
      </c>
      <c r="K537">
        <v>60</v>
      </c>
      <c r="L537">
        <v>3</v>
      </c>
      <c r="M537">
        <v>362749.9</v>
      </c>
      <c r="N537">
        <v>1088249.7000000002</v>
      </c>
    </row>
    <row r="538" spans="1:14" x14ac:dyDescent="0.25">
      <c r="A538" t="s">
        <v>1049</v>
      </c>
      <c r="B538" t="s">
        <v>11</v>
      </c>
      <c r="C538">
        <v>50</v>
      </c>
      <c r="D538" t="s">
        <v>38</v>
      </c>
      <c r="E538" t="s">
        <v>19</v>
      </c>
      <c r="F538" t="s">
        <v>30</v>
      </c>
      <c r="G538">
        <v>793565</v>
      </c>
      <c r="H538">
        <v>26.61</v>
      </c>
      <c r="I538">
        <v>12.38</v>
      </c>
      <c r="J538" s="1">
        <v>43143</v>
      </c>
      <c r="K538">
        <v>257</v>
      </c>
      <c r="L538">
        <v>8</v>
      </c>
      <c r="M538">
        <v>79356.5</v>
      </c>
      <c r="N538">
        <v>634852</v>
      </c>
    </row>
    <row r="539" spans="1:14" x14ac:dyDescent="0.25">
      <c r="A539" t="s">
        <v>1051</v>
      </c>
      <c r="B539" t="s">
        <v>11</v>
      </c>
      <c r="C539">
        <v>27</v>
      </c>
      <c r="D539" t="s">
        <v>46</v>
      </c>
      <c r="E539" t="s">
        <v>29</v>
      </c>
      <c r="F539" t="s">
        <v>41</v>
      </c>
      <c r="G539">
        <v>4126605</v>
      </c>
      <c r="H539">
        <v>14.95</v>
      </c>
      <c r="I539">
        <v>31.61</v>
      </c>
      <c r="J539" s="1">
        <v>43361</v>
      </c>
      <c r="K539">
        <v>325</v>
      </c>
      <c r="L539">
        <v>7</v>
      </c>
      <c r="M539">
        <v>412660.5</v>
      </c>
      <c r="N539">
        <v>2888623.5</v>
      </c>
    </row>
    <row r="540" spans="1:14" x14ac:dyDescent="0.25">
      <c r="A540" t="s">
        <v>1053</v>
      </c>
      <c r="B540" t="s">
        <v>17</v>
      </c>
      <c r="C540">
        <v>32</v>
      </c>
      <c r="D540" t="s">
        <v>18</v>
      </c>
      <c r="E540" t="s">
        <v>57</v>
      </c>
      <c r="F540" t="s">
        <v>35</v>
      </c>
      <c r="G540">
        <v>3425960</v>
      </c>
      <c r="H540">
        <v>22.24</v>
      </c>
      <c r="I540">
        <v>41.55</v>
      </c>
      <c r="J540" s="1">
        <v>43412</v>
      </c>
      <c r="K540">
        <v>270</v>
      </c>
      <c r="L540">
        <v>7</v>
      </c>
      <c r="M540">
        <v>342596</v>
      </c>
      <c r="N540">
        <v>2398172</v>
      </c>
    </row>
    <row r="541" spans="1:14" x14ac:dyDescent="0.25">
      <c r="A541" t="s">
        <v>1055</v>
      </c>
      <c r="B541" t="s">
        <v>17</v>
      </c>
      <c r="C541">
        <v>22</v>
      </c>
      <c r="D541" t="s">
        <v>28</v>
      </c>
      <c r="E541" t="s">
        <v>13</v>
      </c>
      <c r="F541" t="s">
        <v>41</v>
      </c>
      <c r="G541">
        <v>2510472</v>
      </c>
      <c r="H541">
        <v>17.399999999999999</v>
      </c>
      <c r="I541">
        <v>41.85</v>
      </c>
      <c r="J541" s="1">
        <v>45367</v>
      </c>
      <c r="K541">
        <v>43</v>
      </c>
      <c r="L541">
        <v>2</v>
      </c>
      <c r="M541">
        <v>251047.2</v>
      </c>
      <c r="N541">
        <v>502094.4</v>
      </c>
    </row>
    <row r="542" spans="1:14" x14ac:dyDescent="0.25">
      <c r="A542" t="s">
        <v>1057</v>
      </c>
      <c r="B542" t="s">
        <v>17</v>
      </c>
      <c r="C542">
        <v>47</v>
      </c>
      <c r="D542" t="s">
        <v>46</v>
      </c>
      <c r="E542" t="s">
        <v>13</v>
      </c>
      <c r="F542" t="s">
        <v>20</v>
      </c>
      <c r="G542">
        <v>918457</v>
      </c>
      <c r="H542">
        <v>19.72</v>
      </c>
      <c r="I542">
        <v>15.24</v>
      </c>
      <c r="J542" s="1">
        <v>44136</v>
      </c>
      <c r="K542">
        <v>153</v>
      </c>
      <c r="L542">
        <v>5</v>
      </c>
      <c r="M542">
        <v>91845.700000000012</v>
      </c>
      <c r="N542">
        <v>459228.50000000006</v>
      </c>
    </row>
    <row r="543" spans="1:14" x14ac:dyDescent="0.25">
      <c r="A543" t="s">
        <v>1059</v>
      </c>
      <c r="B543" t="s">
        <v>17</v>
      </c>
      <c r="C543">
        <v>29</v>
      </c>
      <c r="D543" t="s">
        <v>18</v>
      </c>
      <c r="E543" t="s">
        <v>19</v>
      </c>
      <c r="F543" t="s">
        <v>41</v>
      </c>
      <c r="G543">
        <v>4153711</v>
      </c>
      <c r="H543">
        <v>9</v>
      </c>
      <c r="I543">
        <v>-1.39</v>
      </c>
      <c r="J543" s="1">
        <v>45194</v>
      </c>
      <c r="K543">
        <v>363</v>
      </c>
      <c r="L543">
        <v>2</v>
      </c>
      <c r="M543">
        <v>415371.10000000003</v>
      </c>
      <c r="N543">
        <v>830742.20000000007</v>
      </c>
    </row>
    <row r="544" spans="1:14" x14ac:dyDescent="0.25">
      <c r="A544" t="s">
        <v>1061</v>
      </c>
      <c r="B544" t="s">
        <v>11</v>
      </c>
      <c r="C544">
        <v>24</v>
      </c>
      <c r="D544" t="s">
        <v>38</v>
      </c>
      <c r="E544" t="s">
        <v>50</v>
      </c>
      <c r="F544" t="s">
        <v>47</v>
      </c>
      <c r="G544">
        <v>1581390</v>
      </c>
      <c r="H544">
        <v>5.37</v>
      </c>
      <c r="I544">
        <v>33.5</v>
      </c>
      <c r="J544" s="1">
        <v>43698</v>
      </c>
      <c r="K544">
        <v>185</v>
      </c>
      <c r="L544">
        <v>6</v>
      </c>
      <c r="M544">
        <v>158139</v>
      </c>
      <c r="N544">
        <v>948834</v>
      </c>
    </row>
    <row r="545" spans="1:14" x14ac:dyDescent="0.25">
      <c r="A545" t="s">
        <v>1062</v>
      </c>
      <c r="B545" t="s">
        <v>17</v>
      </c>
      <c r="C545">
        <v>50</v>
      </c>
      <c r="D545" t="s">
        <v>46</v>
      </c>
      <c r="E545" t="s">
        <v>50</v>
      </c>
      <c r="F545" t="s">
        <v>20</v>
      </c>
      <c r="G545">
        <v>4520925</v>
      </c>
      <c r="H545">
        <v>27.1</v>
      </c>
      <c r="I545">
        <v>13.18</v>
      </c>
      <c r="J545" s="1">
        <v>44239</v>
      </c>
      <c r="K545">
        <v>315</v>
      </c>
      <c r="L545">
        <v>5</v>
      </c>
      <c r="M545">
        <v>452092.5</v>
      </c>
      <c r="N545">
        <v>2260462.5</v>
      </c>
    </row>
    <row r="546" spans="1:14" x14ac:dyDescent="0.25">
      <c r="A546" t="s">
        <v>1064</v>
      </c>
      <c r="B546" t="s">
        <v>11</v>
      </c>
      <c r="C546">
        <v>35</v>
      </c>
      <c r="D546" t="s">
        <v>12</v>
      </c>
      <c r="E546" t="s">
        <v>57</v>
      </c>
      <c r="F546" t="s">
        <v>30</v>
      </c>
      <c r="G546">
        <v>4932168</v>
      </c>
      <c r="H546">
        <v>6.22</v>
      </c>
      <c r="I546">
        <v>18.920000000000002</v>
      </c>
      <c r="J546" s="1">
        <v>43921</v>
      </c>
      <c r="K546">
        <v>111</v>
      </c>
      <c r="L546">
        <v>6</v>
      </c>
      <c r="M546">
        <v>493216.80000000005</v>
      </c>
      <c r="N546">
        <v>2959300.8000000003</v>
      </c>
    </row>
    <row r="547" spans="1:14" x14ac:dyDescent="0.25">
      <c r="A547" t="s">
        <v>1065</v>
      </c>
      <c r="B547" t="s">
        <v>11</v>
      </c>
      <c r="C547">
        <v>55</v>
      </c>
      <c r="D547" t="s">
        <v>38</v>
      </c>
      <c r="E547" t="s">
        <v>57</v>
      </c>
      <c r="F547" t="s">
        <v>47</v>
      </c>
      <c r="G547">
        <v>3231475</v>
      </c>
      <c r="H547">
        <v>17.22</v>
      </c>
      <c r="I547">
        <v>-3.77</v>
      </c>
      <c r="J547" s="1">
        <v>43931</v>
      </c>
      <c r="K547">
        <v>148</v>
      </c>
      <c r="L547">
        <v>6</v>
      </c>
      <c r="M547">
        <v>323147.5</v>
      </c>
      <c r="N547">
        <v>1938885</v>
      </c>
    </row>
    <row r="548" spans="1:14" x14ac:dyDescent="0.25">
      <c r="A548" t="s">
        <v>1066</v>
      </c>
      <c r="B548" t="s">
        <v>11</v>
      </c>
      <c r="C548">
        <v>62</v>
      </c>
      <c r="D548" t="s">
        <v>46</v>
      </c>
      <c r="E548" t="s">
        <v>13</v>
      </c>
      <c r="F548" t="s">
        <v>30</v>
      </c>
      <c r="G548">
        <v>2417468</v>
      </c>
      <c r="H548">
        <v>34.79</v>
      </c>
      <c r="I548">
        <v>8.81</v>
      </c>
      <c r="J548" s="1">
        <v>43901</v>
      </c>
      <c r="K548">
        <v>48</v>
      </c>
      <c r="L548">
        <v>6</v>
      </c>
      <c r="M548">
        <v>241746.80000000002</v>
      </c>
      <c r="N548">
        <v>1450480.8</v>
      </c>
    </row>
    <row r="549" spans="1:14" x14ac:dyDescent="0.25">
      <c r="A549" t="s">
        <v>1067</v>
      </c>
      <c r="B549" t="s">
        <v>11</v>
      </c>
      <c r="C549">
        <v>39</v>
      </c>
      <c r="D549" t="s">
        <v>12</v>
      </c>
      <c r="E549" t="s">
        <v>50</v>
      </c>
      <c r="F549" t="s">
        <v>47</v>
      </c>
      <c r="G549">
        <v>253393</v>
      </c>
      <c r="H549">
        <v>7.77</v>
      </c>
      <c r="I549">
        <v>30.03</v>
      </c>
      <c r="J549" s="1">
        <v>44000</v>
      </c>
      <c r="K549">
        <v>332</v>
      </c>
      <c r="L549">
        <v>6</v>
      </c>
      <c r="M549">
        <v>25339.300000000003</v>
      </c>
      <c r="N549">
        <v>152035.80000000002</v>
      </c>
    </row>
    <row r="550" spans="1:14" x14ac:dyDescent="0.25">
      <c r="A550" t="s">
        <v>1069</v>
      </c>
      <c r="B550" t="s">
        <v>17</v>
      </c>
      <c r="C550">
        <v>52</v>
      </c>
      <c r="D550" t="s">
        <v>46</v>
      </c>
      <c r="E550" t="s">
        <v>29</v>
      </c>
      <c r="F550" t="s">
        <v>30</v>
      </c>
      <c r="G550">
        <v>2747997</v>
      </c>
      <c r="H550">
        <v>19.670000000000002</v>
      </c>
      <c r="I550">
        <v>15.32</v>
      </c>
      <c r="J550" s="1">
        <v>45047</v>
      </c>
      <c r="K550">
        <v>194</v>
      </c>
      <c r="L550">
        <v>3</v>
      </c>
      <c r="M550">
        <v>274799.7</v>
      </c>
      <c r="N550">
        <v>824399.10000000009</v>
      </c>
    </row>
    <row r="551" spans="1:14" x14ac:dyDescent="0.25">
      <c r="A551" t="s">
        <v>1071</v>
      </c>
      <c r="B551" t="s">
        <v>17</v>
      </c>
      <c r="C551">
        <v>25</v>
      </c>
      <c r="D551" t="s">
        <v>12</v>
      </c>
      <c r="E551" t="s">
        <v>23</v>
      </c>
      <c r="F551" t="s">
        <v>20</v>
      </c>
      <c r="G551">
        <v>304681</v>
      </c>
      <c r="H551">
        <v>34.75</v>
      </c>
      <c r="I551">
        <v>44.31</v>
      </c>
      <c r="J551" s="1">
        <v>45575</v>
      </c>
      <c r="K551">
        <v>183</v>
      </c>
      <c r="L551">
        <v>1</v>
      </c>
      <c r="M551">
        <v>30468.100000000002</v>
      </c>
      <c r="N551">
        <v>30468.100000000002</v>
      </c>
    </row>
    <row r="552" spans="1:14" x14ac:dyDescent="0.25">
      <c r="A552" t="s">
        <v>1073</v>
      </c>
      <c r="B552" t="s">
        <v>17</v>
      </c>
      <c r="C552">
        <v>39</v>
      </c>
      <c r="D552" t="s">
        <v>18</v>
      </c>
      <c r="E552" t="s">
        <v>23</v>
      </c>
      <c r="F552" t="s">
        <v>47</v>
      </c>
      <c r="G552">
        <v>540837</v>
      </c>
      <c r="H552">
        <v>19.38</v>
      </c>
      <c r="I552">
        <v>44.01</v>
      </c>
      <c r="J552" s="1">
        <v>43268</v>
      </c>
      <c r="K552">
        <v>103</v>
      </c>
      <c r="L552">
        <v>8</v>
      </c>
      <c r="M552">
        <v>54083.700000000004</v>
      </c>
      <c r="N552">
        <v>432669.60000000003</v>
      </c>
    </row>
    <row r="553" spans="1:14" x14ac:dyDescent="0.25">
      <c r="A553" t="s">
        <v>1075</v>
      </c>
      <c r="B553" t="s">
        <v>11</v>
      </c>
      <c r="C553">
        <v>47</v>
      </c>
      <c r="D553" t="s">
        <v>12</v>
      </c>
      <c r="E553" t="s">
        <v>19</v>
      </c>
      <c r="F553" t="s">
        <v>14</v>
      </c>
      <c r="G553">
        <v>550241</v>
      </c>
      <c r="H553">
        <v>5.0999999999999996</v>
      </c>
      <c r="I553">
        <v>-7.98</v>
      </c>
      <c r="J553" s="1">
        <v>43922</v>
      </c>
      <c r="K553">
        <v>126</v>
      </c>
      <c r="L553">
        <v>6</v>
      </c>
      <c r="M553">
        <v>55024.100000000006</v>
      </c>
      <c r="N553">
        <v>330144.60000000003</v>
      </c>
    </row>
    <row r="554" spans="1:14" x14ac:dyDescent="0.25">
      <c r="A554" t="s">
        <v>1077</v>
      </c>
      <c r="B554" t="s">
        <v>17</v>
      </c>
      <c r="C554">
        <v>47</v>
      </c>
      <c r="D554" t="s">
        <v>18</v>
      </c>
      <c r="E554" t="s">
        <v>29</v>
      </c>
      <c r="F554" t="s">
        <v>35</v>
      </c>
      <c r="G554">
        <v>2666851</v>
      </c>
      <c r="H554">
        <v>5.62</v>
      </c>
      <c r="I554">
        <v>31.25</v>
      </c>
      <c r="J554" s="1">
        <v>44886</v>
      </c>
      <c r="K554">
        <v>84</v>
      </c>
      <c r="L554">
        <v>3</v>
      </c>
      <c r="M554">
        <v>266685.10000000003</v>
      </c>
      <c r="N554">
        <v>800055.3</v>
      </c>
    </row>
    <row r="555" spans="1:14" x14ac:dyDescent="0.25">
      <c r="A555" t="s">
        <v>1079</v>
      </c>
      <c r="B555" t="s">
        <v>11</v>
      </c>
      <c r="C555">
        <v>47</v>
      </c>
      <c r="D555" t="s">
        <v>28</v>
      </c>
      <c r="E555" t="s">
        <v>13</v>
      </c>
      <c r="F555" t="s">
        <v>20</v>
      </c>
      <c r="G555">
        <v>1302336</v>
      </c>
      <c r="H555">
        <v>29.88</v>
      </c>
      <c r="I555">
        <v>25.52</v>
      </c>
      <c r="J555" s="1">
        <v>43665</v>
      </c>
      <c r="K555">
        <v>66</v>
      </c>
      <c r="L555">
        <v>7</v>
      </c>
      <c r="M555">
        <v>130233.60000000001</v>
      </c>
      <c r="N555">
        <v>911635.20000000007</v>
      </c>
    </row>
    <row r="556" spans="1:14" x14ac:dyDescent="0.25">
      <c r="A556" t="s">
        <v>1081</v>
      </c>
      <c r="B556" t="s">
        <v>17</v>
      </c>
      <c r="C556">
        <v>38</v>
      </c>
      <c r="D556" t="s">
        <v>46</v>
      </c>
      <c r="E556" t="s">
        <v>23</v>
      </c>
      <c r="F556" t="s">
        <v>47</v>
      </c>
      <c r="G556">
        <v>2925123</v>
      </c>
      <c r="H556">
        <v>24.87</v>
      </c>
      <c r="I556">
        <v>6.75</v>
      </c>
      <c r="J556" s="1">
        <v>45001</v>
      </c>
      <c r="K556">
        <v>103</v>
      </c>
      <c r="L556">
        <v>3</v>
      </c>
      <c r="M556">
        <v>292512.3</v>
      </c>
      <c r="N556">
        <v>877536.89999999991</v>
      </c>
    </row>
    <row r="557" spans="1:14" x14ac:dyDescent="0.25">
      <c r="A557" t="s">
        <v>1083</v>
      </c>
      <c r="B557" t="s">
        <v>11</v>
      </c>
      <c r="C557">
        <v>64</v>
      </c>
      <c r="D557" t="s">
        <v>18</v>
      </c>
      <c r="E557" t="s">
        <v>19</v>
      </c>
      <c r="F557" t="s">
        <v>41</v>
      </c>
      <c r="G557">
        <v>4402585</v>
      </c>
      <c r="H557">
        <v>32.590000000000003</v>
      </c>
      <c r="I557">
        <v>-9.39</v>
      </c>
      <c r="J557" s="1">
        <v>43314</v>
      </c>
      <c r="K557">
        <v>38</v>
      </c>
      <c r="L557">
        <v>7</v>
      </c>
      <c r="M557">
        <v>440258.5</v>
      </c>
      <c r="N557">
        <v>3081809.5</v>
      </c>
    </row>
    <row r="558" spans="1:14" x14ac:dyDescent="0.25">
      <c r="A558" t="s">
        <v>1085</v>
      </c>
      <c r="B558" t="s">
        <v>17</v>
      </c>
      <c r="C558">
        <v>64</v>
      </c>
      <c r="D558" t="s">
        <v>18</v>
      </c>
      <c r="E558" t="s">
        <v>19</v>
      </c>
      <c r="F558" t="s">
        <v>14</v>
      </c>
      <c r="G558">
        <v>4624713</v>
      </c>
      <c r="H558">
        <v>10.41</v>
      </c>
      <c r="I558">
        <v>-8.36</v>
      </c>
      <c r="J558" s="1">
        <v>44807</v>
      </c>
      <c r="K558">
        <v>122</v>
      </c>
      <c r="L558">
        <v>3</v>
      </c>
      <c r="M558">
        <v>462471.30000000005</v>
      </c>
      <c r="N558">
        <v>1387413.9000000001</v>
      </c>
    </row>
    <row r="559" spans="1:14" x14ac:dyDescent="0.25">
      <c r="A559" t="s">
        <v>1087</v>
      </c>
      <c r="B559" t="s">
        <v>17</v>
      </c>
      <c r="C559">
        <v>27</v>
      </c>
      <c r="D559" t="s">
        <v>46</v>
      </c>
      <c r="E559" t="s">
        <v>29</v>
      </c>
      <c r="F559" t="s">
        <v>35</v>
      </c>
      <c r="G559">
        <v>1325728</v>
      </c>
      <c r="H559">
        <v>9.31</v>
      </c>
      <c r="I559">
        <v>33.96</v>
      </c>
      <c r="J559" s="1">
        <v>45353</v>
      </c>
      <c r="K559">
        <v>309</v>
      </c>
      <c r="L559">
        <v>2</v>
      </c>
      <c r="M559">
        <v>132572.80000000002</v>
      </c>
      <c r="N559">
        <v>265145.60000000003</v>
      </c>
    </row>
    <row r="560" spans="1:14" x14ac:dyDescent="0.25">
      <c r="A560" t="s">
        <v>1089</v>
      </c>
      <c r="B560" t="s">
        <v>11</v>
      </c>
      <c r="C560">
        <v>27</v>
      </c>
      <c r="D560" t="s">
        <v>46</v>
      </c>
      <c r="E560" t="s">
        <v>13</v>
      </c>
      <c r="F560" t="s">
        <v>41</v>
      </c>
      <c r="G560">
        <v>1653499</v>
      </c>
      <c r="H560">
        <v>9.86</v>
      </c>
      <c r="I560">
        <v>-3.54</v>
      </c>
      <c r="J560" s="1">
        <v>44706</v>
      </c>
      <c r="K560">
        <v>53</v>
      </c>
      <c r="L560">
        <v>4</v>
      </c>
      <c r="M560">
        <v>165349.90000000002</v>
      </c>
      <c r="N560">
        <v>661399.60000000009</v>
      </c>
    </row>
    <row r="561" spans="1:14" x14ac:dyDescent="0.25">
      <c r="A561" t="s">
        <v>1091</v>
      </c>
      <c r="B561" t="s">
        <v>11</v>
      </c>
      <c r="C561">
        <v>36</v>
      </c>
      <c r="D561" t="s">
        <v>12</v>
      </c>
      <c r="E561" t="s">
        <v>29</v>
      </c>
      <c r="F561" t="s">
        <v>41</v>
      </c>
      <c r="G561">
        <v>856334</v>
      </c>
      <c r="H561">
        <v>30.79</v>
      </c>
      <c r="I561">
        <v>3.74</v>
      </c>
      <c r="J561" s="1">
        <v>43970</v>
      </c>
      <c r="K561">
        <v>327</v>
      </c>
      <c r="L561">
        <v>6</v>
      </c>
      <c r="M561">
        <v>85633.400000000009</v>
      </c>
      <c r="N561">
        <v>513800.4</v>
      </c>
    </row>
    <row r="562" spans="1:14" x14ac:dyDescent="0.25">
      <c r="A562" t="s">
        <v>1092</v>
      </c>
      <c r="B562" t="s">
        <v>11</v>
      </c>
      <c r="C562">
        <v>41</v>
      </c>
      <c r="D562" t="s">
        <v>18</v>
      </c>
      <c r="E562" t="s">
        <v>50</v>
      </c>
      <c r="F562" t="s">
        <v>47</v>
      </c>
      <c r="G562">
        <v>3399617</v>
      </c>
      <c r="H562">
        <v>28.62</v>
      </c>
      <c r="I562">
        <v>5.75</v>
      </c>
      <c r="J562" s="1">
        <v>44910</v>
      </c>
      <c r="K562">
        <v>120</v>
      </c>
      <c r="L562">
        <v>3</v>
      </c>
      <c r="M562">
        <v>339961.7</v>
      </c>
      <c r="N562">
        <v>1019885.1000000001</v>
      </c>
    </row>
    <row r="563" spans="1:14" x14ac:dyDescent="0.25">
      <c r="A563" t="s">
        <v>1094</v>
      </c>
      <c r="B563" t="s">
        <v>17</v>
      </c>
      <c r="C563">
        <v>40</v>
      </c>
      <c r="D563" t="s">
        <v>18</v>
      </c>
      <c r="E563" t="s">
        <v>50</v>
      </c>
      <c r="F563" t="s">
        <v>30</v>
      </c>
      <c r="G563">
        <v>3672766</v>
      </c>
      <c r="H563">
        <v>11.95</v>
      </c>
      <c r="I563">
        <v>-3.84</v>
      </c>
      <c r="J563" s="1">
        <v>45328</v>
      </c>
      <c r="K563">
        <v>9</v>
      </c>
      <c r="L563">
        <v>2</v>
      </c>
      <c r="M563">
        <v>367276.60000000003</v>
      </c>
      <c r="N563">
        <v>734553.20000000007</v>
      </c>
    </row>
    <row r="564" spans="1:14" x14ac:dyDescent="0.25">
      <c r="A564" t="s">
        <v>1096</v>
      </c>
      <c r="B564" t="s">
        <v>11</v>
      </c>
      <c r="C564">
        <v>62</v>
      </c>
      <c r="D564" t="s">
        <v>46</v>
      </c>
      <c r="E564" t="s">
        <v>23</v>
      </c>
      <c r="F564" t="s">
        <v>20</v>
      </c>
      <c r="G564">
        <v>1877421</v>
      </c>
      <c r="H564">
        <v>27.46</v>
      </c>
      <c r="I564">
        <v>-3.92</v>
      </c>
      <c r="J564" s="1">
        <v>43142</v>
      </c>
      <c r="K564">
        <v>32</v>
      </c>
      <c r="L564">
        <v>8</v>
      </c>
      <c r="M564">
        <v>187742.1</v>
      </c>
      <c r="N564">
        <v>1501936.8</v>
      </c>
    </row>
    <row r="565" spans="1:14" x14ac:dyDescent="0.25">
      <c r="A565" t="s">
        <v>1097</v>
      </c>
      <c r="B565" t="s">
        <v>17</v>
      </c>
      <c r="C565">
        <v>61</v>
      </c>
      <c r="D565" t="s">
        <v>38</v>
      </c>
      <c r="E565" t="s">
        <v>50</v>
      </c>
      <c r="F565" t="s">
        <v>35</v>
      </c>
      <c r="G565">
        <v>1998500</v>
      </c>
      <c r="H565">
        <v>34.33</v>
      </c>
      <c r="I565">
        <v>29.15</v>
      </c>
      <c r="J565" s="1">
        <v>44294</v>
      </c>
      <c r="K565">
        <v>94</v>
      </c>
      <c r="L565">
        <v>5</v>
      </c>
      <c r="M565">
        <v>199850</v>
      </c>
      <c r="N565">
        <v>999250</v>
      </c>
    </row>
    <row r="566" spans="1:14" x14ac:dyDescent="0.25">
      <c r="A566" t="s">
        <v>1098</v>
      </c>
      <c r="B566" t="s">
        <v>17</v>
      </c>
      <c r="C566">
        <v>30</v>
      </c>
      <c r="D566" t="s">
        <v>38</v>
      </c>
      <c r="E566" t="s">
        <v>13</v>
      </c>
      <c r="F566" t="s">
        <v>14</v>
      </c>
      <c r="G566">
        <v>816194</v>
      </c>
      <c r="H566">
        <v>26.91</v>
      </c>
      <c r="I566">
        <v>39.450000000000003</v>
      </c>
      <c r="J566" s="1">
        <v>45056</v>
      </c>
      <c r="K566">
        <v>248</v>
      </c>
      <c r="L566">
        <v>3</v>
      </c>
      <c r="M566">
        <v>81619.400000000009</v>
      </c>
      <c r="N566">
        <v>244858.2</v>
      </c>
    </row>
    <row r="567" spans="1:14" x14ac:dyDescent="0.25">
      <c r="A567" t="s">
        <v>1100</v>
      </c>
      <c r="B567" t="s">
        <v>17</v>
      </c>
      <c r="C567">
        <v>60</v>
      </c>
      <c r="D567" t="s">
        <v>28</v>
      </c>
      <c r="E567" t="s">
        <v>50</v>
      </c>
      <c r="F567" t="s">
        <v>30</v>
      </c>
      <c r="G567">
        <v>3101840</v>
      </c>
      <c r="H567">
        <v>26.43</v>
      </c>
      <c r="I567">
        <v>39.729999999999997</v>
      </c>
      <c r="J567" s="1">
        <v>44183</v>
      </c>
      <c r="K567">
        <v>49</v>
      </c>
      <c r="L567">
        <v>5</v>
      </c>
      <c r="M567">
        <v>310184</v>
      </c>
      <c r="N567">
        <v>1550920</v>
      </c>
    </row>
    <row r="568" spans="1:14" x14ac:dyDescent="0.25">
      <c r="A568" t="s">
        <v>1102</v>
      </c>
      <c r="B568" t="s">
        <v>11</v>
      </c>
      <c r="C568">
        <v>49</v>
      </c>
      <c r="D568" t="s">
        <v>18</v>
      </c>
      <c r="E568" t="s">
        <v>19</v>
      </c>
      <c r="F568" t="s">
        <v>47</v>
      </c>
      <c r="G568">
        <v>1637292</v>
      </c>
      <c r="H568">
        <v>26.03</v>
      </c>
      <c r="I568">
        <v>35.86</v>
      </c>
      <c r="J568" s="1">
        <v>44194</v>
      </c>
      <c r="K568">
        <v>163</v>
      </c>
      <c r="L568">
        <v>5</v>
      </c>
      <c r="M568">
        <v>163729.20000000001</v>
      </c>
      <c r="N568">
        <v>818646</v>
      </c>
    </row>
    <row r="569" spans="1:14" x14ac:dyDescent="0.25">
      <c r="A569" t="s">
        <v>1104</v>
      </c>
      <c r="B569" t="s">
        <v>17</v>
      </c>
      <c r="C569">
        <v>32</v>
      </c>
      <c r="D569" t="s">
        <v>38</v>
      </c>
      <c r="E569" t="s">
        <v>13</v>
      </c>
      <c r="F569" t="s">
        <v>35</v>
      </c>
      <c r="G569">
        <v>3804259</v>
      </c>
      <c r="H569">
        <v>7.75</v>
      </c>
      <c r="I569">
        <v>5.55</v>
      </c>
      <c r="J569" s="1">
        <v>45447</v>
      </c>
      <c r="K569">
        <v>333</v>
      </c>
      <c r="L569">
        <v>2</v>
      </c>
      <c r="M569">
        <v>380425.9</v>
      </c>
      <c r="N569">
        <v>760851.8</v>
      </c>
    </row>
    <row r="570" spans="1:14" x14ac:dyDescent="0.25">
      <c r="A570" t="s">
        <v>1106</v>
      </c>
      <c r="B570" t="s">
        <v>11</v>
      </c>
      <c r="C570">
        <v>50</v>
      </c>
      <c r="D570" t="s">
        <v>38</v>
      </c>
      <c r="E570" t="s">
        <v>19</v>
      </c>
      <c r="F570" t="s">
        <v>35</v>
      </c>
      <c r="G570">
        <v>4219427</v>
      </c>
      <c r="H570">
        <v>31.31</v>
      </c>
      <c r="I570">
        <v>8.65</v>
      </c>
      <c r="J570" s="1">
        <v>43842</v>
      </c>
      <c r="K570">
        <v>133</v>
      </c>
      <c r="L570">
        <v>6</v>
      </c>
      <c r="M570">
        <v>421942.7</v>
      </c>
      <c r="N570">
        <v>2531656.2000000002</v>
      </c>
    </row>
    <row r="571" spans="1:14" x14ac:dyDescent="0.25">
      <c r="A571" t="s">
        <v>1108</v>
      </c>
      <c r="B571" t="s">
        <v>11</v>
      </c>
      <c r="C571">
        <v>45</v>
      </c>
      <c r="D571" t="s">
        <v>38</v>
      </c>
      <c r="E571" t="s">
        <v>23</v>
      </c>
      <c r="F571" t="s">
        <v>47</v>
      </c>
      <c r="G571">
        <v>3874528</v>
      </c>
      <c r="H571">
        <v>17.54</v>
      </c>
      <c r="I571">
        <v>19.86</v>
      </c>
      <c r="J571" s="1">
        <v>44902</v>
      </c>
      <c r="K571">
        <v>293</v>
      </c>
      <c r="L571">
        <v>3</v>
      </c>
      <c r="M571">
        <v>387452.80000000005</v>
      </c>
      <c r="N571">
        <v>1162358.4000000001</v>
      </c>
    </row>
    <row r="572" spans="1:14" x14ac:dyDescent="0.25">
      <c r="A572" t="s">
        <v>1109</v>
      </c>
      <c r="B572" t="s">
        <v>17</v>
      </c>
      <c r="C572">
        <v>62</v>
      </c>
      <c r="D572" t="s">
        <v>38</v>
      </c>
      <c r="E572" t="s">
        <v>19</v>
      </c>
      <c r="F572" t="s">
        <v>47</v>
      </c>
      <c r="G572">
        <v>109740</v>
      </c>
      <c r="H572">
        <v>23.48</v>
      </c>
      <c r="I572">
        <v>20.77</v>
      </c>
      <c r="J572" s="1">
        <v>43644</v>
      </c>
      <c r="K572">
        <v>144</v>
      </c>
      <c r="L572">
        <v>7</v>
      </c>
      <c r="M572">
        <v>10974</v>
      </c>
      <c r="N572">
        <v>76818</v>
      </c>
    </row>
    <row r="573" spans="1:14" x14ac:dyDescent="0.25">
      <c r="A573" t="s">
        <v>1111</v>
      </c>
      <c r="B573" t="s">
        <v>17</v>
      </c>
      <c r="C573">
        <v>33</v>
      </c>
      <c r="D573" t="s">
        <v>46</v>
      </c>
      <c r="E573" t="s">
        <v>23</v>
      </c>
      <c r="F573" t="s">
        <v>47</v>
      </c>
      <c r="G573">
        <v>1954018</v>
      </c>
      <c r="H573">
        <v>23.76</v>
      </c>
      <c r="I573">
        <v>3.19</v>
      </c>
      <c r="J573" s="1">
        <v>44023</v>
      </c>
      <c r="K573">
        <v>28</v>
      </c>
      <c r="L573">
        <v>6</v>
      </c>
      <c r="M573">
        <v>195401.80000000002</v>
      </c>
      <c r="N573">
        <v>1172410.8</v>
      </c>
    </row>
    <row r="574" spans="1:14" x14ac:dyDescent="0.25">
      <c r="A574" t="s">
        <v>1112</v>
      </c>
      <c r="B574" t="s">
        <v>11</v>
      </c>
      <c r="C574">
        <v>38</v>
      </c>
      <c r="D574" t="s">
        <v>46</v>
      </c>
      <c r="E574" t="s">
        <v>19</v>
      </c>
      <c r="F574" t="s">
        <v>20</v>
      </c>
      <c r="G574">
        <v>2650246</v>
      </c>
      <c r="H574">
        <v>22.28</v>
      </c>
      <c r="I574">
        <v>1.29</v>
      </c>
      <c r="J574" s="1">
        <v>45133</v>
      </c>
      <c r="K574">
        <v>351</v>
      </c>
      <c r="L574">
        <v>2</v>
      </c>
      <c r="M574">
        <v>265024.60000000003</v>
      </c>
      <c r="N574">
        <v>530049.20000000007</v>
      </c>
    </row>
    <row r="575" spans="1:14" x14ac:dyDescent="0.25">
      <c r="A575" t="s">
        <v>1114</v>
      </c>
      <c r="B575" t="s">
        <v>17</v>
      </c>
      <c r="C575">
        <v>47</v>
      </c>
      <c r="D575" t="s">
        <v>38</v>
      </c>
      <c r="E575" t="s">
        <v>57</v>
      </c>
      <c r="F575" t="s">
        <v>20</v>
      </c>
      <c r="G575">
        <v>2625434</v>
      </c>
      <c r="H575">
        <v>15.85</v>
      </c>
      <c r="I575">
        <v>4.78</v>
      </c>
      <c r="J575" s="1">
        <v>44897</v>
      </c>
      <c r="K575">
        <v>150</v>
      </c>
      <c r="L575">
        <v>3</v>
      </c>
      <c r="M575">
        <v>262543.40000000002</v>
      </c>
      <c r="N575">
        <v>787630.20000000007</v>
      </c>
    </row>
    <row r="576" spans="1:14" x14ac:dyDescent="0.25">
      <c r="A576" t="s">
        <v>1116</v>
      </c>
      <c r="B576" t="s">
        <v>11</v>
      </c>
      <c r="C576">
        <v>21</v>
      </c>
      <c r="D576" t="s">
        <v>28</v>
      </c>
      <c r="E576" t="s">
        <v>50</v>
      </c>
      <c r="F576" t="s">
        <v>35</v>
      </c>
      <c r="G576">
        <v>1246552</v>
      </c>
      <c r="H576">
        <v>28.77</v>
      </c>
      <c r="I576">
        <v>40.44</v>
      </c>
      <c r="J576" s="1">
        <v>44750</v>
      </c>
      <c r="K576">
        <v>263</v>
      </c>
      <c r="L576">
        <v>4</v>
      </c>
      <c r="M576">
        <v>124655.20000000001</v>
      </c>
      <c r="N576">
        <v>498620.80000000005</v>
      </c>
    </row>
    <row r="577" spans="1:14" x14ac:dyDescent="0.25">
      <c r="A577" t="s">
        <v>1117</v>
      </c>
      <c r="B577" t="s">
        <v>17</v>
      </c>
      <c r="C577">
        <v>46</v>
      </c>
      <c r="D577" t="s">
        <v>38</v>
      </c>
      <c r="E577" t="s">
        <v>50</v>
      </c>
      <c r="F577" t="s">
        <v>30</v>
      </c>
      <c r="G577">
        <v>4516143</v>
      </c>
      <c r="H577">
        <v>9.3000000000000007</v>
      </c>
      <c r="I577">
        <v>32.76</v>
      </c>
      <c r="J577" s="1">
        <v>43817</v>
      </c>
      <c r="K577">
        <v>341</v>
      </c>
      <c r="L577">
        <v>6</v>
      </c>
      <c r="M577">
        <v>451614.30000000005</v>
      </c>
      <c r="N577">
        <v>2709685.8000000003</v>
      </c>
    </row>
    <row r="578" spans="1:14" x14ac:dyDescent="0.25">
      <c r="A578" t="s">
        <v>1119</v>
      </c>
      <c r="B578" t="s">
        <v>17</v>
      </c>
      <c r="C578">
        <v>47</v>
      </c>
      <c r="D578" t="s">
        <v>38</v>
      </c>
      <c r="E578" t="s">
        <v>13</v>
      </c>
      <c r="F578" t="s">
        <v>35</v>
      </c>
      <c r="G578">
        <v>880870</v>
      </c>
      <c r="H578">
        <v>13.88</v>
      </c>
      <c r="I578">
        <v>41.46</v>
      </c>
      <c r="J578" s="1">
        <v>44232</v>
      </c>
      <c r="K578">
        <v>325</v>
      </c>
      <c r="L578">
        <v>5</v>
      </c>
      <c r="M578">
        <v>88087</v>
      </c>
      <c r="N578">
        <v>440435</v>
      </c>
    </row>
    <row r="579" spans="1:14" x14ac:dyDescent="0.25">
      <c r="A579" t="s">
        <v>1120</v>
      </c>
      <c r="B579" t="s">
        <v>17</v>
      </c>
      <c r="C579">
        <v>51</v>
      </c>
      <c r="D579" t="s">
        <v>28</v>
      </c>
      <c r="E579" t="s">
        <v>23</v>
      </c>
      <c r="F579" t="s">
        <v>47</v>
      </c>
      <c r="G579">
        <v>3489115</v>
      </c>
      <c r="H579">
        <v>24.37</v>
      </c>
      <c r="I579">
        <v>2.75</v>
      </c>
      <c r="J579" s="1">
        <v>45225</v>
      </c>
      <c r="K579">
        <v>198</v>
      </c>
      <c r="L579">
        <v>2</v>
      </c>
      <c r="M579">
        <v>348911.5</v>
      </c>
      <c r="N579">
        <v>697823</v>
      </c>
    </row>
    <row r="580" spans="1:14" x14ac:dyDescent="0.25">
      <c r="A580" t="s">
        <v>1122</v>
      </c>
      <c r="B580" t="s">
        <v>11</v>
      </c>
      <c r="C580">
        <v>52</v>
      </c>
      <c r="D580" t="s">
        <v>28</v>
      </c>
      <c r="E580" t="s">
        <v>13</v>
      </c>
      <c r="F580" t="s">
        <v>30</v>
      </c>
      <c r="G580">
        <v>3215897</v>
      </c>
      <c r="H580">
        <v>23.94</v>
      </c>
      <c r="I580">
        <v>19.309999999999999</v>
      </c>
      <c r="J580" s="1">
        <v>45178</v>
      </c>
      <c r="K580">
        <v>115</v>
      </c>
      <c r="L580">
        <v>2</v>
      </c>
      <c r="M580">
        <v>321589.7</v>
      </c>
      <c r="N580">
        <v>643179.4</v>
      </c>
    </row>
    <row r="581" spans="1:14" x14ac:dyDescent="0.25">
      <c r="A581" t="s">
        <v>1124</v>
      </c>
      <c r="B581" t="s">
        <v>17</v>
      </c>
      <c r="C581">
        <v>29</v>
      </c>
      <c r="D581" t="s">
        <v>18</v>
      </c>
      <c r="E581" t="s">
        <v>29</v>
      </c>
      <c r="F581" t="s">
        <v>41</v>
      </c>
      <c r="G581">
        <v>1488338</v>
      </c>
      <c r="H581">
        <v>6.7</v>
      </c>
      <c r="I581">
        <v>26.74</v>
      </c>
      <c r="J581" s="1">
        <v>45535</v>
      </c>
      <c r="K581">
        <v>77</v>
      </c>
      <c r="L581">
        <v>1</v>
      </c>
      <c r="M581">
        <v>148833.80000000002</v>
      </c>
      <c r="N581">
        <v>148833.80000000002</v>
      </c>
    </row>
    <row r="582" spans="1:14" x14ac:dyDescent="0.25">
      <c r="A582" t="s">
        <v>1126</v>
      </c>
      <c r="B582" t="s">
        <v>11</v>
      </c>
      <c r="C582">
        <v>32</v>
      </c>
      <c r="D582" t="s">
        <v>28</v>
      </c>
      <c r="E582" t="s">
        <v>50</v>
      </c>
      <c r="F582" t="s">
        <v>30</v>
      </c>
      <c r="G582">
        <v>1602297</v>
      </c>
      <c r="H582">
        <v>19.63</v>
      </c>
      <c r="I582">
        <v>13.97</v>
      </c>
      <c r="J582" s="1">
        <v>44073</v>
      </c>
      <c r="K582">
        <v>87</v>
      </c>
      <c r="L582">
        <v>5</v>
      </c>
      <c r="M582">
        <v>160229.70000000001</v>
      </c>
      <c r="N582">
        <v>801148.5</v>
      </c>
    </row>
    <row r="583" spans="1:14" x14ac:dyDescent="0.25">
      <c r="A583" t="s">
        <v>1127</v>
      </c>
      <c r="B583" t="s">
        <v>17</v>
      </c>
      <c r="C583">
        <v>43</v>
      </c>
      <c r="D583" t="s">
        <v>18</v>
      </c>
      <c r="E583" t="s">
        <v>29</v>
      </c>
      <c r="F583" t="s">
        <v>41</v>
      </c>
      <c r="G583">
        <v>2790672</v>
      </c>
      <c r="H583">
        <v>34.18</v>
      </c>
      <c r="I583">
        <v>15.27</v>
      </c>
      <c r="J583" s="1">
        <v>44916</v>
      </c>
      <c r="K583">
        <v>117</v>
      </c>
      <c r="L583">
        <v>3</v>
      </c>
      <c r="M583">
        <v>279067.2</v>
      </c>
      <c r="N583">
        <v>837201.60000000009</v>
      </c>
    </row>
    <row r="584" spans="1:14" x14ac:dyDescent="0.25">
      <c r="A584" t="s">
        <v>1129</v>
      </c>
      <c r="B584" t="s">
        <v>11</v>
      </c>
      <c r="C584">
        <v>42</v>
      </c>
      <c r="D584" t="s">
        <v>28</v>
      </c>
      <c r="E584" t="s">
        <v>29</v>
      </c>
      <c r="F584" t="s">
        <v>41</v>
      </c>
      <c r="G584">
        <v>2229780</v>
      </c>
      <c r="H584">
        <v>9.11</v>
      </c>
      <c r="I584">
        <v>23.43</v>
      </c>
      <c r="J584" s="1">
        <v>44184</v>
      </c>
      <c r="K584">
        <v>113</v>
      </c>
      <c r="L584">
        <v>5</v>
      </c>
      <c r="M584">
        <v>222978</v>
      </c>
      <c r="N584">
        <v>1114890</v>
      </c>
    </row>
    <row r="585" spans="1:14" x14ac:dyDescent="0.25">
      <c r="A585" t="s">
        <v>1131</v>
      </c>
      <c r="B585" t="s">
        <v>17</v>
      </c>
      <c r="C585">
        <v>41</v>
      </c>
      <c r="D585" t="s">
        <v>46</v>
      </c>
      <c r="E585" t="s">
        <v>13</v>
      </c>
      <c r="F585" t="s">
        <v>47</v>
      </c>
      <c r="G585">
        <v>2935722</v>
      </c>
      <c r="H585">
        <v>34.380000000000003</v>
      </c>
      <c r="I585">
        <v>7.82</v>
      </c>
      <c r="J585" s="1">
        <v>43822</v>
      </c>
      <c r="K585">
        <v>337</v>
      </c>
      <c r="L585">
        <v>6</v>
      </c>
      <c r="M585">
        <v>293572.2</v>
      </c>
      <c r="N585">
        <v>1761433.2000000002</v>
      </c>
    </row>
    <row r="586" spans="1:14" x14ac:dyDescent="0.25">
      <c r="A586" t="s">
        <v>1132</v>
      </c>
      <c r="B586" t="s">
        <v>17</v>
      </c>
      <c r="C586">
        <v>26</v>
      </c>
      <c r="D586" t="s">
        <v>28</v>
      </c>
      <c r="E586" t="s">
        <v>29</v>
      </c>
      <c r="F586" t="s">
        <v>14</v>
      </c>
      <c r="G586">
        <v>3917956</v>
      </c>
      <c r="H586">
        <v>34.83</v>
      </c>
      <c r="I586">
        <v>35.96</v>
      </c>
      <c r="J586" s="1">
        <v>44280</v>
      </c>
      <c r="K586">
        <v>153</v>
      </c>
      <c r="L586">
        <v>5</v>
      </c>
      <c r="M586">
        <v>391795.60000000003</v>
      </c>
      <c r="N586">
        <v>1958978.0000000002</v>
      </c>
    </row>
    <row r="587" spans="1:14" x14ac:dyDescent="0.25">
      <c r="A587" t="s">
        <v>1134</v>
      </c>
      <c r="B587" t="s">
        <v>11</v>
      </c>
      <c r="C587">
        <v>48</v>
      </c>
      <c r="D587" t="s">
        <v>38</v>
      </c>
      <c r="E587" t="s">
        <v>23</v>
      </c>
      <c r="F587" t="s">
        <v>14</v>
      </c>
      <c r="G587">
        <v>2569361</v>
      </c>
      <c r="H587">
        <v>6.07</v>
      </c>
      <c r="I587">
        <v>6.03</v>
      </c>
      <c r="J587" s="1">
        <v>43255</v>
      </c>
      <c r="K587">
        <v>172</v>
      </c>
      <c r="L587">
        <v>8</v>
      </c>
      <c r="M587">
        <v>256936.1</v>
      </c>
      <c r="N587">
        <v>2055488.8</v>
      </c>
    </row>
    <row r="588" spans="1:14" x14ac:dyDescent="0.25">
      <c r="A588" t="s">
        <v>1136</v>
      </c>
      <c r="B588" t="s">
        <v>17</v>
      </c>
      <c r="C588">
        <v>41</v>
      </c>
      <c r="D588" t="s">
        <v>18</v>
      </c>
      <c r="E588" t="s">
        <v>23</v>
      </c>
      <c r="F588" t="s">
        <v>14</v>
      </c>
      <c r="G588">
        <v>3540552</v>
      </c>
      <c r="H588">
        <v>27.63</v>
      </c>
      <c r="I588">
        <v>-7.11</v>
      </c>
      <c r="J588" s="1">
        <v>44280</v>
      </c>
      <c r="K588">
        <v>172</v>
      </c>
      <c r="L588">
        <v>5</v>
      </c>
      <c r="M588">
        <v>354055.2</v>
      </c>
      <c r="N588">
        <v>1770276</v>
      </c>
    </row>
    <row r="589" spans="1:14" x14ac:dyDescent="0.25">
      <c r="A589" t="s">
        <v>1137</v>
      </c>
      <c r="B589" t="s">
        <v>11</v>
      </c>
      <c r="C589">
        <v>44</v>
      </c>
      <c r="D589" t="s">
        <v>38</v>
      </c>
      <c r="E589" t="s">
        <v>23</v>
      </c>
      <c r="F589" t="s">
        <v>20</v>
      </c>
      <c r="G589">
        <v>4847007</v>
      </c>
      <c r="H589">
        <v>34.11</v>
      </c>
      <c r="I589">
        <v>30.83</v>
      </c>
      <c r="J589" s="1">
        <v>44811</v>
      </c>
      <c r="K589">
        <v>238</v>
      </c>
      <c r="L589">
        <v>3</v>
      </c>
      <c r="M589">
        <v>484700.7</v>
      </c>
      <c r="N589">
        <v>1454102.1</v>
      </c>
    </row>
    <row r="590" spans="1:14" x14ac:dyDescent="0.25">
      <c r="A590" t="s">
        <v>1139</v>
      </c>
      <c r="B590" t="s">
        <v>11</v>
      </c>
      <c r="C590">
        <v>32</v>
      </c>
      <c r="D590" t="s">
        <v>38</v>
      </c>
      <c r="E590" t="s">
        <v>57</v>
      </c>
      <c r="F590" t="s">
        <v>35</v>
      </c>
      <c r="G590">
        <v>1529913</v>
      </c>
      <c r="H590">
        <v>31.25</v>
      </c>
      <c r="I590">
        <v>5.6</v>
      </c>
      <c r="J590" s="1">
        <v>44913</v>
      </c>
      <c r="K590">
        <v>351</v>
      </c>
      <c r="L590">
        <v>3</v>
      </c>
      <c r="M590">
        <v>152991.30000000002</v>
      </c>
      <c r="N590">
        <v>458973.9</v>
      </c>
    </row>
    <row r="591" spans="1:14" x14ac:dyDescent="0.25">
      <c r="A591" t="s">
        <v>1141</v>
      </c>
      <c r="B591" t="s">
        <v>11</v>
      </c>
      <c r="C591">
        <v>63</v>
      </c>
      <c r="D591" t="s">
        <v>46</v>
      </c>
      <c r="E591" t="s">
        <v>57</v>
      </c>
      <c r="F591" t="s">
        <v>30</v>
      </c>
      <c r="G591">
        <v>4962174</v>
      </c>
      <c r="H591">
        <v>18.34</v>
      </c>
      <c r="I591">
        <v>-7.57</v>
      </c>
      <c r="J591" s="1">
        <v>44852</v>
      </c>
      <c r="K591">
        <v>166</v>
      </c>
      <c r="L591">
        <v>3</v>
      </c>
      <c r="M591">
        <v>496217.4</v>
      </c>
      <c r="N591">
        <v>1488652.2000000002</v>
      </c>
    </row>
    <row r="592" spans="1:14" x14ac:dyDescent="0.25">
      <c r="A592" t="s">
        <v>1142</v>
      </c>
      <c r="B592" t="s">
        <v>11</v>
      </c>
      <c r="C592">
        <v>43</v>
      </c>
      <c r="D592" t="s">
        <v>12</v>
      </c>
      <c r="E592" t="s">
        <v>57</v>
      </c>
      <c r="F592" t="s">
        <v>20</v>
      </c>
      <c r="G592">
        <v>3548900</v>
      </c>
      <c r="H592">
        <v>12.31</v>
      </c>
      <c r="I592">
        <v>1.18</v>
      </c>
      <c r="J592" s="1">
        <v>43296</v>
      </c>
      <c r="K592">
        <v>355</v>
      </c>
      <c r="L592">
        <v>8</v>
      </c>
      <c r="M592">
        <v>354890</v>
      </c>
      <c r="N592">
        <v>2839120</v>
      </c>
    </row>
    <row r="593" spans="1:14" x14ac:dyDescent="0.25">
      <c r="A593" t="s">
        <v>1144</v>
      </c>
      <c r="B593" t="s">
        <v>11</v>
      </c>
      <c r="C593">
        <v>59</v>
      </c>
      <c r="D593" t="s">
        <v>18</v>
      </c>
      <c r="E593" t="s">
        <v>29</v>
      </c>
      <c r="F593" t="s">
        <v>41</v>
      </c>
      <c r="G593">
        <v>2416548</v>
      </c>
      <c r="H593">
        <v>24.38</v>
      </c>
      <c r="I593">
        <v>7.92</v>
      </c>
      <c r="J593" s="1">
        <v>44073</v>
      </c>
      <c r="K593">
        <v>149</v>
      </c>
      <c r="L593">
        <v>5</v>
      </c>
      <c r="M593">
        <v>241654.80000000002</v>
      </c>
      <c r="N593">
        <v>1208274</v>
      </c>
    </row>
    <row r="594" spans="1:14" x14ac:dyDescent="0.25">
      <c r="A594" t="s">
        <v>1145</v>
      </c>
      <c r="B594" t="s">
        <v>11</v>
      </c>
      <c r="C594">
        <v>62</v>
      </c>
      <c r="D594" t="s">
        <v>12</v>
      </c>
      <c r="E594" t="s">
        <v>50</v>
      </c>
      <c r="F594" t="s">
        <v>30</v>
      </c>
      <c r="G594">
        <v>914622</v>
      </c>
      <c r="H594">
        <v>6.46</v>
      </c>
      <c r="I594">
        <v>23.92</v>
      </c>
      <c r="J594" s="1">
        <v>45394</v>
      </c>
      <c r="K594">
        <v>279</v>
      </c>
      <c r="L594">
        <v>2</v>
      </c>
      <c r="M594">
        <v>91462.200000000012</v>
      </c>
      <c r="N594">
        <v>182924.40000000002</v>
      </c>
    </row>
    <row r="595" spans="1:14" x14ac:dyDescent="0.25">
      <c r="A595" t="s">
        <v>1147</v>
      </c>
      <c r="B595" t="s">
        <v>11</v>
      </c>
      <c r="C595">
        <v>38</v>
      </c>
      <c r="D595" t="s">
        <v>28</v>
      </c>
      <c r="E595" t="s">
        <v>23</v>
      </c>
      <c r="F595" t="s">
        <v>30</v>
      </c>
      <c r="G595">
        <v>1950310</v>
      </c>
      <c r="H595">
        <v>12.9</v>
      </c>
      <c r="I595">
        <v>16.18</v>
      </c>
      <c r="J595" s="1">
        <v>43637</v>
      </c>
      <c r="K595">
        <v>72</v>
      </c>
      <c r="L595">
        <v>7</v>
      </c>
      <c r="M595">
        <v>195031</v>
      </c>
      <c r="N595">
        <v>1365217</v>
      </c>
    </row>
    <row r="596" spans="1:14" x14ac:dyDescent="0.25">
      <c r="A596" t="s">
        <v>1149</v>
      </c>
      <c r="B596" t="s">
        <v>17</v>
      </c>
      <c r="C596">
        <v>49</v>
      </c>
      <c r="D596" t="s">
        <v>38</v>
      </c>
      <c r="E596" t="s">
        <v>50</v>
      </c>
      <c r="F596" t="s">
        <v>35</v>
      </c>
      <c r="G596">
        <v>1155906</v>
      </c>
      <c r="H596">
        <v>5.03</v>
      </c>
      <c r="I596">
        <v>11.99</v>
      </c>
      <c r="J596" s="1">
        <v>45552</v>
      </c>
      <c r="K596">
        <v>65</v>
      </c>
      <c r="L596">
        <v>1</v>
      </c>
      <c r="M596">
        <v>115590.6</v>
      </c>
      <c r="N596">
        <v>115590.6</v>
      </c>
    </row>
    <row r="597" spans="1:14" x14ac:dyDescent="0.25">
      <c r="A597" t="s">
        <v>1150</v>
      </c>
      <c r="B597" t="s">
        <v>11</v>
      </c>
      <c r="C597">
        <v>46</v>
      </c>
      <c r="D597" t="s">
        <v>38</v>
      </c>
      <c r="E597" t="s">
        <v>13</v>
      </c>
      <c r="F597" t="s">
        <v>14</v>
      </c>
      <c r="G597">
        <v>4564834</v>
      </c>
      <c r="H597">
        <v>16.13</v>
      </c>
      <c r="I597">
        <v>20.82</v>
      </c>
      <c r="J597" s="1">
        <v>44368</v>
      </c>
      <c r="K597">
        <v>316</v>
      </c>
      <c r="L597">
        <v>5</v>
      </c>
      <c r="M597">
        <v>456483.4</v>
      </c>
      <c r="N597">
        <v>2282417</v>
      </c>
    </row>
    <row r="598" spans="1:14" x14ac:dyDescent="0.25">
      <c r="A598" t="s">
        <v>1152</v>
      </c>
      <c r="B598" t="s">
        <v>11</v>
      </c>
      <c r="C598">
        <v>28</v>
      </c>
      <c r="D598" t="s">
        <v>12</v>
      </c>
      <c r="E598" t="s">
        <v>50</v>
      </c>
      <c r="F598" t="s">
        <v>47</v>
      </c>
      <c r="G598">
        <v>827798</v>
      </c>
      <c r="H598">
        <v>31.99</v>
      </c>
      <c r="I598">
        <v>27.92</v>
      </c>
      <c r="J598" s="1">
        <v>43529</v>
      </c>
      <c r="K598">
        <v>207</v>
      </c>
      <c r="L598">
        <v>7</v>
      </c>
      <c r="M598">
        <v>82779.8</v>
      </c>
      <c r="N598">
        <v>579458.6</v>
      </c>
    </row>
    <row r="599" spans="1:14" x14ac:dyDescent="0.25">
      <c r="A599" t="s">
        <v>1154</v>
      </c>
      <c r="B599" t="s">
        <v>11</v>
      </c>
      <c r="C599">
        <v>60</v>
      </c>
      <c r="D599" t="s">
        <v>38</v>
      </c>
      <c r="E599" t="s">
        <v>29</v>
      </c>
      <c r="F599" t="s">
        <v>47</v>
      </c>
      <c r="G599">
        <v>3863352</v>
      </c>
      <c r="H599">
        <v>7.4</v>
      </c>
      <c r="I599">
        <v>44.66</v>
      </c>
      <c r="J599" s="1">
        <v>44144</v>
      </c>
      <c r="K599">
        <v>282</v>
      </c>
      <c r="L599">
        <v>5</v>
      </c>
      <c r="M599">
        <v>386335.2</v>
      </c>
      <c r="N599">
        <v>1931676</v>
      </c>
    </row>
    <row r="600" spans="1:14" x14ac:dyDescent="0.25">
      <c r="A600" t="s">
        <v>1155</v>
      </c>
      <c r="B600" t="s">
        <v>17</v>
      </c>
      <c r="C600">
        <v>22</v>
      </c>
      <c r="D600" t="s">
        <v>46</v>
      </c>
      <c r="E600" t="s">
        <v>29</v>
      </c>
      <c r="F600" t="s">
        <v>41</v>
      </c>
      <c r="G600">
        <v>3435843</v>
      </c>
      <c r="H600">
        <v>16.850000000000001</v>
      </c>
      <c r="I600">
        <v>10.87</v>
      </c>
      <c r="J600" s="1">
        <v>44583</v>
      </c>
      <c r="K600">
        <v>215</v>
      </c>
      <c r="L600">
        <v>4</v>
      </c>
      <c r="M600">
        <v>343584.30000000005</v>
      </c>
      <c r="N600">
        <v>1374337.2000000002</v>
      </c>
    </row>
    <row r="601" spans="1:14" x14ac:dyDescent="0.25">
      <c r="A601" t="s">
        <v>1157</v>
      </c>
      <c r="B601" t="s">
        <v>17</v>
      </c>
      <c r="C601">
        <v>58</v>
      </c>
      <c r="D601" t="s">
        <v>12</v>
      </c>
      <c r="E601" t="s">
        <v>23</v>
      </c>
      <c r="F601" t="s">
        <v>47</v>
      </c>
      <c r="G601">
        <v>4610261</v>
      </c>
      <c r="H601">
        <v>19.48</v>
      </c>
      <c r="I601">
        <v>28.49</v>
      </c>
      <c r="J601" s="1">
        <v>44063</v>
      </c>
      <c r="K601">
        <v>85</v>
      </c>
      <c r="L601">
        <v>5</v>
      </c>
      <c r="M601">
        <v>461026.10000000003</v>
      </c>
      <c r="N601">
        <v>2305130.5</v>
      </c>
    </row>
    <row r="602" spans="1:14" x14ac:dyDescent="0.25">
      <c r="A602" t="s">
        <v>1158</v>
      </c>
      <c r="B602" t="s">
        <v>11</v>
      </c>
      <c r="C602">
        <v>41</v>
      </c>
      <c r="D602" t="s">
        <v>18</v>
      </c>
      <c r="E602" t="s">
        <v>29</v>
      </c>
      <c r="F602" t="s">
        <v>41</v>
      </c>
      <c r="G602">
        <v>2081153</v>
      </c>
      <c r="H602">
        <v>15.45</v>
      </c>
      <c r="I602">
        <v>31.64</v>
      </c>
      <c r="J602" s="1">
        <v>45583</v>
      </c>
      <c r="K602">
        <v>112</v>
      </c>
      <c r="L602">
        <v>1</v>
      </c>
      <c r="M602">
        <v>208115.30000000002</v>
      </c>
      <c r="N602">
        <v>208115.30000000002</v>
      </c>
    </row>
    <row r="603" spans="1:14" x14ac:dyDescent="0.25">
      <c r="A603" t="s">
        <v>1160</v>
      </c>
      <c r="B603" t="s">
        <v>11</v>
      </c>
      <c r="C603">
        <v>56</v>
      </c>
      <c r="D603" t="s">
        <v>28</v>
      </c>
      <c r="E603" t="s">
        <v>57</v>
      </c>
      <c r="F603" t="s">
        <v>30</v>
      </c>
      <c r="G603">
        <v>4447018</v>
      </c>
      <c r="H603">
        <v>22.32</v>
      </c>
      <c r="I603">
        <v>21.51</v>
      </c>
      <c r="J603" s="1">
        <v>43249</v>
      </c>
      <c r="K603">
        <v>82</v>
      </c>
      <c r="L603">
        <v>8</v>
      </c>
      <c r="M603">
        <v>444701.80000000005</v>
      </c>
      <c r="N603">
        <v>3557614.4000000004</v>
      </c>
    </row>
    <row r="604" spans="1:14" x14ac:dyDescent="0.25">
      <c r="A604" t="s">
        <v>1162</v>
      </c>
      <c r="B604" t="s">
        <v>11</v>
      </c>
      <c r="C604">
        <v>24</v>
      </c>
      <c r="D604" t="s">
        <v>12</v>
      </c>
      <c r="E604" t="s">
        <v>19</v>
      </c>
      <c r="F604" t="s">
        <v>14</v>
      </c>
      <c r="G604">
        <v>4360156</v>
      </c>
      <c r="H604">
        <v>5.43</v>
      </c>
      <c r="I604">
        <v>-9.2899999999999991</v>
      </c>
      <c r="J604" s="1">
        <v>44014</v>
      </c>
      <c r="K604">
        <v>271</v>
      </c>
      <c r="L604">
        <v>6</v>
      </c>
      <c r="M604">
        <v>436015.60000000003</v>
      </c>
      <c r="N604">
        <v>2616093.6</v>
      </c>
    </row>
    <row r="605" spans="1:14" x14ac:dyDescent="0.25">
      <c r="A605" t="s">
        <v>1164</v>
      </c>
      <c r="B605" t="s">
        <v>11</v>
      </c>
      <c r="C605">
        <v>54</v>
      </c>
      <c r="D605" t="s">
        <v>18</v>
      </c>
      <c r="E605" t="s">
        <v>19</v>
      </c>
      <c r="F605" t="s">
        <v>14</v>
      </c>
      <c r="G605">
        <v>4238534</v>
      </c>
      <c r="H605">
        <v>29.46</v>
      </c>
      <c r="I605">
        <v>35.159999999999997</v>
      </c>
      <c r="J605" s="1">
        <v>43867</v>
      </c>
      <c r="K605">
        <v>90</v>
      </c>
      <c r="L605">
        <v>6</v>
      </c>
      <c r="M605">
        <v>423853.4</v>
      </c>
      <c r="N605">
        <v>2543120.4000000004</v>
      </c>
    </row>
    <row r="606" spans="1:14" x14ac:dyDescent="0.25">
      <c r="A606" t="s">
        <v>1166</v>
      </c>
      <c r="B606" t="s">
        <v>17</v>
      </c>
      <c r="C606">
        <v>50</v>
      </c>
      <c r="D606" t="s">
        <v>38</v>
      </c>
      <c r="E606" t="s">
        <v>23</v>
      </c>
      <c r="F606" t="s">
        <v>14</v>
      </c>
      <c r="G606">
        <v>3698038</v>
      </c>
      <c r="H606">
        <v>11.25</v>
      </c>
      <c r="I606">
        <v>32.479999999999997</v>
      </c>
      <c r="J606" s="1">
        <v>43146</v>
      </c>
      <c r="K606">
        <v>310</v>
      </c>
      <c r="L606">
        <v>8</v>
      </c>
      <c r="M606">
        <v>369803.80000000005</v>
      </c>
      <c r="N606">
        <v>2958430.4000000004</v>
      </c>
    </row>
    <row r="607" spans="1:14" x14ac:dyDescent="0.25">
      <c r="A607" t="s">
        <v>1167</v>
      </c>
      <c r="B607" t="s">
        <v>17</v>
      </c>
      <c r="C607">
        <v>64</v>
      </c>
      <c r="D607" t="s">
        <v>12</v>
      </c>
      <c r="E607" t="s">
        <v>50</v>
      </c>
      <c r="F607" t="s">
        <v>14</v>
      </c>
      <c r="G607">
        <v>2312821</v>
      </c>
      <c r="H607">
        <v>14.78</v>
      </c>
      <c r="I607">
        <v>37.83</v>
      </c>
      <c r="J607" s="1">
        <v>44566</v>
      </c>
      <c r="K607">
        <v>45</v>
      </c>
      <c r="L607">
        <v>4</v>
      </c>
      <c r="M607">
        <v>231282.1</v>
      </c>
      <c r="N607">
        <v>925128.4</v>
      </c>
    </row>
    <row r="608" spans="1:14" x14ac:dyDescent="0.25">
      <c r="A608" t="s">
        <v>1169</v>
      </c>
      <c r="B608" t="s">
        <v>17</v>
      </c>
      <c r="C608">
        <v>59</v>
      </c>
      <c r="D608" t="s">
        <v>12</v>
      </c>
      <c r="E608" t="s">
        <v>19</v>
      </c>
      <c r="F608" t="s">
        <v>20</v>
      </c>
      <c r="G608">
        <v>4838704</v>
      </c>
      <c r="H608">
        <v>14.59</v>
      </c>
      <c r="I608">
        <v>39.619999999999997</v>
      </c>
      <c r="J608" s="1">
        <v>43804</v>
      </c>
      <c r="K608">
        <v>132</v>
      </c>
      <c r="L608">
        <v>6</v>
      </c>
      <c r="M608">
        <v>483870.4</v>
      </c>
      <c r="N608">
        <v>2903222.4000000004</v>
      </c>
    </row>
    <row r="609" spans="1:14" x14ac:dyDescent="0.25">
      <c r="A609" t="s">
        <v>1171</v>
      </c>
      <c r="B609" t="s">
        <v>17</v>
      </c>
      <c r="C609">
        <v>23</v>
      </c>
      <c r="D609" t="s">
        <v>46</v>
      </c>
      <c r="E609" t="s">
        <v>29</v>
      </c>
      <c r="F609" t="s">
        <v>35</v>
      </c>
      <c r="G609">
        <v>4785623</v>
      </c>
      <c r="H609">
        <v>6.96</v>
      </c>
      <c r="I609">
        <v>-8.98</v>
      </c>
      <c r="J609" s="1">
        <v>43527</v>
      </c>
      <c r="K609">
        <v>272</v>
      </c>
      <c r="L609">
        <v>7</v>
      </c>
      <c r="M609">
        <v>478562.30000000005</v>
      </c>
      <c r="N609">
        <v>3349936.1000000006</v>
      </c>
    </row>
    <row r="610" spans="1:14" x14ac:dyDescent="0.25">
      <c r="A610" t="s">
        <v>1172</v>
      </c>
      <c r="B610" t="s">
        <v>17</v>
      </c>
      <c r="C610">
        <v>65</v>
      </c>
      <c r="D610" t="s">
        <v>18</v>
      </c>
      <c r="E610" t="s">
        <v>29</v>
      </c>
      <c r="F610" t="s">
        <v>30</v>
      </c>
      <c r="G610">
        <v>741873</v>
      </c>
      <c r="H610">
        <v>16.010000000000002</v>
      </c>
      <c r="I610">
        <v>26.8</v>
      </c>
      <c r="J610" s="1">
        <v>43413</v>
      </c>
      <c r="K610">
        <v>73</v>
      </c>
      <c r="L610">
        <v>7</v>
      </c>
      <c r="M610">
        <v>74187.3</v>
      </c>
      <c r="N610">
        <v>519311.10000000003</v>
      </c>
    </row>
    <row r="611" spans="1:14" x14ac:dyDescent="0.25">
      <c r="A611" t="s">
        <v>1174</v>
      </c>
      <c r="B611" t="s">
        <v>17</v>
      </c>
      <c r="C611">
        <v>38</v>
      </c>
      <c r="D611" t="s">
        <v>18</v>
      </c>
      <c r="E611" t="s">
        <v>50</v>
      </c>
      <c r="F611" t="s">
        <v>20</v>
      </c>
      <c r="G611">
        <v>246894</v>
      </c>
      <c r="H611">
        <v>32.86</v>
      </c>
      <c r="I611">
        <v>5.36</v>
      </c>
      <c r="J611" s="1">
        <v>44610</v>
      </c>
      <c r="K611">
        <v>253</v>
      </c>
      <c r="L611">
        <v>4</v>
      </c>
      <c r="M611">
        <v>24689.4</v>
      </c>
      <c r="N611">
        <v>98757.6</v>
      </c>
    </row>
    <row r="612" spans="1:14" x14ac:dyDescent="0.25">
      <c r="A612" t="s">
        <v>1176</v>
      </c>
      <c r="B612" t="s">
        <v>17</v>
      </c>
      <c r="C612">
        <v>29</v>
      </c>
      <c r="D612" t="s">
        <v>38</v>
      </c>
      <c r="E612" t="s">
        <v>13</v>
      </c>
      <c r="F612" t="s">
        <v>20</v>
      </c>
      <c r="G612">
        <v>3770116</v>
      </c>
      <c r="H612">
        <v>31.11</v>
      </c>
      <c r="I612">
        <v>27.43</v>
      </c>
      <c r="J612" s="1">
        <v>43606</v>
      </c>
      <c r="K612">
        <v>192</v>
      </c>
      <c r="L612">
        <v>7</v>
      </c>
      <c r="M612">
        <v>377011.60000000003</v>
      </c>
      <c r="N612">
        <v>2639081.2000000002</v>
      </c>
    </row>
    <row r="613" spans="1:14" x14ac:dyDescent="0.25">
      <c r="A613" t="s">
        <v>1178</v>
      </c>
      <c r="B613" t="s">
        <v>11</v>
      </c>
      <c r="C613">
        <v>32</v>
      </c>
      <c r="D613" t="s">
        <v>18</v>
      </c>
      <c r="E613" t="s">
        <v>29</v>
      </c>
      <c r="F613" t="s">
        <v>30</v>
      </c>
      <c r="G613">
        <v>734150</v>
      </c>
      <c r="H613">
        <v>28.85</v>
      </c>
      <c r="I613">
        <v>-8.1199999999999992</v>
      </c>
      <c r="J613" s="1">
        <v>44910</v>
      </c>
      <c r="K613">
        <v>9</v>
      </c>
      <c r="L613">
        <v>3</v>
      </c>
      <c r="M613">
        <v>73415</v>
      </c>
      <c r="N613">
        <v>220245</v>
      </c>
    </row>
    <row r="614" spans="1:14" x14ac:dyDescent="0.25">
      <c r="A614" t="s">
        <v>1179</v>
      </c>
      <c r="B614" t="s">
        <v>17</v>
      </c>
      <c r="C614">
        <v>28</v>
      </c>
      <c r="D614" t="s">
        <v>38</v>
      </c>
      <c r="E614" t="s">
        <v>23</v>
      </c>
      <c r="F614" t="s">
        <v>35</v>
      </c>
      <c r="G614">
        <v>2948049</v>
      </c>
      <c r="H614">
        <v>21.32</v>
      </c>
      <c r="I614">
        <v>-9.89</v>
      </c>
      <c r="J614" s="1">
        <v>43642</v>
      </c>
      <c r="K614">
        <v>336</v>
      </c>
      <c r="L614">
        <v>7</v>
      </c>
      <c r="M614">
        <v>294804.90000000002</v>
      </c>
      <c r="N614">
        <v>2063634.3000000003</v>
      </c>
    </row>
    <row r="615" spans="1:14" x14ac:dyDescent="0.25">
      <c r="A615" t="s">
        <v>1181</v>
      </c>
      <c r="B615" t="s">
        <v>17</v>
      </c>
      <c r="C615">
        <v>35</v>
      </c>
      <c r="D615" t="s">
        <v>18</v>
      </c>
      <c r="E615" t="s">
        <v>23</v>
      </c>
      <c r="F615" t="s">
        <v>30</v>
      </c>
      <c r="G615">
        <v>1571612</v>
      </c>
      <c r="H615">
        <v>16.04</v>
      </c>
      <c r="I615">
        <v>-7.39</v>
      </c>
      <c r="J615" s="1">
        <v>44149</v>
      </c>
      <c r="K615">
        <v>340</v>
      </c>
      <c r="L615">
        <v>5</v>
      </c>
      <c r="M615">
        <v>157161.20000000001</v>
      </c>
      <c r="N615">
        <v>785806</v>
      </c>
    </row>
    <row r="616" spans="1:14" x14ac:dyDescent="0.25">
      <c r="A616" t="s">
        <v>1183</v>
      </c>
      <c r="B616" t="s">
        <v>11</v>
      </c>
      <c r="C616">
        <v>45</v>
      </c>
      <c r="D616" t="s">
        <v>12</v>
      </c>
      <c r="E616" t="s">
        <v>57</v>
      </c>
      <c r="F616" t="s">
        <v>30</v>
      </c>
      <c r="G616">
        <v>3809302</v>
      </c>
      <c r="H616">
        <v>10.94</v>
      </c>
      <c r="I616">
        <v>15.92</v>
      </c>
      <c r="J616" s="1">
        <v>43266</v>
      </c>
      <c r="K616">
        <v>56</v>
      </c>
      <c r="L616">
        <v>8</v>
      </c>
      <c r="M616">
        <v>380930.2</v>
      </c>
      <c r="N616">
        <v>3047441.6</v>
      </c>
    </row>
    <row r="617" spans="1:14" x14ac:dyDescent="0.25">
      <c r="A617" t="s">
        <v>1185</v>
      </c>
      <c r="B617" t="s">
        <v>17</v>
      </c>
      <c r="C617">
        <v>25</v>
      </c>
      <c r="D617" t="s">
        <v>12</v>
      </c>
      <c r="E617" t="s">
        <v>23</v>
      </c>
      <c r="F617" t="s">
        <v>14</v>
      </c>
      <c r="G617">
        <v>2599892</v>
      </c>
      <c r="H617">
        <v>13.65</v>
      </c>
      <c r="I617">
        <v>31.29</v>
      </c>
      <c r="J617" s="1">
        <v>44809</v>
      </c>
      <c r="K617">
        <v>234</v>
      </c>
      <c r="L617">
        <v>3</v>
      </c>
      <c r="M617">
        <v>259989.2</v>
      </c>
      <c r="N617">
        <v>779967.60000000009</v>
      </c>
    </row>
    <row r="618" spans="1:14" x14ac:dyDescent="0.25">
      <c r="A618" t="s">
        <v>1187</v>
      </c>
      <c r="B618" t="s">
        <v>17</v>
      </c>
      <c r="C618">
        <v>56</v>
      </c>
      <c r="D618" t="s">
        <v>12</v>
      </c>
      <c r="E618" t="s">
        <v>23</v>
      </c>
      <c r="F618" t="s">
        <v>14</v>
      </c>
      <c r="G618">
        <v>278154</v>
      </c>
      <c r="H618">
        <v>10.62</v>
      </c>
      <c r="I618">
        <v>-1.58</v>
      </c>
      <c r="J618" s="1">
        <v>43306</v>
      </c>
      <c r="K618">
        <v>69</v>
      </c>
      <c r="L618">
        <v>7</v>
      </c>
      <c r="M618">
        <v>27815.4</v>
      </c>
      <c r="N618">
        <v>194707.80000000002</v>
      </c>
    </row>
    <row r="619" spans="1:14" x14ac:dyDescent="0.25">
      <c r="A619" t="s">
        <v>1189</v>
      </c>
      <c r="B619" t="s">
        <v>17</v>
      </c>
      <c r="C619">
        <v>55</v>
      </c>
      <c r="D619" t="s">
        <v>28</v>
      </c>
      <c r="E619" t="s">
        <v>13</v>
      </c>
      <c r="F619" t="s">
        <v>47</v>
      </c>
      <c r="G619">
        <v>922136</v>
      </c>
      <c r="H619">
        <v>26.95</v>
      </c>
      <c r="I619">
        <v>22.34</v>
      </c>
      <c r="J619" s="1">
        <v>43142</v>
      </c>
      <c r="K619">
        <v>209</v>
      </c>
      <c r="L619">
        <v>8</v>
      </c>
      <c r="M619">
        <v>92213.6</v>
      </c>
      <c r="N619">
        <v>737708.8</v>
      </c>
    </row>
    <row r="620" spans="1:14" x14ac:dyDescent="0.25">
      <c r="A620" t="s">
        <v>1190</v>
      </c>
      <c r="B620" t="s">
        <v>11</v>
      </c>
      <c r="C620">
        <v>33</v>
      </c>
      <c r="D620" t="s">
        <v>46</v>
      </c>
      <c r="E620" t="s">
        <v>23</v>
      </c>
      <c r="F620" t="s">
        <v>35</v>
      </c>
      <c r="G620">
        <v>287150</v>
      </c>
      <c r="H620">
        <v>9.34</v>
      </c>
      <c r="I620">
        <v>29.53</v>
      </c>
      <c r="J620" s="1">
        <v>43706</v>
      </c>
      <c r="K620">
        <v>196</v>
      </c>
      <c r="L620">
        <v>6</v>
      </c>
      <c r="M620">
        <v>28715</v>
      </c>
      <c r="N620">
        <v>172290</v>
      </c>
    </row>
    <row r="621" spans="1:14" x14ac:dyDescent="0.25">
      <c r="A621" t="s">
        <v>1191</v>
      </c>
      <c r="B621" t="s">
        <v>17</v>
      </c>
      <c r="C621">
        <v>33</v>
      </c>
      <c r="D621" t="s">
        <v>12</v>
      </c>
      <c r="E621" t="s">
        <v>19</v>
      </c>
      <c r="F621" t="s">
        <v>20</v>
      </c>
      <c r="G621">
        <v>1892745</v>
      </c>
      <c r="H621">
        <v>18.64</v>
      </c>
      <c r="I621">
        <v>-6.41</v>
      </c>
      <c r="J621" s="1">
        <v>45492</v>
      </c>
      <c r="K621">
        <v>53</v>
      </c>
      <c r="L621">
        <v>1</v>
      </c>
      <c r="M621">
        <v>189274.5</v>
      </c>
      <c r="N621">
        <v>189274.5</v>
      </c>
    </row>
    <row r="622" spans="1:14" x14ac:dyDescent="0.25">
      <c r="A622" t="s">
        <v>1193</v>
      </c>
      <c r="B622" t="s">
        <v>17</v>
      </c>
      <c r="C622">
        <v>64</v>
      </c>
      <c r="D622" t="s">
        <v>38</v>
      </c>
      <c r="E622" t="s">
        <v>23</v>
      </c>
      <c r="F622" t="s">
        <v>20</v>
      </c>
      <c r="G622">
        <v>67406</v>
      </c>
      <c r="H622">
        <v>32.85</v>
      </c>
      <c r="I622">
        <v>-8.4</v>
      </c>
      <c r="J622" s="1">
        <v>45331</v>
      </c>
      <c r="K622">
        <v>116</v>
      </c>
      <c r="L622">
        <v>2</v>
      </c>
      <c r="M622">
        <v>6740.6</v>
      </c>
      <c r="N622">
        <v>13481.2</v>
      </c>
    </row>
    <row r="623" spans="1:14" x14ac:dyDescent="0.25">
      <c r="A623" t="s">
        <v>1195</v>
      </c>
      <c r="B623" t="s">
        <v>11</v>
      </c>
      <c r="C623">
        <v>53</v>
      </c>
      <c r="D623" t="s">
        <v>12</v>
      </c>
      <c r="E623" t="s">
        <v>13</v>
      </c>
      <c r="F623" t="s">
        <v>41</v>
      </c>
      <c r="G623">
        <v>2240475</v>
      </c>
      <c r="H623">
        <v>24.09</v>
      </c>
      <c r="I623">
        <v>33.53</v>
      </c>
      <c r="J623" s="1">
        <v>45596</v>
      </c>
      <c r="K623">
        <v>67</v>
      </c>
      <c r="L623">
        <v>1</v>
      </c>
      <c r="M623">
        <v>224047.5</v>
      </c>
      <c r="N623">
        <v>224047.5</v>
      </c>
    </row>
    <row r="624" spans="1:14" x14ac:dyDescent="0.25">
      <c r="A624" t="s">
        <v>1197</v>
      </c>
      <c r="B624" t="s">
        <v>17</v>
      </c>
      <c r="C624">
        <v>26</v>
      </c>
      <c r="D624" t="s">
        <v>38</v>
      </c>
      <c r="E624" t="s">
        <v>57</v>
      </c>
      <c r="F624" t="s">
        <v>41</v>
      </c>
      <c r="G624">
        <v>4374674</v>
      </c>
      <c r="H624">
        <v>20.49</v>
      </c>
      <c r="I624">
        <v>28.02</v>
      </c>
      <c r="J624" s="1">
        <v>43788</v>
      </c>
      <c r="K624">
        <v>8</v>
      </c>
      <c r="L624">
        <v>6</v>
      </c>
      <c r="M624">
        <v>437467.4</v>
      </c>
      <c r="N624">
        <v>2624804.4000000004</v>
      </c>
    </row>
    <row r="625" spans="1:14" x14ac:dyDescent="0.25">
      <c r="A625" t="s">
        <v>1199</v>
      </c>
      <c r="B625" t="s">
        <v>11</v>
      </c>
      <c r="C625">
        <v>49</v>
      </c>
      <c r="D625" t="s">
        <v>12</v>
      </c>
      <c r="E625" t="s">
        <v>13</v>
      </c>
      <c r="F625" t="s">
        <v>20</v>
      </c>
      <c r="G625">
        <v>3533722</v>
      </c>
      <c r="H625">
        <v>26.09</v>
      </c>
      <c r="I625">
        <v>34.840000000000003</v>
      </c>
      <c r="J625" s="1">
        <v>45181</v>
      </c>
      <c r="K625">
        <v>13</v>
      </c>
      <c r="L625">
        <v>2</v>
      </c>
      <c r="M625">
        <v>353372.2</v>
      </c>
      <c r="N625">
        <v>706744.4</v>
      </c>
    </row>
    <row r="626" spans="1:14" x14ac:dyDescent="0.25">
      <c r="A626" t="s">
        <v>1201</v>
      </c>
      <c r="B626" t="s">
        <v>11</v>
      </c>
      <c r="C626">
        <v>42</v>
      </c>
      <c r="D626" t="s">
        <v>46</v>
      </c>
      <c r="E626" t="s">
        <v>23</v>
      </c>
      <c r="F626" t="s">
        <v>30</v>
      </c>
      <c r="G626">
        <v>4406529</v>
      </c>
      <c r="H626">
        <v>28.75</v>
      </c>
      <c r="I626">
        <v>-1.99</v>
      </c>
      <c r="J626" s="1">
        <v>45238</v>
      </c>
      <c r="K626">
        <v>15</v>
      </c>
      <c r="L626">
        <v>2</v>
      </c>
      <c r="M626">
        <v>440652.9</v>
      </c>
      <c r="N626">
        <v>881305.8</v>
      </c>
    </row>
    <row r="627" spans="1:14" x14ac:dyDescent="0.25">
      <c r="A627" t="s">
        <v>1203</v>
      </c>
      <c r="B627" t="s">
        <v>17</v>
      </c>
      <c r="C627">
        <v>21</v>
      </c>
      <c r="D627" t="s">
        <v>38</v>
      </c>
      <c r="E627" t="s">
        <v>23</v>
      </c>
      <c r="F627" t="s">
        <v>47</v>
      </c>
      <c r="G627">
        <v>177997</v>
      </c>
      <c r="H627">
        <v>33.29</v>
      </c>
      <c r="I627">
        <v>41.88</v>
      </c>
      <c r="J627" s="1">
        <v>44432</v>
      </c>
      <c r="K627">
        <v>224</v>
      </c>
      <c r="L627">
        <v>4</v>
      </c>
      <c r="M627">
        <v>17799.7</v>
      </c>
      <c r="N627">
        <v>71198.8</v>
      </c>
    </row>
    <row r="628" spans="1:14" x14ac:dyDescent="0.25">
      <c r="A628" t="s">
        <v>1205</v>
      </c>
      <c r="B628" t="s">
        <v>17</v>
      </c>
      <c r="C628">
        <v>56</v>
      </c>
      <c r="D628" t="s">
        <v>18</v>
      </c>
      <c r="E628" t="s">
        <v>29</v>
      </c>
      <c r="F628" t="s">
        <v>41</v>
      </c>
      <c r="G628">
        <v>1858854</v>
      </c>
      <c r="H628">
        <v>9.26</v>
      </c>
      <c r="I628">
        <v>22.07</v>
      </c>
      <c r="J628" s="1">
        <v>43806</v>
      </c>
      <c r="K628">
        <v>207</v>
      </c>
      <c r="L628">
        <v>6</v>
      </c>
      <c r="M628">
        <v>185885.40000000002</v>
      </c>
      <c r="N628">
        <v>1115312.4000000001</v>
      </c>
    </row>
    <row r="629" spans="1:14" x14ac:dyDescent="0.25">
      <c r="A629" t="s">
        <v>1206</v>
      </c>
      <c r="B629" t="s">
        <v>11</v>
      </c>
      <c r="C629">
        <v>58</v>
      </c>
      <c r="D629" t="s">
        <v>46</v>
      </c>
      <c r="E629" t="s">
        <v>23</v>
      </c>
      <c r="F629" t="s">
        <v>41</v>
      </c>
      <c r="G629">
        <v>1575249</v>
      </c>
      <c r="H629">
        <v>8.93</v>
      </c>
      <c r="I629">
        <v>32.18</v>
      </c>
      <c r="J629" s="1">
        <v>43737</v>
      </c>
      <c r="K629">
        <v>62</v>
      </c>
      <c r="L629">
        <v>6</v>
      </c>
      <c r="M629">
        <v>157524.90000000002</v>
      </c>
      <c r="N629">
        <v>945149.40000000014</v>
      </c>
    </row>
    <row r="630" spans="1:14" x14ac:dyDescent="0.25">
      <c r="A630" t="s">
        <v>1208</v>
      </c>
      <c r="B630" t="s">
        <v>11</v>
      </c>
      <c r="C630">
        <v>29</v>
      </c>
      <c r="D630" t="s">
        <v>38</v>
      </c>
      <c r="E630" t="s">
        <v>19</v>
      </c>
      <c r="F630" t="s">
        <v>14</v>
      </c>
      <c r="G630">
        <v>1064212</v>
      </c>
      <c r="H630">
        <v>7.19</v>
      </c>
      <c r="I630">
        <v>40.56</v>
      </c>
      <c r="J630" s="1">
        <v>43343</v>
      </c>
      <c r="K630">
        <v>321</v>
      </c>
      <c r="L630">
        <v>7</v>
      </c>
      <c r="M630">
        <v>106421.20000000001</v>
      </c>
      <c r="N630">
        <v>744948.40000000014</v>
      </c>
    </row>
    <row r="631" spans="1:14" x14ac:dyDescent="0.25">
      <c r="A631" t="s">
        <v>1210</v>
      </c>
      <c r="B631" t="s">
        <v>11</v>
      </c>
      <c r="C631">
        <v>56</v>
      </c>
      <c r="D631" t="s">
        <v>12</v>
      </c>
      <c r="E631" t="s">
        <v>13</v>
      </c>
      <c r="F631" t="s">
        <v>47</v>
      </c>
      <c r="G631">
        <v>3996860</v>
      </c>
      <c r="H631">
        <v>27.05</v>
      </c>
      <c r="I631">
        <v>-9.58</v>
      </c>
      <c r="J631" s="1">
        <v>44180</v>
      </c>
      <c r="K631">
        <v>96</v>
      </c>
      <c r="L631">
        <v>5</v>
      </c>
      <c r="M631">
        <v>399686</v>
      </c>
      <c r="N631">
        <v>1998430</v>
      </c>
    </row>
    <row r="632" spans="1:14" x14ac:dyDescent="0.25">
      <c r="A632" t="s">
        <v>1212</v>
      </c>
      <c r="B632" t="s">
        <v>17</v>
      </c>
      <c r="C632">
        <v>37</v>
      </c>
      <c r="D632" t="s">
        <v>18</v>
      </c>
      <c r="E632" t="s">
        <v>23</v>
      </c>
      <c r="F632" t="s">
        <v>14</v>
      </c>
      <c r="G632">
        <v>3389545</v>
      </c>
      <c r="H632">
        <v>23</v>
      </c>
      <c r="I632">
        <v>3.71</v>
      </c>
      <c r="J632" s="1">
        <v>45223</v>
      </c>
      <c r="K632">
        <v>342</v>
      </c>
      <c r="L632">
        <v>2</v>
      </c>
      <c r="M632">
        <v>338954.5</v>
      </c>
      <c r="N632">
        <v>677909</v>
      </c>
    </row>
    <row r="633" spans="1:14" x14ac:dyDescent="0.25">
      <c r="A633" t="s">
        <v>1213</v>
      </c>
      <c r="B633" t="s">
        <v>11</v>
      </c>
      <c r="C633">
        <v>25</v>
      </c>
      <c r="D633" t="s">
        <v>12</v>
      </c>
      <c r="E633" t="s">
        <v>57</v>
      </c>
      <c r="F633" t="s">
        <v>14</v>
      </c>
      <c r="G633">
        <v>837716</v>
      </c>
      <c r="H633">
        <v>14.18</v>
      </c>
      <c r="I633">
        <v>0.4</v>
      </c>
      <c r="J633" s="1">
        <v>43208</v>
      </c>
      <c r="K633">
        <v>283</v>
      </c>
      <c r="L633">
        <v>8</v>
      </c>
      <c r="M633">
        <v>83771.600000000006</v>
      </c>
      <c r="N633">
        <v>670172.80000000005</v>
      </c>
    </row>
    <row r="634" spans="1:14" x14ac:dyDescent="0.25">
      <c r="A634" t="s">
        <v>1215</v>
      </c>
      <c r="B634" t="s">
        <v>17</v>
      </c>
      <c r="C634">
        <v>54</v>
      </c>
      <c r="D634" t="s">
        <v>18</v>
      </c>
      <c r="E634" t="s">
        <v>29</v>
      </c>
      <c r="F634" t="s">
        <v>30</v>
      </c>
      <c r="G634">
        <v>1388829</v>
      </c>
      <c r="H634">
        <v>10.91</v>
      </c>
      <c r="I634">
        <v>17.010000000000002</v>
      </c>
      <c r="J634" s="1">
        <v>43647</v>
      </c>
      <c r="K634">
        <v>300</v>
      </c>
      <c r="L634">
        <v>7</v>
      </c>
      <c r="M634">
        <v>138882.9</v>
      </c>
      <c r="N634">
        <v>972180.29999999993</v>
      </c>
    </row>
    <row r="635" spans="1:14" x14ac:dyDescent="0.25">
      <c r="A635" t="s">
        <v>1217</v>
      </c>
      <c r="B635" t="s">
        <v>11</v>
      </c>
      <c r="C635">
        <v>23</v>
      </c>
      <c r="D635" t="s">
        <v>38</v>
      </c>
      <c r="E635" t="s">
        <v>57</v>
      </c>
      <c r="F635" t="s">
        <v>35</v>
      </c>
      <c r="G635">
        <v>695990</v>
      </c>
      <c r="H635">
        <v>12.4</v>
      </c>
      <c r="I635">
        <v>41.24</v>
      </c>
      <c r="J635" s="1">
        <v>43786</v>
      </c>
      <c r="K635">
        <v>26</v>
      </c>
      <c r="L635">
        <v>6</v>
      </c>
      <c r="M635">
        <v>69599</v>
      </c>
      <c r="N635">
        <v>417594</v>
      </c>
    </row>
    <row r="636" spans="1:14" x14ac:dyDescent="0.25">
      <c r="A636" t="s">
        <v>1219</v>
      </c>
      <c r="B636" t="s">
        <v>17</v>
      </c>
      <c r="C636">
        <v>44</v>
      </c>
      <c r="D636" t="s">
        <v>38</v>
      </c>
      <c r="E636" t="s">
        <v>19</v>
      </c>
      <c r="F636" t="s">
        <v>41</v>
      </c>
      <c r="G636">
        <v>3031768</v>
      </c>
      <c r="H636">
        <v>18.68</v>
      </c>
      <c r="I636">
        <v>0.9</v>
      </c>
      <c r="J636" s="1">
        <v>44813</v>
      </c>
      <c r="K636">
        <v>285</v>
      </c>
      <c r="L636">
        <v>3</v>
      </c>
      <c r="M636">
        <v>303176.8</v>
      </c>
      <c r="N636">
        <v>909530.39999999991</v>
      </c>
    </row>
    <row r="637" spans="1:14" x14ac:dyDescent="0.25">
      <c r="A637" t="s">
        <v>1221</v>
      </c>
      <c r="B637" t="s">
        <v>11</v>
      </c>
      <c r="C637">
        <v>45</v>
      </c>
      <c r="D637" t="s">
        <v>38</v>
      </c>
      <c r="E637" t="s">
        <v>29</v>
      </c>
      <c r="F637" t="s">
        <v>47</v>
      </c>
      <c r="G637">
        <v>2384096</v>
      </c>
      <c r="H637">
        <v>22.59</v>
      </c>
      <c r="I637">
        <v>14.13</v>
      </c>
      <c r="J637" s="1">
        <v>44153</v>
      </c>
      <c r="K637">
        <v>241</v>
      </c>
      <c r="L637">
        <v>5</v>
      </c>
      <c r="M637">
        <v>238409.60000000001</v>
      </c>
      <c r="N637">
        <v>1192048</v>
      </c>
    </row>
    <row r="638" spans="1:14" x14ac:dyDescent="0.25">
      <c r="A638" t="s">
        <v>1223</v>
      </c>
      <c r="B638" t="s">
        <v>11</v>
      </c>
      <c r="C638">
        <v>25</v>
      </c>
      <c r="D638" t="s">
        <v>18</v>
      </c>
      <c r="E638" t="s">
        <v>29</v>
      </c>
      <c r="F638" t="s">
        <v>41</v>
      </c>
      <c r="G638">
        <v>3263923</v>
      </c>
      <c r="H638">
        <v>27.56</v>
      </c>
      <c r="I638">
        <v>40.729999999999997</v>
      </c>
      <c r="J638" s="1">
        <v>45463</v>
      </c>
      <c r="K638">
        <v>271</v>
      </c>
      <c r="L638">
        <v>2</v>
      </c>
      <c r="M638">
        <v>326392.30000000005</v>
      </c>
      <c r="N638">
        <v>652784.60000000009</v>
      </c>
    </row>
    <row r="639" spans="1:14" x14ac:dyDescent="0.25">
      <c r="A639" t="s">
        <v>1225</v>
      </c>
      <c r="B639" t="s">
        <v>17</v>
      </c>
      <c r="C639">
        <v>47</v>
      </c>
      <c r="D639" t="s">
        <v>38</v>
      </c>
      <c r="E639" t="s">
        <v>23</v>
      </c>
      <c r="F639" t="s">
        <v>30</v>
      </c>
      <c r="G639">
        <v>1730352</v>
      </c>
      <c r="H639">
        <v>18.739999999999998</v>
      </c>
      <c r="I639">
        <v>34.450000000000003</v>
      </c>
      <c r="J639" s="1">
        <v>43736</v>
      </c>
      <c r="K639">
        <v>277</v>
      </c>
      <c r="L639">
        <v>6</v>
      </c>
      <c r="M639">
        <v>173035.2</v>
      </c>
      <c r="N639">
        <v>1038211.2000000001</v>
      </c>
    </row>
    <row r="640" spans="1:14" x14ac:dyDescent="0.25">
      <c r="A640" t="s">
        <v>1226</v>
      </c>
      <c r="B640" t="s">
        <v>17</v>
      </c>
      <c r="C640">
        <v>39</v>
      </c>
      <c r="D640" t="s">
        <v>12</v>
      </c>
      <c r="E640" t="s">
        <v>50</v>
      </c>
      <c r="F640" t="s">
        <v>20</v>
      </c>
      <c r="G640">
        <v>2841460</v>
      </c>
      <c r="H640">
        <v>10.34</v>
      </c>
      <c r="I640">
        <v>3.08</v>
      </c>
      <c r="J640" s="1">
        <v>44536</v>
      </c>
      <c r="K640">
        <v>107</v>
      </c>
      <c r="L640">
        <v>4</v>
      </c>
      <c r="M640">
        <v>284146</v>
      </c>
      <c r="N640">
        <v>1136584</v>
      </c>
    </row>
    <row r="641" spans="1:14" x14ac:dyDescent="0.25">
      <c r="A641" t="s">
        <v>1227</v>
      </c>
      <c r="B641" t="s">
        <v>17</v>
      </c>
      <c r="C641">
        <v>47</v>
      </c>
      <c r="D641" t="s">
        <v>18</v>
      </c>
      <c r="E641" t="s">
        <v>50</v>
      </c>
      <c r="F641" t="s">
        <v>47</v>
      </c>
      <c r="G641">
        <v>3679256</v>
      </c>
      <c r="H641">
        <v>19.010000000000002</v>
      </c>
      <c r="I641">
        <v>42.81</v>
      </c>
      <c r="J641" s="1">
        <v>44145</v>
      </c>
      <c r="K641">
        <v>30</v>
      </c>
      <c r="L641">
        <v>5</v>
      </c>
      <c r="M641">
        <v>367925.60000000003</v>
      </c>
      <c r="N641">
        <v>1839628.0000000002</v>
      </c>
    </row>
    <row r="642" spans="1:14" x14ac:dyDescent="0.25">
      <c r="A642" t="s">
        <v>1228</v>
      </c>
      <c r="B642" t="s">
        <v>17</v>
      </c>
      <c r="C642">
        <v>37</v>
      </c>
      <c r="D642" t="s">
        <v>28</v>
      </c>
      <c r="E642" t="s">
        <v>19</v>
      </c>
      <c r="F642" t="s">
        <v>20</v>
      </c>
      <c r="G642">
        <v>1880295</v>
      </c>
      <c r="H642">
        <v>27.78</v>
      </c>
      <c r="I642">
        <v>38.369999999999997</v>
      </c>
      <c r="J642" s="1">
        <v>44373</v>
      </c>
      <c r="K642">
        <v>238</v>
      </c>
      <c r="L642">
        <v>5</v>
      </c>
      <c r="M642">
        <v>188029.5</v>
      </c>
      <c r="N642">
        <v>940147.5</v>
      </c>
    </row>
    <row r="643" spans="1:14" x14ac:dyDescent="0.25">
      <c r="A643" t="s">
        <v>1230</v>
      </c>
      <c r="B643" t="s">
        <v>17</v>
      </c>
      <c r="C643">
        <v>61</v>
      </c>
      <c r="D643" t="s">
        <v>28</v>
      </c>
      <c r="E643" t="s">
        <v>23</v>
      </c>
      <c r="F643" t="s">
        <v>47</v>
      </c>
      <c r="G643">
        <v>3175144</v>
      </c>
      <c r="H643">
        <v>17.09</v>
      </c>
      <c r="I643">
        <v>36.159999999999997</v>
      </c>
      <c r="J643" s="1">
        <v>43221</v>
      </c>
      <c r="K643">
        <v>50</v>
      </c>
      <c r="L643">
        <v>8</v>
      </c>
      <c r="M643">
        <v>317514.40000000002</v>
      </c>
      <c r="N643">
        <v>2540115.2000000002</v>
      </c>
    </row>
    <row r="644" spans="1:14" x14ac:dyDescent="0.25">
      <c r="A644" t="s">
        <v>1232</v>
      </c>
      <c r="B644" t="s">
        <v>11</v>
      </c>
      <c r="C644">
        <v>24</v>
      </c>
      <c r="D644" t="s">
        <v>18</v>
      </c>
      <c r="E644" t="s">
        <v>50</v>
      </c>
      <c r="F644" t="s">
        <v>20</v>
      </c>
      <c r="G644">
        <v>1055504</v>
      </c>
      <c r="H644">
        <v>5.27</v>
      </c>
      <c r="I644">
        <v>-6.08</v>
      </c>
      <c r="J644" s="1">
        <v>45150</v>
      </c>
      <c r="K644">
        <v>127</v>
      </c>
      <c r="L644">
        <v>2</v>
      </c>
      <c r="M644">
        <v>105550.40000000001</v>
      </c>
      <c r="N644">
        <v>211100.80000000002</v>
      </c>
    </row>
    <row r="645" spans="1:14" x14ac:dyDescent="0.25">
      <c r="A645" t="s">
        <v>1234</v>
      </c>
      <c r="B645" t="s">
        <v>17</v>
      </c>
      <c r="C645">
        <v>43</v>
      </c>
      <c r="D645" t="s">
        <v>18</v>
      </c>
      <c r="E645" t="s">
        <v>23</v>
      </c>
      <c r="F645" t="s">
        <v>35</v>
      </c>
      <c r="G645">
        <v>4856339</v>
      </c>
      <c r="H645">
        <v>10.84</v>
      </c>
      <c r="I645">
        <v>-2.72</v>
      </c>
      <c r="J645" s="1">
        <v>45566</v>
      </c>
      <c r="K645">
        <v>105</v>
      </c>
      <c r="L645">
        <v>1</v>
      </c>
      <c r="M645">
        <v>485633.9</v>
      </c>
      <c r="N645">
        <v>485633.9</v>
      </c>
    </row>
    <row r="646" spans="1:14" x14ac:dyDescent="0.25">
      <c r="A646" t="s">
        <v>1236</v>
      </c>
      <c r="B646" t="s">
        <v>17</v>
      </c>
      <c r="C646">
        <v>64</v>
      </c>
      <c r="D646" t="s">
        <v>18</v>
      </c>
      <c r="E646" t="s">
        <v>19</v>
      </c>
      <c r="F646" t="s">
        <v>35</v>
      </c>
      <c r="G646">
        <v>1227269</v>
      </c>
      <c r="H646">
        <v>8.36</v>
      </c>
      <c r="I646">
        <v>-3.73</v>
      </c>
      <c r="J646" s="1">
        <v>45008</v>
      </c>
      <c r="K646">
        <v>65</v>
      </c>
      <c r="L646">
        <v>3</v>
      </c>
      <c r="M646">
        <v>122726.90000000001</v>
      </c>
      <c r="N646">
        <v>368180.7</v>
      </c>
    </row>
    <row r="647" spans="1:14" x14ac:dyDescent="0.25">
      <c r="A647" t="s">
        <v>1238</v>
      </c>
      <c r="B647" t="s">
        <v>17</v>
      </c>
      <c r="C647">
        <v>50</v>
      </c>
      <c r="D647" t="s">
        <v>46</v>
      </c>
      <c r="E647" t="s">
        <v>23</v>
      </c>
      <c r="F647" t="s">
        <v>14</v>
      </c>
      <c r="G647">
        <v>3429064</v>
      </c>
      <c r="H647">
        <v>6.52</v>
      </c>
      <c r="I647">
        <v>19.760000000000002</v>
      </c>
      <c r="J647" s="1">
        <v>43739</v>
      </c>
      <c r="K647">
        <v>299</v>
      </c>
      <c r="L647">
        <v>6</v>
      </c>
      <c r="M647">
        <v>342906.4</v>
      </c>
      <c r="N647">
        <v>2057438.4000000001</v>
      </c>
    </row>
    <row r="648" spans="1:14" x14ac:dyDescent="0.25">
      <c r="A648" t="s">
        <v>1240</v>
      </c>
      <c r="B648" t="s">
        <v>17</v>
      </c>
      <c r="C648">
        <v>65</v>
      </c>
      <c r="D648" t="s">
        <v>18</v>
      </c>
      <c r="E648" t="s">
        <v>23</v>
      </c>
      <c r="F648" t="s">
        <v>47</v>
      </c>
      <c r="G648">
        <v>3055677</v>
      </c>
      <c r="H648">
        <v>34.93</v>
      </c>
      <c r="I648">
        <v>8.8000000000000007</v>
      </c>
      <c r="J648" s="1">
        <v>44687</v>
      </c>
      <c r="K648">
        <v>157</v>
      </c>
      <c r="L648">
        <v>4</v>
      </c>
      <c r="M648">
        <v>305567.7</v>
      </c>
      <c r="N648">
        <v>1222270.8</v>
      </c>
    </row>
    <row r="649" spans="1:14" x14ac:dyDescent="0.25">
      <c r="A649" t="s">
        <v>1242</v>
      </c>
      <c r="B649" t="s">
        <v>17</v>
      </c>
      <c r="C649">
        <v>27</v>
      </c>
      <c r="D649" t="s">
        <v>28</v>
      </c>
      <c r="E649" t="s">
        <v>50</v>
      </c>
      <c r="F649" t="s">
        <v>41</v>
      </c>
      <c r="G649">
        <v>4385122</v>
      </c>
      <c r="H649">
        <v>12.84</v>
      </c>
      <c r="I649">
        <v>11.67</v>
      </c>
      <c r="J649" s="1">
        <v>45587</v>
      </c>
      <c r="K649">
        <v>146</v>
      </c>
      <c r="L649">
        <v>1</v>
      </c>
      <c r="M649">
        <v>438512.2</v>
      </c>
      <c r="N649">
        <v>438512.2</v>
      </c>
    </row>
    <row r="650" spans="1:14" x14ac:dyDescent="0.25">
      <c r="A650" t="s">
        <v>1244</v>
      </c>
      <c r="B650" t="s">
        <v>17</v>
      </c>
      <c r="C650">
        <v>44</v>
      </c>
      <c r="D650" t="s">
        <v>12</v>
      </c>
      <c r="E650" t="s">
        <v>23</v>
      </c>
      <c r="F650" t="s">
        <v>35</v>
      </c>
      <c r="G650">
        <v>2317308</v>
      </c>
      <c r="H650">
        <v>26.68</v>
      </c>
      <c r="I650">
        <v>29.17</v>
      </c>
      <c r="J650" s="1">
        <v>43988</v>
      </c>
      <c r="K650">
        <v>111</v>
      </c>
      <c r="L650">
        <v>6</v>
      </c>
      <c r="M650">
        <v>231730.80000000002</v>
      </c>
      <c r="N650">
        <v>1390384.8</v>
      </c>
    </row>
    <row r="651" spans="1:14" x14ac:dyDescent="0.25">
      <c r="A651" t="s">
        <v>1245</v>
      </c>
      <c r="B651" t="s">
        <v>17</v>
      </c>
      <c r="C651">
        <v>58</v>
      </c>
      <c r="D651" t="s">
        <v>46</v>
      </c>
      <c r="E651" t="s">
        <v>57</v>
      </c>
      <c r="F651" t="s">
        <v>41</v>
      </c>
      <c r="G651">
        <v>448275</v>
      </c>
      <c r="H651">
        <v>16.100000000000001</v>
      </c>
      <c r="I651">
        <v>-4.38</v>
      </c>
      <c r="J651" s="1">
        <v>44969</v>
      </c>
      <c r="K651">
        <v>85</v>
      </c>
      <c r="L651">
        <v>3</v>
      </c>
      <c r="M651">
        <v>44827.5</v>
      </c>
      <c r="N651">
        <v>134482.5</v>
      </c>
    </row>
    <row r="652" spans="1:14" x14ac:dyDescent="0.25">
      <c r="A652" t="s">
        <v>1247</v>
      </c>
      <c r="B652" t="s">
        <v>17</v>
      </c>
      <c r="C652">
        <v>30</v>
      </c>
      <c r="D652" t="s">
        <v>46</v>
      </c>
      <c r="E652" t="s">
        <v>29</v>
      </c>
      <c r="F652" t="s">
        <v>35</v>
      </c>
      <c r="G652">
        <v>2986613</v>
      </c>
      <c r="H652">
        <v>10.62</v>
      </c>
      <c r="I652">
        <v>29.89</v>
      </c>
      <c r="J652" s="1">
        <v>45528</v>
      </c>
      <c r="K652">
        <v>278</v>
      </c>
      <c r="L652">
        <v>1</v>
      </c>
      <c r="M652">
        <v>298661.3</v>
      </c>
      <c r="N652">
        <v>298661.3</v>
      </c>
    </row>
    <row r="653" spans="1:14" x14ac:dyDescent="0.25">
      <c r="A653" t="s">
        <v>1249</v>
      </c>
      <c r="B653" t="s">
        <v>17</v>
      </c>
      <c r="C653">
        <v>64</v>
      </c>
      <c r="D653" t="s">
        <v>12</v>
      </c>
      <c r="E653" t="s">
        <v>13</v>
      </c>
      <c r="F653" t="s">
        <v>20</v>
      </c>
      <c r="G653">
        <v>1007105</v>
      </c>
      <c r="H653">
        <v>27.67</v>
      </c>
      <c r="I653">
        <v>31.95</v>
      </c>
      <c r="J653" s="1">
        <v>45418</v>
      </c>
      <c r="K653">
        <v>247</v>
      </c>
      <c r="L653">
        <v>2</v>
      </c>
      <c r="M653">
        <v>100710.5</v>
      </c>
      <c r="N653">
        <v>201421</v>
      </c>
    </row>
    <row r="654" spans="1:14" x14ac:dyDescent="0.25">
      <c r="A654" t="s">
        <v>1251</v>
      </c>
      <c r="B654" t="s">
        <v>17</v>
      </c>
      <c r="C654">
        <v>24</v>
      </c>
      <c r="D654" t="s">
        <v>46</v>
      </c>
      <c r="E654" t="s">
        <v>13</v>
      </c>
      <c r="F654" t="s">
        <v>41</v>
      </c>
      <c r="G654">
        <v>909840</v>
      </c>
      <c r="H654">
        <v>24.84</v>
      </c>
      <c r="I654">
        <v>35.479999999999997</v>
      </c>
      <c r="J654" s="1">
        <v>44304</v>
      </c>
      <c r="K654">
        <v>113</v>
      </c>
      <c r="L654">
        <v>5</v>
      </c>
      <c r="M654">
        <v>90984</v>
      </c>
      <c r="N654">
        <v>454920</v>
      </c>
    </row>
    <row r="655" spans="1:14" x14ac:dyDescent="0.25">
      <c r="A655" t="s">
        <v>1253</v>
      </c>
      <c r="B655" t="s">
        <v>11</v>
      </c>
      <c r="C655">
        <v>21</v>
      </c>
      <c r="D655" t="s">
        <v>46</v>
      </c>
      <c r="E655" t="s">
        <v>50</v>
      </c>
      <c r="F655" t="s">
        <v>47</v>
      </c>
      <c r="G655">
        <v>2781804</v>
      </c>
      <c r="H655">
        <v>30.29</v>
      </c>
      <c r="I655">
        <v>28.29</v>
      </c>
      <c r="J655" s="1">
        <v>43430</v>
      </c>
      <c r="K655">
        <v>108</v>
      </c>
      <c r="L655">
        <v>7</v>
      </c>
      <c r="M655">
        <v>278180.40000000002</v>
      </c>
      <c r="N655">
        <v>1947262.8000000003</v>
      </c>
    </row>
    <row r="656" spans="1:14" x14ac:dyDescent="0.25">
      <c r="A656" t="s">
        <v>1255</v>
      </c>
      <c r="B656" t="s">
        <v>11</v>
      </c>
      <c r="C656">
        <v>30</v>
      </c>
      <c r="D656" t="s">
        <v>28</v>
      </c>
      <c r="E656" t="s">
        <v>19</v>
      </c>
      <c r="F656" t="s">
        <v>41</v>
      </c>
      <c r="G656">
        <v>3837200</v>
      </c>
      <c r="H656">
        <v>29.06</v>
      </c>
      <c r="I656">
        <v>14.74</v>
      </c>
      <c r="J656" s="1">
        <v>44051</v>
      </c>
      <c r="K656">
        <v>30</v>
      </c>
      <c r="L656">
        <v>5</v>
      </c>
      <c r="M656">
        <v>383720</v>
      </c>
      <c r="N656">
        <v>1918600</v>
      </c>
    </row>
    <row r="657" spans="1:14" x14ac:dyDescent="0.25">
      <c r="A657" t="s">
        <v>1257</v>
      </c>
      <c r="B657" t="s">
        <v>11</v>
      </c>
      <c r="C657">
        <v>53</v>
      </c>
      <c r="D657" t="s">
        <v>28</v>
      </c>
      <c r="E657" t="s">
        <v>23</v>
      </c>
      <c r="F657" t="s">
        <v>20</v>
      </c>
      <c r="G657">
        <v>87713</v>
      </c>
      <c r="H657">
        <v>21.55</v>
      </c>
      <c r="I657">
        <v>29.53</v>
      </c>
      <c r="J657" s="1">
        <v>45456</v>
      </c>
      <c r="K657">
        <v>71</v>
      </c>
      <c r="L657">
        <v>2</v>
      </c>
      <c r="M657">
        <v>8771.3000000000011</v>
      </c>
      <c r="N657">
        <v>17542.600000000002</v>
      </c>
    </row>
    <row r="658" spans="1:14" x14ac:dyDescent="0.25">
      <c r="A658" t="s">
        <v>1259</v>
      </c>
      <c r="B658" t="s">
        <v>11</v>
      </c>
      <c r="C658">
        <v>65</v>
      </c>
      <c r="D658" t="s">
        <v>38</v>
      </c>
      <c r="E658" t="s">
        <v>50</v>
      </c>
      <c r="F658" t="s">
        <v>41</v>
      </c>
      <c r="G658">
        <v>4793868</v>
      </c>
      <c r="H658">
        <v>10.82</v>
      </c>
      <c r="I658">
        <v>-1.39</v>
      </c>
      <c r="J658" s="1">
        <v>43817</v>
      </c>
      <c r="K658">
        <v>215</v>
      </c>
      <c r="L658">
        <v>6</v>
      </c>
      <c r="M658">
        <v>479386.80000000005</v>
      </c>
      <c r="N658">
        <v>2876320.8000000003</v>
      </c>
    </row>
    <row r="659" spans="1:14" x14ac:dyDescent="0.25">
      <c r="A659" t="s">
        <v>1260</v>
      </c>
      <c r="B659" t="s">
        <v>17</v>
      </c>
      <c r="C659">
        <v>64</v>
      </c>
      <c r="D659" t="s">
        <v>38</v>
      </c>
      <c r="E659" t="s">
        <v>29</v>
      </c>
      <c r="F659" t="s">
        <v>35</v>
      </c>
      <c r="G659">
        <v>2162163</v>
      </c>
      <c r="H659">
        <v>10.96</v>
      </c>
      <c r="I659">
        <v>30.94</v>
      </c>
      <c r="J659" s="1">
        <v>44559</v>
      </c>
      <c r="K659">
        <v>197</v>
      </c>
      <c r="L659">
        <v>4</v>
      </c>
      <c r="M659">
        <v>216216.30000000002</v>
      </c>
      <c r="N659">
        <v>864865.20000000007</v>
      </c>
    </row>
    <row r="660" spans="1:14" x14ac:dyDescent="0.25">
      <c r="A660" t="s">
        <v>1261</v>
      </c>
      <c r="B660" t="s">
        <v>11</v>
      </c>
      <c r="C660">
        <v>40</v>
      </c>
      <c r="D660" t="s">
        <v>46</v>
      </c>
      <c r="E660" t="s">
        <v>50</v>
      </c>
      <c r="F660" t="s">
        <v>14</v>
      </c>
      <c r="G660">
        <v>2127613</v>
      </c>
      <c r="H660">
        <v>32.68</v>
      </c>
      <c r="I660">
        <v>-2.5</v>
      </c>
      <c r="J660" s="1">
        <v>43668</v>
      </c>
      <c r="K660">
        <v>281</v>
      </c>
      <c r="L660">
        <v>6</v>
      </c>
      <c r="M660">
        <v>212761.30000000002</v>
      </c>
      <c r="N660">
        <v>1276567.8</v>
      </c>
    </row>
    <row r="661" spans="1:14" x14ac:dyDescent="0.25">
      <c r="A661" t="s">
        <v>1262</v>
      </c>
      <c r="B661" t="s">
        <v>11</v>
      </c>
      <c r="C661">
        <v>23</v>
      </c>
      <c r="D661" t="s">
        <v>46</v>
      </c>
      <c r="E661" t="s">
        <v>23</v>
      </c>
      <c r="F661" t="s">
        <v>47</v>
      </c>
      <c r="G661">
        <v>2491101</v>
      </c>
      <c r="H661">
        <v>20.59</v>
      </c>
      <c r="I661">
        <v>42.58</v>
      </c>
      <c r="J661" s="1">
        <v>45315</v>
      </c>
      <c r="K661">
        <v>187</v>
      </c>
      <c r="L661">
        <v>2</v>
      </c>
      <c r="M661">
        <v>249110.1</v>
      </c>
      <c r="N661">
        <v>498220.2</v>
      </c>
    </row>
    <row r="662" spans="1:14" x14ac:dyDescent="0.25">
      <c r="A662" t="s">
        <v>1264</v>
      </c>
      <c r="B662" t="s">
        <v>11</v>
      </c>
      <c r="C662">
        <v>35</v>
      </c>
      <c r="D662" t="s">
        <v>12</v>
      </c>
      <c r="E662" t="s">
        <v>57</v>
      </c>
      <c r="F662" t="s">
        <v>47</v>
      </c>
      <c r="G662">
        <v>3386913</v>
      </c>
      <c r="H662">
        <v>27.68</v>
      </c>
      <c r="I662">
        <v>-6.07</v>
      </c>
      <c r="J662" s="1">
        <v>44457</v>
      </c>
      <c r="K662">
        <v>362</v>
      </c>
      <c r="L662">
        <v>4</v>
      </c>
      <c r="M662">
        <v>338691.30000000005</v>
      </c>
      <c r="N662">
        <v>1354765.2000000002</v>
      </c>
    </row>
    <row r="663" spans="1:14" x14ac:dyDescent="0.25">
      <c r="A663" t="s">
        <v>1266</v>
      </c>
      <c r="B663" t="s">
        <v>11</v>
      </c>
      <c r="C663">
        <v>32</v>
      </c>
      <c r="D663" t="s">
        <v>28</v>
      </c>
      <c r="E663" t="s">
        <v>19</v>
      </c>
      <c r="F663" t="s">
        <v>35</v>
      </c>
      <c r="G663">
        <v>666794</v>
      </c>
      <c r="H663">
        <v>17.399999999999999</v>
      </c>
      <c r="I663">
        <v>3.84</v>
      </c>
      <c r="J663" s="1">
        <v>43361</v>
      </c>
      <c r="K663">
        <v>72</v>
      </c>
      <c r="L663">
        <v>7</v>
      </c>
      <c r="M663">
        <v>66679.400000000009</v>
      </c>
      <c r="N663">
        <v>466755.80000000005</v>
      </c>
    </row>
    <row r="664" spans="1:14" x14ac:dyDescent="0.25">
      <c r="A664" t="s">
        <v>1267</v>
      </c>
      <c r="B664" t="s">
        <v>11</v>
      </c>
      <c r="C664">
        <v>23</v>
      </c>
      <c r="D664" t="s">
        <v>12</v>
      </c>
      <c r="E664" t="s">
        <v>29</v>
      </c>
      <c r="F664" t="s">
        <v>30</v>
      </c>
      <c r="G664">
        <v>1383734</v>
      </c>
      <c r="H664">
        <v>5.4</v>
      </c>
      <c r="I664">
        <v>-9.98</v>
      </c>
      <c r="J664" s="1">
        <v>44849</v>
      </c>
      <c r="K664">
        <v>168</v>
      </c>
      <c r="L664">
        <v>3</v>
      </c>
      <c r="M664">
        <v>138373.4</v>
      </c>
      <c r="N664">
        <v>415120.19999999995</v>
      </c>
    </row>
    <row r="665" spans="1:14" x14ac:dyDescent="0.25">
      <c r="A665" t="s">
        <v>1268</v>
      </c>
      <c r="B665" t="s">
        <v>17</v>
      </c>
      <c r="C665">
        <v>34</v>
      </c>
      <c r="D665" t="s">
        <v>38</v>
      </c>
      <c r="E665" t="s">
        <v>57</v>
      </c>
      <c r="F665" t="s">
        <v>41</v>
      </c>
      <c r="G665">
        <v>4417412</v>
      </c>
      <c r="H665">
        <v>11.77</v>
      </c>
      <c r="I665">
        <v>4.99</v>
      </c>
      <c r="J665" s="1">
        <v>43393</v>
      </c>
      <c r="K665">
        <v>103</v>
      </c>
      <c r="L665">
        <v>7</v>
      </c>
      <c r="M665">
        <v>441741.2</v>
      </c>
      <c r="N665">
        <v>3092188.4</v>
      </c>
    </row>
    <row r="666" spans="1:14" x14ac:dyDescent="0.25">
      <c r="A666" t="s">
        <v>1270</v>
      </c>
      <c r="B666" t="s">
        <v>11</v>
      </c>
      <c r="C666">
        <v>38</v>
      </c>
      <c r="D666" t="s">
        <v>46</v>
      </c>
      <c r="E666" t="s">
        <v>50</v>
      </c>
      <c r="F666" t="s">
        <v>20</v>
      </c>
      <c r="G666">
        <v>579837</v>
      </c>
      <c r="H666">
        <v>15.73</v>
      </c>
      <c r="I666">
        <v>5.23</v>
      </c>
      <c r="J666" s="1">
        <v>43561</v>
      </c>
      <c r="K666">
        <v>266</v>
      </c>
      <c r="L666">
        <v>7</v>
      </c>
      <c r="M666">
        <v>57983.700000000004</v>
      </c>
      <c r="N666">
        <v>405885.9</v>
      </c>
    </row>
    <row r="667" spans="1:14" x14ac:dyDescent="0.25">
      <c r="A667" t="s">
        <v>1272</v>
      </c>
      <c r="B667" t="s">
        <v>11</v>
      </c>
      <c r="C667">
        <v>37</v>
      </c>
      <c r="D667" t="s">
        <v>18</v>
      </c>
      <c r="E667" t="s">
        <v>57</v>
      </c>
      <c r="F667" t="s">
        <v>47</v>
      </c>
      <c r="G667">
        <v>2565996</v>
      </c>
      <c r="H667">
        <v>23.99</v>
      </c>
      <c r="I667">
        <v>18.07</v>
      </c>
      <c r="J667" s="1">
        <v>44154</v>
      </c>
      <c r="K667">
        <v>226</v>
      </c>
      <c r="L667">
        <v>5</v>
      </c>
      <c r="M667">
        <v>256599.6</v>
      </c>
      <c r="N667">
        <v>1282998</v>
      </c>
    </row>
    <row r="668" spans="1:14" x14ac:dyDescent="0.25">
      <c r="A668" t="s">
        <v>1274</v>
      </c>
      <c r="B668" t="s">
        <v>17</v>
      </c>
      <c r="C668">
        <v>27</v>
      </c>
      <c r="D668" t="s">
        <v>12</v>
      </c>
      <c r="E668" t="s">
        <v>57</v>
      </c>
      <c r="F668" t="s">
        <v>35</v>
      </c>
      <c r="G668">
        <v>3967006</v>
      </c>
      <c r="H668">
        <v>28.23</v>
      </c>
      <c r="I668">
        <v>28.41</v>
      </c>
      <c r="J668" s="1">
        <v>43919</v>
      </c>
      <c r="K668">
        <v>364</v>
      </c>
      <c r="L668">
        <v>6</v>
      </c>
      <c r="M668">
        <v>396700.60000000003</v>
      </c>
      <c r="N668">
        <v>2380203.6</v>
      </c>
    </row>
    <row r="669" spans="1:14" x14ac:dyDescent="0.25">
      <c r="A669" t="s">
        <v>1276</v>
      </c>
      <c r="B669" t="s">
        <v>17</v>
      </c>
      <c r="C669">
        <v>63</v>
      </c>
      <c r="D669" t="s">
        <v>18</v>
      </c>
      <c r="E669" t="s">
        <v>19</v>
      </c>
      <c r="F669" t="s">
        <v>20</v>
      </c>
      <c r="G669">
        <v>4325587</v>
      </c>
      <c r="H669">
        <v>8.08</v>
      </c>
      <c r="I669">
        <v>22.97</v>
      </c>
      <c r="J669" s="1">
        <v>43313</v>
      </c>
      <c r="K669">
        <v>319</v>
      </c>
      <c r="L669">
        <v>7</v>
      </c>
      <c r="M669">
        <v>432558.7</v>
      </c>
      <c r="N669">
        <v>3027910.9</v>
      </c>
    </row>
    <row r="670" spans="1:14" x14ac:dyDescent="0.25">
      <c r="A670" t="s">
        <v>1277</v>
      </c>
      <c r="B670" t="s">
        <v>11</v>
      </c>
      <c r="C670">
        <v>35</v>
      </c>
      <c r="D670" t="s">
        <v>46</v>
      </c>
      <c r="E670" t="s">
        <v>19</v>
      </c>
      <c r="F670" t="s">
        <v>41</v>
      </c>
      <c r="G670">
        <v>4623849</v>
      </c>
      <c r="H670">
        <v>15.17</v>
      </c>
      <c r="I670">
        <v>2.4</v>
      </c>
      <c r="J670" s="1">
        <v>43388</v>
      </c>
      <c r="K670">
        <v>248</v>
      </c>
      <c r="L670">
        <v>7</v>
      </c>
      <c r="M670">
        <v>462384.9</v>
      </c>
      <c r="N670">
        <v>3236694.3000000003</v>
      </c>
    </row>
    <row r="671" spans="1:14" x14ac:dyDescent="0.25">
      <c r="A671" t="s">
        <v>1279</v>
      </c>
      <c r="B671" t="s">
        <v>11</v>
      </c>
      <c r="C671">
        <v>54</v>
      </c>
      <c r="D671" t="s">
        <v>28</v>
      </c>
      <c r="E671" t="s">
        <v>19</v>
      </c>
      <c r="F671" t="s">
        <v>35</v>
      </c>
      <c r="G671">
        <v>4401851</v>
      </c>
      <c r="H671">
        <v>11.63</v>
      </c>
      <c r="I671">
        <v>-7.01</v>
      </c>
      <c r="J671" s="1">
        <v>43408</v>
      </c>
      <c r="K671">
        <v>29</v>
      </c>
      <c r="L671">
        <v>7</v>
      </c>
      <c r="M671">
        <v>440185.10000000003</v>
      </c>
      <c r="N671">
        <v>3081295.7</v>
      </c>
    </row>
    <row r="672" spans="1:14" x14ac:dyDescent="0.25">
      <c r="A672" t="s">
        <v>1281</v>
      </c>
      <c r="B672" t="s">
        <v>11</v>
      </c>
      <c r="C672">
        <v>22</v>
      </c>
      <c r="D672" t="s">
        <v>46</v>
      </c>
      <c r="E672" t="s">
        <v>23</v>
      </c>
      <c r="F672" t="s">
        <v>20</v>
      </c>
      <c r="G672">
        <v>3922414</v>
      </c>
      <c r="H672">
        <v>9.33</v>
      </c>
      <c r="I672">
        <v>7.87</v>
      </c>
      <c r="J672" s="1">
        <v>44727</v>
      </c>
      <c r="K672">
        <v>361</v>
      </c>
      <c r="L672">
        <v>4</v>
      </c>
      <c r="M672">
        <v>392241.4</v>
      </c>
      <c r="N672">
        <v>1568965.6</v>
      </c>
    </row>
    <row r="673" spans="1:14" x14ac:dyDescent="0.25">
      <c r="A673" t="s">
        <v>1283</v>
      </c>
      <c r="B673" t="s">
        <v>17</v>
      </c>
      <c r="C673">
        <v>56</v>
      </c>
      <c r="D673" t="s">
        <v>46</v>
      </c>
      <c r="E673" t="s">
        <v>57</v>
      </c>
      <c r="F673" t="s">
        <v>35</v>
      </c>
      <c r="G673">
        <v>897615</v>
      </c>
      <c r="H673">
        <v>20.11</v>
      </c>
      <c r="I673">
        <v>24.43</v>
      </c>
      <c r="J673" s="1">
        <v>43581</v>
      </c>
      <c r="K673">
        <v>275</v>
      </c>
      <c r="L673">
        <v>7</v>
      </c>
      <c r="M673">
        <v>89761.5</v>
      </c>
      <c r="N673">
        <v>628330.5</v>
      </c>
    </row>
    <row r="674" spans="1:14" x14ac:dyDescent="0.25">
      <c r="A674" t="s">
        <v>1285</v>
      </c>
      <c r="B674" t="s">
        <v>17</v>
      </c>
      <c r="C674">
        <v>54</v>
      </c>
      <c r="D674" t="s">
        <v>38</v>
      </c>
      <c r="E674" t="s">
        <v>19</v>
      </c>
      <c r="F674" t="s">
        <v>20</v>
      </c>
      <c r="G674">
        <v>103103</v>
      </c>
      <c r="H674">
        <v>8.6300000000000008</v>
      </c>
      <c r="I674">
        <v>23.92</v>
      </c>
      <c r="J674" s="1">
        <v>45495</v>
      </c>
      <c r="K674">
        <v>187</v>
      </c>
      <c r="L674">
        <v>1</v>
      </c>
      <c r="M674">
        <v>10310.300000000001</v>
      </c>
      <c r="N674">
        <v>10310.300000000001</v>
      </c>
    </row>
    <row r="675" spans="1:14" x14ac:dyDescent="0.25">
      <c r="A675" t="s">
        <v>1287</v>
      </c>
      <c r="B675" t="s">
        <v>17</v>
      </c>
      <c r="C675">
        <v>26</v>
      </c>
      <c r="D675" t="s">
        <v>38</v>
      </c>
      <c r="E675" t="s">
        <v>19</v>
      </c>
      <c r="F675" t="s">
        <v>35</v>
      </c>
      <c r="G675">
        <v>1254071</v>
      </c>
      <c r="H675">
        <v>25.94</v>
      </c>
      <c r="I675">
        <v>17.5</v>
      </c>
      <c r="J675" s="1">
        <v>43992</v>
      </c>
      <c r="K675">
        <v>105</v>
      </c>
      <c r="L675">
        <v>6</v>
      </c>
      <c r="M675">
        <v>125407.1</v>
      </c>
      <c r="N675">
        <v>752442.60000000009</v>
      </c>
    </row>
    <row r="676" spans="1:14" x14ac:dyDescent="0.25">
      <c r="A676" t="s">
        <v>1288</v>
      </c>
      <c r="B676" t="s">
        <v>11</v>
      </c>
      <c r="C676">
        <v>37</v>
      </c>
      <c r="D676" t="s">
        <v>38</v>
      </c>
      <c r="E676" t="s">
        <v>23</v>
      </c>
      <c r="F676" t="s">
        <v>35</v>
      </c>
      <c r="G676">
        <v>3316216</v>
      </c>
      <c r="H676">
        <v>27.13</v>
      </c>
      <c r="I676">
        <v>1.99</v>
      </c>
      <c r="J676" s="1">
        <v>44880</v>
      </c>
      <c r="K676">
        <v>12</v>
      </c>
      <c r="L676">
        <v>3</v>
      </c>
      <c r="M676">
        <v>331621.60000000003</v>
      </c>
      <c r="N676">
        <v>994864.8</v>
      </c>
    </row>
    <row r="677" spans="1:14" x14ac:dyDescent="0.25">
      <c r="A677" t="s">
        <v>1290</v>
      </c>
      <c r="B677" t="s">
        <v>11</v>
      </c>
      <c r="C677">
        <v>44</v>
      </c>
      <c r="D677" t="s">
        <v>28</v>
      </c>
      <c r="E677" t="s">
        <v>57</v>
      </c>
      <c r="F677" t="s">
        <v>35</v>
      </c>
      <c r="G677">
        <v>1983711</v>
      </c>
      <c r="H677">
        <v>13.38</v>
      </c>
      <c r="I677">
        <v>42.58</v>
      </c>
      <c r="J677" s="1">
        <v>45192</v>
      </c>
      <c r="K677">
        <v>245</v>
      </c>
      <c r="L677">
        <v>2</v>
      </c>
      <c r="M677">
        <v>198371.1</v>
      </c>
      <c r="N677">
        <v>396742.2</v>
      </c>
    </row>
    <row r="678" spans="1:14" x14ac:dyDescent="0.25">
      <c r="A678" t="s">
        <v>1291</v>
      </c>
      <c r="B678" t="s">
        <v>17</v>
      </c>
      <c r="C678">
        <v>38</v>
      </c>
      <c r="D678" t="s">
        <v>46</v>
      </c>
      <c r="E678" t="s">
        <v>57</v>
      </c>
      <c r="F678" t="s">
        <v>14</v>
      </c>
      <c r="G678">
        <v>86043</v>
      </c>
      <c r="H678">
        <v>21.5</v>
      </c>
      <c r="I678">
        <v>-1.31</v>
      </c>
      <c r="J678" s="1">
        <v>44032</v>
      </c>
      <c r="K678">
        <v>297</v>
      </c>
      <c r="L678">
        <v>5</v>
      </c>
      <c r="M678">
        <v>8604.3000000000011</v>
      </c>
      <c r="N678">
        <v>43021.500000000007</v>
      </c>
    </row>
    <row r="679" spans="1:14" x14ac:dyDescent="0.25">
      <c r="A679" t="s">
        <v>1293</v>
      </c>
      <c r="B679" t="s">
        <v>17</v>
      </c>
      <c r="C679">
        <v>36</v>
      </c>
      <c r="D679" t="s">
        <v>28</v>
      </c>
      <c r="E679" t="s">
        <v>29</v>
      </c>
      <c r="F679" t="s">
        <v>30</v>
      </c>
      <c r="G679">
        <v>4656840</v>
      </c>
      <c r="H679">
        <v>33.950000000000003</v>
      </c>
      <c r="I679">
        <v>31.64</v>
      </c>
      <c r="J679" s="1">
        <v>43694</v>
      </c>
      <c r="K679">
        <v>291</v>
      </c>
      <c r="L679">
        <v>6</v>
      </c>
      <c r="M679">
        <v>465684</v>
      </c>
      <c r="N679">
        <v>2794104</v>
      </c>
    </row>
    <row r="680" spans="1:14" x14ac:dyDescent="0.25">
      <c r="A680" t="s">
        <v>1295</v>
      </c>
      <c r="B680" t="s">
        <v>11</v>
      </c>
      <c r="C680">
        <v>30</v>
      </c>
      <c r="D680" t="s">
        <v>12</v>
      </c>
      <c r="E680" t="s">
        <v>19</v>
      </c>
      <c r="F680" t="s">
        <v>41</v>
      </c>
      <c r="G680">
        <v>3869445</v>
      </c>
      <c r="H680">
        <v>18.8</v>
      </c>
      <c r="I680">
        <v>22.67</v>
      </c>
      <c r="J680" s="1">
        <v>45279</v>
      </c>
      <c r="K680">
        <v>182</v>
      </c>
      <c r="L680">
        <v>2</v>
      </c>
      <c r="M680">
        <v>386944.5</v>
      </c>
      <c r="N680">
        <v>773889</v>
      </c>
    </row>
    <row r="681" spans="1:14" x14ac:dyDescent="0.25">
      <c r="A681" t="s">
        <v>1297</v>
      </c>
      <c r="B681" t="s">
        <v>17</v>
      </c>
      <c r="C681">
        <v>48</v>
      </c>
      <c r="D681" t="s">
        <v>46</v>
      </c>
      <c r="E681" t="s">
        <v>57</v>
      </c>
      <c r="F681" t="s">
        <v>35</v>
      </c>
      <c r="G681">
        <v>740201</v>
      </c>
      <c r="H681">
        <v>28.07</v>
      </c>
      <c r="I681">
        <v>4.26</v>
      </c>
      <c r="J681" s="1">
        <v>43746</v>
      </c>
      <c r="K681">
        <v>19</v>
      </c>
      <c r="L681">
        <v>6</v>
      </c>
      <c r="M681">
        <v>74020.100000000006</v>
      </c>
      <c r="N681">
        <v>444120.60000000003</v>
      </c>
    </row>
    <row r="682" spans="1:14" x14ac:dyDescent="0.25">
      <c r="A682" t="s">
        <v>1298</v>
      </c>
      <c r="B682" t="s">
        <v>11</v>
      </c>
      <c r="C682">
        <v>45</v>
      </c>
      <c r="D682" t="s">
        <v>18</v>
      </c>
      <c r="E682" t="s">
        <v>23</v>
      </c>
      <c r="F682" t="s">
        <v>35</v>
      </c>
      <c r="G682">
        <v>2596682</v>
      </c>
      <c r="H682">
        <v>24.31</v>
      </c>
      <c r="I682">
        <v>34.18</v>
      </c>
      <c r="J682" s="1">
        <v>44914</v>
      </c>
      <c r="K682">
        <v>213</v>
      </c>
      <c r="L682">
        <v>3</v>
      </c>
      <c r="M682">
        <v>259668.2</v>
      </c>
      <c r="N682">
        <v>779004.60000000009</v>
      </c>
    </row>
    <row r="683" spans="1:14" x14ac:dyDescent="0.25">
      <c r="A683" t="s">
        <v>1299</v>
      </c>
      <c r="B683" t="s">
        <v>11</v>
      </c>
      <c r="C683">
        <v>31</v>
      </c>
      <c r="D683" t="s">
        <v>12</v>
      </c>
      <c r="E683" t="s">
        <v>19</v>
      </c>
      <c r="F683" t="s">
        <v>20</v>
      </c>
      <c r="G683">
        <v>1344396</v>
      </c>
      <c r="H683">
        <v>33.6</v>
      </c>
      <c r="I683">
        <v>-1.36</v>
      </c>
      <c r="J683" s="1">
        <v>44137</v>
      </c>
      <c r="K683">
        <v>210</v>
      </c>
      <c r="L683">
        <v>5</v>
      </c>
      <c r="M683">
        <v>134439.6</v>
      </c>
      <c r="N683">
        <v>672198</v>
      </c>
    </row>
    <row r="684" spans="1:14" x14ac:dyDescent="0.25">
      <c r="A684" t="s">
        <v>1301</v>
      </c>
      <c r="B684" t="s">
        <v>17</v>
      </c>
      <c r="C684">
        <v>24</v>
      </c>
      <c r="D684" t="s">
        <v>28</v>
      </c>
      <c r="E684" t="s">
        <v>57</v>
      </c>
      <c r="F684" t="s">
        <v>41</v>
      </c>
      <c r="G684">
        <v>1473450</v>
      </c>
      <c r="H684">
        <v>23.74</v>
      </c>
      <c r="I684">
        <v>36.42</v>
      </c>
      <c r="J684" s="1">
        <v>44332</v>
      </c>
      <c r="K684">
        <v>138</v>
      </c>
      <c r="L684">
        <v>5</v>
      </c>
      <c r="M684">
        <v>147345</v>
      </c>
      <c r="N684">
        <v>736725</v>
      </c>
    </row>
    <row r="685" spans="1:14" x14ac:dyDescent="0.25">
      <c r="A685" t="s">
        <v>1303</v>
      </c>
      <c r="B685" t="s">
        <v>17</v>
      </c>
      <c r="C685">
        <v>31</v>
      </c>
      <c r="D685" t="s">
        <v>12</v>
      </c>
      <c r="E685" t="s">
        <v>23</v>
      </c>
      <c r="F685" t="s">
        <v>14</v>
      </c>
      <c r="G685">
        <v>849728</v>
      </c>
      <c r="H685">
        <v>23.79</v>
      </c>
      <c r="I685">
        <v>11.86</v>
      </c>
      <c r="J685" s="1">
        <v>45454</v>
      </c>
      <c r="K685">
        <v>357</v>
      </c>
      <c r="L685">
        <v>2</v>
      </c>
      <c r="M685">
        <v>84972.800000000003</v>
      </c>
      <c r="N685">
        <v>169945.60000000001</v>
      </c>
    </row>
    <row r="686" spans="1:14" x14ac:dyDescent="0.25">
      <c r="A686" t="s">
        <v>1304</v>
      </c>
      <c r="B686" t="s">
        <v>17</v>
      </c>
      <c r="C686">
        <v>60</v>
      </c>
      <c r="D686" t="s">
        <v>12</v>
      </c>
      <c r="E686" t="s">
        <v>50</v>
      </c>
      <c r="F686" t="s">
        <v>14</v>
      </c>
      <c r="G686">
        <v>201061</v>
      </c>
      <c r="H686">
        <v>19.04</v>
      </c>
      <c r="I686">
        <v>-2.69</v>
      </c>
      <c r="J686" s="1">
        <v>43423</v>
      </c>
      <c r="K686">
        <v>138</v>
      </c>
      <c r="L686">
        <v>7</v>
      </c>
      <c r="M686">
        <v>20106.100000000002</v>
      </c>
      <c r="N686">
        <v>140742.70000000001</v>
      </c>
    </row>
    <row r="687" spans="1:14" x14ac:dyDescent="0.25">
      <c r="A687" t="s">
        <v>1306</v>
      </c>
      <c r="B687" t="s">
        <v>11</v>
      </c>
      <c r="C687">
        <v>56</v>
      </c>
      <c r="D687" t="s">
        <v>12</v>
      </c>
      <c r="E687" t="s">
        <v>57</v>
      </c>
      <c r="F687" t="s">
        <v>14</v>
      </c>
      <c r="G687">
        <v>1116643</v>
      </c>
      <c r="H687">
        <v>12.74</v>
      </c>
      <c r="I687">
        <v>8.1199999999999992</v>
      </c>
      <c r="J687" s="1">
        <v>44252</v>
      </c>
      <c r="K687">
        <v>96</v>
      </c>
      <c r="L687">
        <v>5</v>
      </c>
      <c r="M687">
        <v>111664.3</v>
      </c>
      <c r="N687">
        <v>558321.5</v>
      </c>
    </row>
    <row r="688" spans="1:14" x14ac:dyDescent="0.25">
      <c r="A688" t="s">
        <v>1308</v>
      </c>
      <c r="B688" t="s">
        <v>11</v>
      </c>
      <c r="C688">
        <v>28</v>
      </c>
      <c r="D688" t="s">
        <v>12</v>
      </c>
      <c r="E688" t="s">
        <v>19</v>
      </c>
      <c r="F688" t="s">
        <v>14</v>
      </c>
      <c r="G688">
        <v>4005681</v>
      </c>
      <c r="H688">
        <v>9.2799999999999994</v>
      </c>
      <c r="I688">
        <v>13.87</v>
      </c>
      <c r="J688" s="1">
        <v>43830</v>
      </c>
      <c r="K688">
        <v>180</v>
      </c>
      <c r="L688">
        <v>6</v>
      </c>
      <c r="M688">
        <v>400568.10000000003</v>
      </c>
      <c r="N688">
        <v>2403408.6</v>
      </c>
    </row>
    <row r="689" spans="1:14" x14ac:dyDescent="0.25">
      <c r="A689" t="s">
        <v>1310</v>
      </c>
      <c r="B689" t="s">
        <v>11</v>
      </c>
      <c r="C689">
        <v>32</v>
      </c>
      <c r="D689" t="s">
        <v>46</v>
      </c>
      <c r="E689" t="s">
        <v>50</v>
      </c>
      <c r="F689" t="s">
        <v>41</v>
      </c>
      <c r="G689">
        <v>633961</v>
      </c>
      <c r="H689">
        <v>17.28</v>
      </c>
      <c r="I689">
        <v>42.13</v>
      </c>
      <c r="J689" s="1">
        <v>43105</v>
      </c>
      <c r="K689">
        <v>21</v>
      </c>
      <c r="L689">
        <v>8</v>
      </c>
      <c r="M689">
        <v>63396.100000000006</v>
      </c>
      <c r="N689">
        <v>507168.80000000005</v>
      </c>
    </row>
    <row r="690" spans="1:14" x14ac:dyDescent="0.25">
      <c r="A690" t="s">
        <v>1312</v>
      </c>
      <c r="B690" t="s">
        <v>11</v>
      </c>
      <c r="C690">
        <v>31</v>
      </c>
      <c r="D690" t="s">
        <v>46</v>
      </c>
      <c r="E690" t="s">
        <v>50</v>
      </c>
      <c r="F690" t="s">
        <v>20</v>
      </c>
      <c r="G690">
        <v>4956620</v>
      </c>
      <c r="H690">
        <v>32.74</v>
      </c>
      <c r="I690">
        <v>35.76</v>
      </c>
      <c r="J690" s="1">
        <v>44973</v>
      </c>
      <c r="K690">
        <v>102</v>
      </c>
      <c r="L690">
        <v>3</v>
      </c>
      <c r="M690">
        <v>495662</v>
      </c>
      <c r="N690">
        <v>1486986</v>
      </c>
    </row>
    <row r="691" spans="1:14" x14ac:dyDescent="0.25">
      <c r="A691" t="s">
        <v>1314</v>
      </c>
      <c r="B691" t="s">
        <v>11</v>
      </c>
      <c r="C691">
        <v>56</v>
      </c>
      <c r="D691" t="s">
        <v>28</v>
      </c>
      <c r="E691" t="s">
        <v>19</v>
      </c>
      <c r="F691" t="s">
        <v>20</v>
      </c>
      <c r="G691">
        <v>233054</v>
      </c>
      <c r="H691">
        <v>22.43</v>
      </c>
      <c r="I691">
        <v>16.05</v>
      </c>
      <c r="J691" s="1">
        <v>45002</v>
      </c>
      <c r="K691">
        <v>103</v>
      </c>
      <c r="L691">
        <v>3</v>
      </c>
      <c r="M691">
        <v>23305.4</v>
      </c>
      <c r="N691">
        <v>69916.200000000012</v>
      </c>
    </row>
    <row r="692" spans="1:14" x14ac:dyDescent="0.25">
      <c r="A692" t="s">
        <v>1316</v>
      </c>
      <c r="B692" t="s">
        <v>17</v>
      </c>
      <c r="C692">
        <v>52</v>
      </c>
      <c r="D692" t="s">
        <v>38</v>
      </c>
      <c r="E692" t="s">
        <v>50</v>
      </c>
      <c r="F692" t="s">
        <v>35</v>
      </c>
      <c r="G692">
        <v>1620974</v>
      </c>
      <c r="H692">
        <v>21.78</v>
      </c>
      <c r="I692">
        <v>36.68</v>
      </c>
      <c r="J692" s="1">
        <v>45177</v>
      </c>
      <c r="K692">
        <v>225</v>
      </c>
      <c r="L692">
        <v>2</v>
      </c>
      <c r="M692">
        <v>162097.40000000002</v>
      </c>
      <c r="N692">
        <v>324194.80000000005</v>
      </c>
    </row>
    <row r="693" spans="1:14" x14ac:dyDescent="0.25">
      <c r="A693" t="s">
        <v>1318</v>
      </c>
      <c r="B693" t="s">
        <v>11</v>
      </c>
      <c r="C693">
        <v>38</v>
      </c>
      <c r="D693" t="s">
        <v>46</v>
      </c>
      <c r="E693" t="s">
        <v>29</v>
      </c>
      <c r="F693" t="s">
        <v>20</v>
      </c>
      <c r="G693">
        <v>532942</v>
      </c>
      <c r="H693">
        <v>22.59</v>
      </c>
      <c r="I693">
        <v>2.4</v>
      </c>
      <c r="J693" s="1">
        <v>43442</v>
      </c>
      <c r="K693">
        <v>151</v>
      </c>
      <c r="L693">
        <v>7</v>
      </c>
      <c r="M693">
        <v>53294.200000000004</v>
      </c>
      <c r="N693">
        <v>373059.4</v>
      </c>
    </row>
    <row r="694" spans="1:14" x14ac:dyDescent="0.25">
      <c r="A694" t="s">
        <v>1320</v>
      </c>
      <c r="B694" t="s">
        <v>17</v>
      </c>
      <c r="C694">
        <v>30</v>
      </c>
      <c r="D694" t="s">
        <v>46</v>
      </c>
      <c r="E694" t="s">
        <v>57</v>
      </c>
      <c r="F694" t="s">
        <v>30</v>
      </c>
      <c r="G694">
        <v>2522505</v>
      </c>
      <c r="H694">
        <v>23.93</v>
      </c>
      <c r="I694">
        <v>5.75</v>
      </c>
      <c r="J694" s="1">
        <v>44811</v>
      </c>
      <c r="K694">
        <v>294</v>
      </c>
      <c r="L694">
        <v>3</v>
      </c>
      <c r="M694">
        <v>252250.5</v>
      </c>
      <c r="N694">
        <v>756751.5</v>
      </c>
    </row>
    <row r="695" spans="1:14" x14ac:dyDescent="0.25">
      <c r="A695" t="s">
        <v>1321</v>
      </c>
      <c r="B695" t="s">
        <v>11</v>
      </c>
      <c r="C695">
        <v>33</v>
      </c>
      <c r="D695" t="s">
        <v>18</v>
      </c>
      <c r="E695" t="s">
        <v>50</v>
      </c>
      <c r="F695" t="s">
        <v>35</v>
      </c>
      <c r="G695">
        <v>2747966</v>
      </c>
      <c r="H695">
        <v>21.53</v>
      </c>
      <c r="I695">
        <v>37.130000000000003</v>
      </c>
      <c r="J695" s="1">
        <v>43808</v>
      </c>
      <c r="K695">
        <v>69</v>
      </c>
      <c r="L695">
        <v>6</v>
      </c>
      <c r="M695">
        <v>274796.60000000003</v>
      </c>
      <c r="N695">
        <v>1648779.6</v>
      </c>
    </row>
    <row r="696" spans="1:14" x14ac:dyDescent="0.25">
      <c r="A696" t="s">
        <v>1323</v>
      </c>
      <c r="B696" t="s">
        <v>17</v>
      </c>
      <c r="C696">
        <v>59</v>
      </c>
      <c r="D696" t="s">
        <v>28</v>
      </c>
      <c r="E696" t="s">
        <v>13</v>
      </c>
      <c r="F696" t="s">
        <v>35</v>
      </c>
      <c r="G696">
        <v>4782664</v>
      </c>
      <c r="H696">
        <v>11.67</v>
      </c>
      <c r="I696">
        <v>3.88</v>
      </c>
      <c r="J696" s="1">
        <v>43545</v>
      </c>
      <c r="K696">
        <v>270</v>
      </c>
      <c r="L696">
        <v>7</v>
      </c>
      <c r="M696">
        <v>478266.4</v>
      </c>
      <c r="N696">
        <v>3347864.8000000003</v>
      </c>
    </row>
    <row r="697" spans="1:14" x14ac:dyDescent="0.25">
      <c r="A697" t="s">
        <v>1324</v>
      </c>
      <c r="B697" t="s">
        <v>11</v>
      </c>
      <c r="C697">
        <v>47</v>
      </c>
      <c r="D697" t="s">
        <v>12</v>
      </c>
      <c r="E697" t="s">
        <v>50</v>
      </c>
      <c r="F697" t="s">
        <v>30</v>
      </c>
      <c r="G697">
        <v>4000484</v>
      </c>
      <c r="H697">
        <v>12.31</v>
      </c>
      <c r="I697">
        <v>34.270000000000003</v>
      </c>
      <c r="J697" s="1">
        <v>44932</v>
      </c>
      <c r="K697">
        <v>329</v>
      </c>
      <c r="L697">
        <v>3</v>
      </c>
      <c r="M697">
        <v>400048.4</v>
      </c>
      <c r="N697">
        <v>1200145.2000000002</v>
      </c>
    </row>
    <row r="698" spans="1:14" x14ac:dyDescent="0.25">
      <c r="A698" t="s">
        <v>1326</v>
      </c>
      <c r="B698" t="s">
        <v>17</v>
      </c>
      <c r="C698">
        <v>35</v>
      </c>
      <c r="D698" t="s">
        <v>12</v>
      </c>
      <c r="E698" t="s">
        <v>50</v>
      </c>
      <c r="F698" t="s">
        <v>41</v>
      </c>
      <c r="G698">
        <v>241953</v>
      </c>
      <c r="H698">
        <v>6.95</v>
      </c>
      <c r="I698">
        <v>9.48</v>
      </c>
      <c r="J698" s="1">
        <v>43167</v>
      </c>
      <c r="K698">
        <v>105</v>
      </c>
      <c r="L698">
        <v>8</v>
      </c>
      <c r="M698">
        <v>24195.300000000003</v>
      </c>
      <c r="N698">
        <v>193562.40000000002</v>
      </c>
    </row>
    <row r="699" spans="1:14" x14ac:dyDescent="0.25">
      <c r="A699" t="s">
        <v>1328</v>
      </c>
      <c r="B699" t="s">
        <v>17</v>
      </c>
      <c r="C699">
        <v>28</v>
      </c>
      <c r="D699" t="s">
        <v>28</v>
      </c>
      <c r="E699" t="s">
        <v>13</v>
      </c>
      <c r="F699" t="s">
        <v>20</v>
      </c>
      <c r="G699">
        <v>3950101</v>
      </c>
      <c r="H699">
        <v>34.17</v>
      </c>
      <c r="I699">
        <v>30.21</v>
      </c>
      <c r="J699" s="1">
        <v>45292</v>
      </c>
      <c r="K699">
        <v>128</v>
      </c>
      <c r="L699">
        <v>2</v>
      </c>
      <c r="M699">
        <v>395010.10000000003</v>
      </c>
      <c r="N699">
        <v>790020.20000000007</v>
      </c>
    </row>
    <row r="700" spans="1:14" x14ac:dyDescent="0.25">
      <c r="A700" t="s">
        <v>1330</v>
      </c>
      <c r="B700" t="s">
        <v>11</v>
      </c>
      <c r="C700">
        <v>40</v>
      </c>
      <c r="D700" t="s">
        <v>28</v>
      </c>
      <c r="E700" t="s">
        <v>50</v>
      </c>
      <c r="F700" t="s">
        <v>47</v>
      </c>
      <c r="G700">
        <v>3873032</v>
      </c>
      <c r="H700">
        <v>18.98</v>
      </c>
      <c r="I700">
        <v>-4.1100000000000003</v>
      </c>
      <c r="J700" s="1">
        <v>44789</v>
      </c>
      <c r="K700">
        <v>14</v>
      </c>
      <c r="L700">
        <v>3</v>
      </c>
      <c r="M700">
        <v>387303.2</v>
      </c>
      <c r="N700">
        <v>1161909.6000000001</v>
      </c>
    </row>
    <row r="701" spans="1:14" x14ac:dyDescent="0.25">
      <c r="A701" t="s">
        <v>1332</v>
      </c>
      <c r="B701" t="s">
        <v>11</v>
      </c>
      <c r="C701">
        <v>47</v>
      </c>
      <c r="D701" t="s">
        <v>38</v>
      </c>
      <c r="E701" t="s">
        <v>23</v>
      </c>
      <c r="F701" t="s">
        <v>14</v>
      </c>
      <c r="G701">
        <v>2271365</v>
      </c>
      <c r="H701">
        <v>19.64</v>
      </c>
      <c r="I701">
        <v>-2.48</v>
      </c>
      <c r="J701" s="1">
        <v>43304</v>
      </c>
      <c r="K701">
        <v>326</v>
      </c>
      <c r="L701">
        <v>7</v>
      </c>
      <c r="M701">
        <v>227136.5</v>
      </c>
      <c r="N701">
        <v>1589955.5</v>
      </c>
    </row>
    <row r="702" spans="1:14" x14ac:dyDescent="0.25">
      <c r="A702" t="s">
        <v>1334</v>
      </c>
      <c r="B702" t="s">
        <v>17</v>
      </c>
      <c r="C702">
        <v>65</v>
      </c>
      <c r="D702" t="s">
        <v>46</v>
      </c>
      <c r="E702" t="s">
        <v>23</v>
      </c>
      <c r="F702" t="s">
        <v>47</v>
      </c>
      <c r="G702">
        <v>1887173</v>
      </c>
      <c r="H702">
        <v>16.91</v>
      </c>
      <c r="I702">
        <v>19.190000000000001</v>
      </c>
      <c r="J702" s="1">
        <v>44811</v>
      </c>
      <c r="K702">
        <v>84</v>
      </c>
      <c r="L702">
        <v>3</v>
      </c>
      <c r="M702">
        <v>188717.30000000002</v>
      </c>
      <c r="N702">
        <v>566151.9</v>
      </c>
    </row>
    <row r="703" spans="1:14" x14ac:dyDescent="0.25">
      <c r="A703" t="s">
        <v>1335</v>
      </c>
      <c r="B703" t="s">
        <v>11</v>
      </c>
      <c r="C703">
        <v>54</v>
      </c>
      <c r="D703" t="s">
        <v>12</v>
      </c>
      <c r="E703" t="s">
        <v>57</v>
      </c>
      <c r="F703" t="s">
        <v>41</v>
      </c>
      <c r="G703">
        <v>1708504</v>
      </c>
      <c r="H703">
        <v>14.71</v>
      </c>
      <c r="I703">
        <v>5.84</v>
      </c>
      <c r="J703" s="1">
        <v>43766</v>
      </c>
      <c r="K703">
        <v>32</v>
      </c>
      <c r="L703">
        <v>6</v>
      </c>
      <c r="M703">
        <v>170850.40000000002</v>
      </c>
      <c r="N703">
        <v>1025102.4000000001</v>
      </c>
    </row>
    <row r="704" spans="1:14" x14ac:dyDescent="0.25">
      <c r="A704" t="s">
        <v>1337</v>
      </c>
      <c r="B704" t="s">
        <v>11</v>
      </c>
      <c r="C704">
        <v>36</v>
      </c>
      <c r="D704" t="s">
        <v>38</v>
      </c>
      <c r="E704" t="s">
        <v>29</v>
      </c>
      <c r="F704" t="s">
        <v>35</v>
      </c>
      <c r="G704">
        <v>3141401</v>
      </c>
      <c r="H704">
        <v>22.35</v>
      </c>
      <c r="I704">
        <v>13.14</v>
      </c>
      <c r="J704" s="1">
        <v>45331</v>
      </c>
      <c r="K704">
        <v>26</v>
      </c>
      <c r="L704">
        <v>2</v>
      </c>
      <c r="M704">
        <v>314140.10000000003</v>
      </c>
      <c r="N704">
        <v>628280.20000000007</v>
      </c>
    </row>
    <row r="705" spans="1:14" x14ac:dyDescent="0.25">
      <c r="A705" t="s">
        <v>1338</v>
      </c>
      <c r="B705" t="s">
        <v>11</v>
      </c>
      <c r="C705">
        <v>38</v>
      </c>
      <c r="D705" t="s">
        <v>28</v>
      </c>
      <c r="E705" t="s">
        <v>19</v>
      </c>
      <c r="F705" t="s">
        <v>30</v>
      </c>
      <c r="G705">
        <v>962213</v>
      </c>
      <c r="H705">
        <v>29.78</v>
      </c>
      <c r="I705">
        <v>42.32</v>
      </c>
      <c r="J705" s="1">
        <v>44010</v>
      </c>
      <c r="K705">
        <v>49</v>
      </c>
      <c r="L705">
        <v>6</v>
      </c>
      <c r="M705">
        <v>96221.3</v>
      </c>
      <c r="N705">
        <v>577327.80000000005</v>
      </c>
    </row>
    <row r="706" spans="1:14" x14ac:dyDescent="0.25">
      <c r="A706" t="s">
        <v>1340</v>
      </c>
      <c r="B706" t="s">
        <v>17</v>
      </c>
      <c r="C706">
        <v>63</v>
      </c>
      <c r="D706" t="s">
        <v>46</v>
      </c>
      <c r="E706" t="s">
        <v>50</v>
      </c>
      <c r="F706" t="s">
        <v>14</v>
      </c>
      <c r="G706">
        <v>1770643</v>
      </c>
      <c r="H706">
        <v>5.81</v>
      </c>
      <c r="I706">
        <v>23.48</v>
      </c>
      <c r="J706" s="1">
        <v>44042</v>
      </c>
      <c r="K706">
        <v>54</v>
      </c>
      <c r="L706">
        <v>5</v>
      </c>
      <c r="M706">
        <v>177064.30000000002</v>
      </c>
      <c r="N706">
        <v>885321.50000000012</v>
      </c>
    </row>
    <row r="707" spans="1:14" x14ac:dyDescent="0.25">
      <c r="A707" t="s">
        <v>1342</v>
      </c>
      <c r="B707" t="s">
        <v>11</v>
      </c>
      <c r="C707">
        <v>56</v>
      </c>
      <c r="D707" t="s">
        <v>46</v>
      </c>
      <c r="E707" t="s">
        <v>23</v>
      </c>
      <c r="F707" t="s">
        <v>14</v>
      </c>
      <c r="G707">
        <v>4862856</v>
      </c>
      <c r="H707">
        <v>5.16</v>
      </c>
      <c r="I707">
        <v>-4.96</v>
      </c>
      <c r="J707" s="1">
        <v>45200</v>
      </c>
      <c r="K707">
        <v>358</v>
      </c>
      <c r="L707">
        <v>2</v>
      </c>
      <c r="M707">
        <v>486285.60000000003</v>
      </c>
      <c r="N707">
        <v>972571.20000000007</v>
      </c>
    </row>
    <row r="708" spans="1:14" x14ac:dyDescent="0.25">
      <c r="A708" t="s">
        <v>1344</v>
      </c>
      <c r="B708" t="s">
        <v>11</v>
      </c>
      <c r="C708">
        <v>24</v>
      </c>
      <c r="D708" t="s">
        <v>38</v>
      </c>
      <c r="E708" t="s">
        <v>23</v>
      </c>
      <c r="F708" t="s">
        <v>14</v>
      </c>
      <c r="G708">
        <v>2305415</v>
      </c>
      <c r="H708">
        <v>26.18</v>
      </c>
      <c r="I708">
        <v>2.61</v>
      </c>
      <c r="J708" s="1">
        <v>43805</v>
      </c>
      <c r="K708">
        <v>31</v>
      </c>
      <c r="L708">
        <v>6</v>
      </c>
      <c r="M708">
        <v>230541.5</v>
      </c>
      <c r="N708">
        <v>1383249</v>
      </c>
    </row>
    <row r="709" spans="1:14" x14ac:dyDescent="0.25">
      <c r="A709" t="s">
        <v>1346</v>
      </c>
      <c r="B709" t="s">
        <v>11</v>
      </c>
      <c r="C709">
        <v>61</v>
      </c>
      <c r="D709" t="s">
        <v>38</v>
      </c>
      <c r="E709" t="s">
        <v>19</v>
      </c>
      <c r="F709" t="s">
        <v>30</v>
      </c>
      <c r="G709">
        <v>984840</v>
      </c>
      <c r="H709">
        <v>10.28</v>
      </c>
      <c r="I709">
        <v>19.760000000000002</v>
      </c>
      <c r="J709" s="1">
        <v>43154</v>
      </c>
      <c r="K709">
        <v>271</v>
      </c>
      <c r="L709">
        <v>8</v>
      </c>
      <c r="M709">
        <v>98484</v>
      </c>
      <c r="N709">
        <v>787872</v>
      </c>
    </row>
    <row r="710" spans="1:14" x14ac:dyDescent="0.25">
      <c r="A710" t="s">
        <v>1348</v>
      </c>
      <c r="B710" t="s">
        <v>11</v>
      </c>
      <c r="C710">
        <v>25</v>
      </c>
      <c r="D710" t="s">
        <v>28</v>
      </c>
      <c r="E710" t="s">
        <v>23</v>
      </c>
      <c r="F710" t="s">
        <v>20</v>
      </c>
      <c r="G710">
        <v>2399554</v>
      </c>
      <c r="H710">
        <v>27.39</v>
      </c>
      <c r="I710">
        <v>43.78</v>
      </c>
      <c r="J710" s="1">
        <v>44571</v>
      </c>
      <c r="K710">
        <v>303</v>
      </c>
      <c r="L710">
        <v>4</v>
      </c>
      <c r="M710">
        <v>239955.40000000002</v>
      </c>
      <c r="N710">
        <v>959821.60000000009</v>
      </c>
    </row>
    <row r="711" spans="1:14" x14ac:dyDescent="0.25">
      <c r="A711" t="s">
        <v>1350</v>
      </c>
      <c r="B711" t="s">
        <v>11</v>
      </c>
      <c r="C711">
        <v>40</v>
      </c>
      <c r="D711" t="s">
        <v>12</v>
      </c>
      <c r="E711" t="s">
        <v>50</v>
      </c>
      <c r="F711" t="s">
        <v>30</v>
      </c>
      <c r="G711">
        <v>2374424</v>
      </c>
      <c r="H711">
        <v>22.52</v>
      </c>
      <c r="I711">
        <v>35.29</v>
      </c>
      <c r="J711" s="1">
        <v>43783</v>
      </c>
      <c r="K711">
        <v>185</v>
      </c>
      <c r="L711">
        <v>6</v>
      </c>
      <c r="M711">
        <v>237442.40000000002</v>
      </c>
      <c r="N711">
        <v>1424654.4000000001</v>
      </c>
    </row>
    <row r="712" spans="1:14" x14ac:dyDescent="0.25">
      <c r="A712" t="s">
        <v>1352</v>
      </c>
      <c r="B712" t="s">
        <v>11</v>
      </c>
      <c r="C712">
        <v>45</v>
      </c>
      <c r="D712" t="s">
        <v>28</v>
      </c>
      <c r="E712" t="s">
        <v>19</v>
      </c>
      <c r="F712" t="s">
        <v>41</v>
      </c>
      <c r="G712">
        <v>373328</v>
      </c>
      <c r="H712">
        <v>21.87</v>
      </c>
      <c r="I712">
        <v>-2.63</v>
      </c>
      <c r="J712" s="1">
        <v>45467</v>
      </c>
      <c r="K712">
        <v>199</v>
      </c>
      <c r="L712">
        <v>2</v>
      </c>
      <c r="M712">
        <v>37332.800000000003</v>
      </c>
      <c r="N712">
        <v>74665.600000000006</v>
      </c>
    </row>
    <row r="713" spans="1:14" x14ac:dyDescent="0.25">
      <c r="A713" t="s">
        <v>1354</v>
      </c>
      <c r="B713" t="s">
        <v>11</v>
      </c>
      <c r="C713">
        <v>32</v>
      </c>
      <c r="D713" t="s">
        <v>18</v>
      </c>
      <c r="E713" t="s">
        <v>50</v>
      </c>
      <c r="F713" t="s">
        <v>41</v>
      </c>
      <c r="G713">
        <v>3900272</v>
      </c>
      <c r="H713">
        <v>19.5</v>
      </c>
      <c r="I713">
        <v>21.86</v>
      </c>
      <c r="J713" s="1">
        <v>44605</v>
      </c>
      <c r="K713">
        <v>157</v>
      </c>
      <c r="L713">
        <v>4</v>
      </c>
      <c r="M713">
        <v>390027.2</v>
      </c>
      <c r="N713">
        <v>1560108.8</v>
      </c>
    </row>
    <row r="714" spans="1:14" x14ac:dyDescent="0.25">
      <c r="A714" t="s">
        <v>1356</v>
      </c>
      <c r="B714" t="s">
        <v>17</v>
      </c>
      <c r="C714">
        <v>49</v>
      </c>
      <c r="D714" t="s">
        <v>38</v>
      </c>
      <c r="E714" t="s">
        <v>57</v>
      </c>
      <c r="F714" t="s">
        <v>14</v>
      </c>
      <c r="G714">
        <v>3432511</v>
      </c>
      <c r="H714">
        <v>28.87</v>
      </c>
      <c r="I714">
        <v>16.09</v>
      </c>
      <c r="J714" s="1">
        <v>43321</v>
      </c>
      <c r="K714">
        <v>152</v>
      </c>
      <c r="L714">
        <v>7</v>
      </c>
      <c r="M714">
        <v>343251.10000000003</v>
      </c>
      <c r="N714">
        <v>2402757.7000000002</v>
      </c>
    </row>
    <row r="715" spans="1:14" x14ac:dyDescent="0.25">
      <c r="A715" t="s">
        <v>1358</v>
      </c>
      <c r="B715" t="s">
        <v>17</v>
      </c>
      <c r="C715">
        <v>22</v>
      </c>
      <c r="D715" t="s">
        <v>38</v>
      </c>
      <c r="E715" t="s">
        <v>57</v>
      </c>
      <c r="F715" t="s">
        <v>47</v>
      </c>
      <c r="G715">
        <v>2180825</v>
      </c>
      <c r="H715">
        <v>25.72</v>
      </c>
      <c r="I715">
        <v>8.81</v>
      </c>
      <c r="J715" s="1">
        <v>45096</v>
      </c>
      <c r="K715">
        <v>130</v>
      </c>
      <c r="L715">
        <v>3</v>
      </c>
      <c r="M715">
        <v>218082.5</v>
      </c>
      <c r="N715">
        <v>654247.5</v>
      </c>
    </row>
    <row r="716" spans="1:14" x14ac:dyDescent="0.25">
      <c r="A716" t="s">
        <v>1360</v>
      </c>
      <c r="B716" t="s">
        <v>17</v>
      </c>
      <c r="C716">
        <v>23</v>
      </c>
      <c r="D716" t="s">
        <v>12</v>
      </c>
      <c r="E716" t="s">
        <v>50</v>
      </c>
      <c r="F716" t="s">
        <v>47</v>
      </c>
      <c r="G716">
        <v>4971000</v>
      </c>
      <c r="H716">
        <v>27.48</v>
      </c>
      <c r="I716">
        <v>44.1</v>
      </c>
      <c r="J716" s="1">
        <v>43341</v>
      </c>
      <c r="K716">
        <v>188</v>
      </c>
      <c r="L716">
        <v>7</v>
      </c>
      <c r="M716">
        <v>497100</v>
      </c>
      <c r="N716">
        <v>3479700</v>
      </c>
    </row>
    <row r="717" spans="1:14" x14ac:dyDescent="0.25">
      <c r="A717" t="s">
        <v>1362</v>
      </c>
      <c r="B717" t="s">
        <v>11</v>
      </c>
      <c r="C717">
        <v>58</v>
      </c>
      <c r="D717" t="s">
        <v>28</v>
      </c>
      <c r="E717" t="s">
        <v>50</v>
      </c>
      <c r="F717" t="s">
        <v>47</v>
      </c>
      <c r="G717">
        <v>1714720</v>
      </c>
      <c r="H717">
        <v>11.54</v>
      </c>
      <c r="I717">
        <v>39.590000000000003</v>
      </c>
      <c r="J717" s="1">
        <v>45222</v>
      </c>
      <c r="K717">
        <v>344</v>
      </c>
      <c r="L717">
        <v>2</v>
      </c>
      <c r="M717">
        <v>171472</v>
      </c>
      <c r="N717">
        <v>342944</v>
      </c>
    </row>
    <row r="718" spans="1:14" x14ac:dyDescent="0.25">
      <c r="A718" t="s">
        <v>1363</v>
      </c>
      <c r="B718" t="s">
        <v>17</v>
      </c>
      <c r="C718">
        <v>38</v>
      </c>
      <c r="D718" t="s">
        <v>28</v>
      </c>
      <c r="E718" t="s">
        <v>57</v>
      </c>
      <c r="F718" t="s">
        <v>47</v>
      </c>
      <c r="G718">
        <v>687393</v>
      </c>
      <c r="H718">
        <v>23.74</v>
      </c>
      <c r="I718">
        <v>41.69</v>
      </c>
      <c r="J718" s="1">
        <v>43238</v>
      </c>
      <c r="K718">
        <v>139</v>
      </c>
      <c r="L718">
        <v>8</v>
      </c>
      <c r="M718">
        <v>68739.3</v>
      </c>
      <c r="N718">
        <v>549914.4</v>
      </c>
    </row>
    <row r="719" spans="1:14" x14ac:dyDescent="0.25">
      <c r="A719" t="s">
        <v>1365</v>
      </c>
      <c r="B719" t="s">
        <v>11</v>
      </c>
      <c r="C719">
        <v>32</v>
      </c>
      <c r="D719" t="s">
        <v>46</v>
      </c>
      <c r="E719" t="s">
        <v>57</v>
      </c>
      <c r="F719" t="s">
        <v>41</v>
      </c>
      <c r="G719">
        <v>280770</v>
      </c>
      <c r="H719">
        <v>30.09</v>
      </c>
      <c r="I719">
        <v>28.72</v>
      </c>
      <c r="J719" s="1">
        <v>43136</v>
      </c>
      <c r="K719">
        <v>262</v>
      </c>
      <c r="L719">
        <v>8</v>
      </c>
      <c r="M719">
        <v>28077</v>
      </c>
      <c r="N719">
        <v>224616</v>
      </c>
    </row>
    <row r="720" spans="1:14" x14ac:dyDescent="0.25">
      <c r="A720" t="s">
        <v>1367</v>
      </c>
      <c r="B720" t="s">
        <v>11</v>
      </c>
      <c r="C720">
        <v>24</v>
      </c>
      <c r="D720" t="s">
        <v>28</v>
      </c>
      <c r="E720" t="s">
        <v>57</v>
      </c>
      <c r="F720" t="s">
        <v>47</v>
      </c>
      <c r="G720">
        <v>3408817</v>
      </c>
      <c r="H720">
        <v>32.9</v>
      </c>
      <c r="I720">
        <v>17.260000000000002</v>
      </c>
      <c r="J720" s="1">
        <v>44936</v>
      </c>
      <c r="K720">
        <v>329</v>
      </c>
      <c r="L720">
        <v>3</v>
      </c>
      <c r="M720">
        <v>340881.7</v>
      </c>
      <c r="N720">
        <v>1022645.1000000001</v>
      </c>
    </row>
    <row r="721" spans="1:14" x14ac:dyDescent="0.25">
      <c r="A721" t="s">
        <v>1368</v>
      </c>
      <c r="B721" t="s">
        <v>17</v>
      </c>
      <c r="C721">
        <v>29</v>
      </c>
      <c r="D721" t="s">
        <v>38</v>
      </c>
      <c r="E721" t="s">
        <v>13</v>
      </c>
      <c r="F721" t="s">
        <v>35</v>
      </c>
      <c r="G721">
        <v>220487</v>
      </c>
      <c r="H721">
        <v>26.9</v>
      </c>
      <c r="I721">
        <v>10.6</v>
      </c>
      <c r="J721" s="1">
        <v>44925</v>
      </c>
      <c r="K721">
        <v>131</v>
      </c>
      <c r="L721">
        <v>3</v>
      </c>
      <c r="M721">
        <v>22048.7</v>
      </c>
      <c r="N721">
        <v>66146.100000000006</v>
      </c>
    </row>
    <row r="722" spans="1:14" x14ac:dyDescent="0.25">
      <c r="A722" t="s">
        <v>1370</v>
      </c>
      <c r="B722" t="s">
        <v>11</v>
      </c>
      <c r="C722">
        <v>36</v>
      </c>
      <c r="D722" t="s">
        <v>38</v>
      </c>
      <c r="E722" t="s">
        <v>13</v>
      </c>
      <c r="F722" t="s">
        <v>35</v>
      </c>
      <c r="G722">
        <v>4623231</v>
      </c>
      <c r="H722">
        <v>27.46</v>
      </c>
      <c r="I722">
        <v>17.79</v>
      </c>
      <c r="J722" s="1">
        <v>45473</v>
      </c>
      <c r="K722">
        <v>289</v>
      </c>
      <c r="L722">
        <v>2</v>
      </c>
      <c r="M722">
        <v>462323.10000000003</v>
      </c>
      <c r="N722">
        <v>924646.20000000007</v>
      </c>
    </row>
    <row r="723" spans="1:14" x14ac:dyDescent="0.25">
      <c r="A723" t="s">
        <v>1372</v>
      </c>
      <c r="B723" t="s">
        <v>17</v>
      </c>
      <c r="C723">
        <v>25</v>
      </c>
      <c r="D723" t="s">
        <v>46</v>
      </c>
      <c r="E723" t="s">
        <v>19</v>
      </c>
      <c r="F723" t="s">
        <v>20</v>
      </c>
      <c r="G723">
        <v>1309422</v>
      </c>
      <c r="H723">
        <v>11.94</v>
      </c>
      <c r="I723">
        <v>13.54</v>
      </c>
      <c r="J723" s="1">
        <v>44831</v>
      </c>
      <c r="K723">
        <v>155</v>
      </c>
      <c r="L723">
        <v>3</v>
      </c>
      <c r="M723">
        <v>130942.20000000001</v>
      </c>
      <c r="N723">
        <v>392826.60000000003</v>
      </c>
    </row>
    <row r="724" spans="1:14" x14ac:dyDescent="0.25">
      <c r="A724" t="s">
        <v>1374</v>
      </c>
      <c r="B724" t="s">
        <v>17</v>
      </c>
      <c r="C724">
        <v>38</v>
      </c>
      <c r="D724" t="s">
        <v>28</v>
      </c>
      <c r="E724" t="s">
        <v>29</v>
      </c>
      <c r="F724" t="s">
        <v>47</v>
      </c>
      <c r="G724">
        <v>1290238</v>
      </c>
      <c r="H724">
        <v>8.5500000000000007</v>
      </c>
      <c r="I724">
        <v>21.61</v>
      </c>
      <c r="J724" s="1">
        <v>44462</v>
      </c>
      <c r="K724">
        <v>44</v>
      </c>
      <c r="L724">
        <v>4</v>
      </c>
      <c r="M724">
        <v>129023.8</v>
      </c>
      <c r="N724">
        <v>516095.2</v>
      </c>
    </row>
    <row r="725" spans="1:14" x14ac:dyDescent="0.25">
      <c r="A725" t="s">
        <v>1376</v>
      </c>
      <c r="B725" t="s">
        <v>17</v>
      </c>
      <c r="C725">
        <v>29</v>
      </c>
      <c r="D725" t="s">
        <v>38</v>
      </c>
      <c r="E725" t="s">
        <v>13</v>
      </c>
      <c r="F725" t="s">
        <v>35</v>
      </c>
      <c r="G725">
        <v>3506004</v>
      </c>
      <c r="H725">
        <v>33.47</v>
      </c>
      <c r="I725">
        <v>23.2</v>
      </c>
      <c r="J725" s="1">
        <v>45134</v>
      </c>
      <c r="K725">
        <v>225</v>
      </c>
      <c r="L725">
        <v>2</v>
      </c>
      <c r="M725">
        <v>350600.4</v>
      </c>
      <c r="N725">
        <v>701200.8</v>
      </c>
    </row>
    <row r="726" spans="1:14" x14ac:dyDescent="0.25">
      <c r="A726" t="s">
        <v>1378</v>
      </c>
      <c r="B726" t="s">
        <v>11</v>
      </c>
      <c r="C726">
        <v>42</v>
      </c>
      <c r="D726" t="s">
        <v>28</v>
      </c>
      <c r="E726" t="s">
        <v>13</v>
      </c>
      <c r="F726" t="s">
        <v>30</v>
      </c>
      <c r="G726">
        <v>4331268</v>
      </c>
      <c r="H726">
        <v>34.770000000000003</v>
      </c>
      <c r="I726">
        <v>17.21</v>
      </c>
      <c r="J726" s="1">
        <v>43291</v>
      </c>
      <c r="K726">
        <v>263</v>
      </c>
      <c r="L726">
        <v>8</v>
      </c>
      <c r="M726">
        <v>433126.80000000005</v>
      </c>
      <c r="N726">
        <v>3465014.4000000004</v>
      </c>
    </row>
    <row r="727" spans="1:14" x14ac:dyDescent="0.25">
      <c r="A727" t="s">
        <v>1379</v>
      </c>
      <c r="B727" t="s">
        <v>11</v>
      </c>
      <c r="C727">
        <v>62</v>
      </c>
      <c r="D727" t="s">
        <v>12</v>
      </c>
      <c r="E727" t="s">
        <v>19</v>
      </c>
      <c r="F727" t="s">
        <v>30</v>
      </c>
      <c r="G727">
        <v>1124107</v>
      </c>
      <c r="H727">
        <v>16.329999999999998</v>
      </c>
      <c r="I727">
        <v>32.14</v>
      </c>
      <c r="J727" s="1">
        <v>44494</v>
      </c>
      <c r="K727">
        <v>148</v>
      </c>
      <c r="L727">
        <v>4</v>
      </c>
      <c r="M727">
        <v>112410.70000000001</v>
      </c>
      <c r="N727">
        <v>449642.80000000005</v>
      </c>
    </row>
    <row r="728" spans="1:14" x14ac:dyDescent="0.25">
      <c r="A728" t="s">
        <v>1380</v>
      </c>
      <c r="B728" t="s">
        <v>11</v>
      </c>
      <c r="C728">
        <v>49</v>
      </c>
      <c r="D728" t="s">
        <v>28</v>
      </c>
      <c r="E728" t="s">
        <v>50</v>
      </c>
      <c r="F728" t="s">
        <v>41</v>
      </c>
      <c r="G728">
        <v>3724564</v>
      </c>
      <c r="H728">
        <v>21.53</v>
      </c>
      <c r="I728">
        <v>3.52</v>
      </c>
      <c r="J728" s="1">
        <v>44499</v>
      </c>
      <c r="K728">
        <v>171</v>
      </c>
      <c r="L728">
        <v>4</v>
      </c>
      <c r="M728">
        <v>372456.4</v>
      </c>
      <c r="N728">
        <v>1489825.6</v>
      </c>
    </row>
    <row r="729" spans="1:14" x14ac:dyDescent="0.25">
      <c r="A729" t="s">
        <v>1382</v>
      </c>
      <c r="B729" t="s">
        <v>11</v>
      </c>
      <c r="C729">
        <v>52</v>
      </c>
      <c r="D729" t="s">
        <v>46</v>
      </c>
      <c r="E729" t="s">
        <v>50</v>
      </c>
      <c r="F729" t="s">
        <v>14</v>
      </c>
      <c r="G729">
        <v>322496</v>
      </c>
      <c r="H729">
        <v>18.760000000000002</v>
      </c>
      <c r="I729">
        <v>27.81</v>
      </c>
      <c r="J729" s="1">
        <v>43540</v>
      </c>
      <c r="K729">
        <v>135</v>
      </c>
      <c r="L729">
        <v>7</v>
      </c>
      <c r="M729">
        <v>32249.600000000002</v>
      </c>
      <c r="N729">
        <v>225747.20000000001</v>
      </c>
    </row>
    <row r="730" spans="1:14" x14ac:dyDescent="0.25">
      <c r="A730" t="s">
        <v>1384</v>
      </c>
      <c r="B730" t="s">
        <v>11</v>
      </c>
      <c r="C730">
        <v>46</v>
      </c>
      <c r="D730" t="s">
        <v>46</v>
      </c>
      <c r="E730" t="s">
        <v>57</v>
      </c>
      <c r="F730" t="s">
        <v>41</v>
      </c>
      <c r="G730">
        <v>1052970</v>
      </c>
      <c r="H730">
        <v>28.17</v>
      </c>
      <c r="I730">
        <v>15.62</v>
      </c>
      <c r="J730" s="1">
        <v>44603</v>
      </c>
      <c r="K730">
        <v>294</v>
      </c>
      <c r="L730">
        <v>4</v>
      </c>
      <c r="M730">
        <v>105297</v>
      </c>
      <c r="N730">
        <v>421188</v>
      </c>
    </row>
    <row r="731" spans="1:14" x14ac:dyDescent="0.25">
      <c r="A731" t="s">
        <v>1386</v>
      </c>
      <c r="B731" t="s">
        <v>17</v>
      </c>
      <c r="C731">
        <v>43</v>
      </c>
      <c r="D731" t="s">
        <v>46</v>
      </c>
      <c r="E731" t="s">
        <v>50</v>
      </c>
      <c r="F731" t="s">
        <v>20</v>
      </c>
      <c r="G731">
        <v>4071943</v>
      </c>
      <c r="H731">
        <v>29.97</v>
      </c>
      <c r="I731">
        <v>9.7100000000000009</v>
      </c>
      <c r="J731" s="1">
        <v>44352</v>
      </c>
      <c r="K731">
        <v>208</v>
      </c>
      <c r="L731">
        <v>5</v>
      </c>
      <c r="M731">
        <v>407194.30000000005</v>
      </c>
      <c r="N731">
        <v>2035971.5000000002</v>
      </c>
    </row>
    <row r="732" spans="1:14" x14ac:dyDescent="0.25">
      <c r="A732" t="s">
        <v>1388</v>
      </c>
      <c r="B732" t="s">
        <v>11</v>
      </c>
      <c r="C732">
        <v>47</v>
      </c>
      <c r="D732" t="s">
        <v>12</v>
      </c>
      <c r="E732" t="s">
        <v>13</v>
      </c>
      <c r="F732" t="s">
        <v>30</v>
      </c>
      <c r="G732">
        <v>2649219</v>
      </c>
      <c r="H732">
        <v>29.02</v>
      </c>
      <c r="I732">
        <v>42.89</v>
      </c>
      <c r="J732" s="1">
        <v>44476</v>
      </c>
      <c r="K732">
        <v>188</v>
      </c>
      <c r="L732">
        <v>4</v>
      </c>
      <c r="M732">
        <v>264921.90000000002</v>
      </c>
      <c r="N732">
        <v>1059687.6000000001</v>
      </c>
    </row>
    <row r="733" spans="1:14" x14ac:dyDescent="0.25">
      <c r="A733" t="s">
        <v>1389</v>
      </c>
      <c r="B733" t="s">
        <v>17</v>
      </c>
      <c r="C733">
        <v>49</v>
      </c>
      <c r="D733" t="s">
        <v>12</v>
      </c>
      <c r="E733" t="s">
        <v>29</v>
      </c>
      <c r="F733" t="s">
        <v>14</v>
      </c>
      <c r="G733">
        <v>829757</v>
      </c>
      <c r="H733">
        <v>25.21</v>
      </c>
      <c r="I733">
        <v>4.79</v>
      </c>
      <c r="J733" s="1">
        <v>43350</v>
      </c>
      <c r="K733">
        <v>302</v>
      </c>
      <c r="L733">
        <v>7</v>
      </c>
      <c r="M733">
        <v>82975.700000000012</v>
      </c>
      <c r="N733">
        <v>580829.90000000014</v>
      </c>
    </row>
    <row r="734" spans="1:14" x14ac:dyDescent="0.25">
      <c r="A734" t="s">
        <v>1390</v>
      </c>
      <c r="B734" t="s">
        <v>17</v>
      </c>
      <c r="C734">
        <v>51</v>
      </c>
      <c r="D734" t="s">
        <v>28</v>
      </c>
      <c r="E734" t="s">
        <v>57</v>
      </c>
      <c r="F734" t="s">
        <v>14</v>
      </c>
      <c r="G734">
        <v>3041634</v>
      </c>
      <c r="H734">
        <v>17.350000000000001</v>
      </c>
      <c r="I734">
        <v>29.18</v>
      </c>
      <c r="J734" s="1">
        <v>44962</v>
      </c>
      <c r="K734">
        <v>121</v>
      </c>
      <c r="L734">
        <v>3</v>
      </c>
      <c r="M734">
        <v>304163.40000000002</v>
      </c>
      <c r="N734">
        <v>912490.20000000007</v>
      </c>
    </row>
    <row r="735" spans="1:14" x14ac:dyDescent="0.25">
      <c r="A735" t="s">
        <v>1392</v>
      </c>
      <c r="B735" t="s">
        <v>11</v>
      </c>
      <c r="C735">
        <v>42</v>
      </c>
      <c r="D735" t="s">
        <v>28</v>
      </c>
      <c r="E735" t="s">
        <v>50</v>
      </c>
      <c r="F735" t="s">
        <v>14</v>
      </c>
      <c r="G735">
        <v>595959</v>
      </c>
      <c r="H735">
        <v>16.89</v>
      </c>
      <c r="I735">
        <v>11.29</v>
      </c>
      <c r="J735" s="1">
        <v>44447</v>
      </c>
      <c r="K735">
        <v>133</v>
      </c>
      <c r="L735">
        <v>4</v>
      </c>
      <c r="M735">
        <v>59595.9</v>
      </c>
      <c r="N735">
        <v>238383.6</v>
      </c>
    </row>
    <row r="736" spans="1:14" x14ac:dyDescent="0.25">
      <c r="A736" t="s">
        <v>1394</v>
      </c>
      <c r="B736" t="s">
        <v>11</v>
      </c>
      <c r="C736">
        <v>26</v>
      </c>
      <c r="D736" t="s">
        <v>38</v>
      </c>
      <c r="E736" t="s">
        <v>19</v>
      </c>
      <c r="F736" t="s">
        <v>20</v>
      </c>
      <c r="G736">
        <v>3947200</v>
      </c>
      <c r="H736">
        <v>13.82</v>
      </c>
      <c r="I736">
        <v>31.57</v>
      </c>
      <c r="J736" s="1">
        <v>43807</v>
      </c>
      <c r="K736">
        <v>115</v>
      </c>
      <c r="L736">
        <v>6</v>
      </c>
      <c r="M736">
        <v>394720</v>
      </c>
      <c r="N736">
        <v>2368320</v>
      </c>
    </row>
    <row r="737" spans="1:14" x14ac:dyDescent="0.25">
      <c r="A737" t="s">
        <v>1396</v>
      </c>
      <c r="B737" t="s">
        <v>17</v>
      </c>
      <c r="C737">
        <v>56</v>
      </c>
      <c r="D737" t="s">
        <v>38</v>
      </c>
      <c r="E737" t="s">
        <v>13</v>
      </c>
      <c r="F737" t="s">
        <v>35</v>
      </c>
      <c r="G737">
        <v>1491429</v>
      </c>
      <c r="H737">
        <v>24.75</v>
      </c>
      <c r="I737">
        <v>21.5</v>
      </c>
      <c r="J737" s="1">
        <v>43173</v>
      </c>
      <c r="K737">
        <v>15</v>
      </c>
      <c r="L737">
        <v>8</v>
      </c>
      <c r="M737">
        <v>149142.9</v>
      </c>
      <c r="N737">
        <v>1193143.2</v>
      </c>
    </row>
    <row r="738" spans="1:14" x14ac:dyDescent="0.25">
      <c r="A738" t="s">
        <v>1398</v>
      </c>
      <c r="B738" t="s">
        <v>11</v>
      </c>
      <c r="C738">
        <v>63</v>
      </c>
      <c r="D738" t="s">
        <v>28</v>
      </c>
      <c r="E738" t="s">
        <v>57</v>
      </c>
      <c r="F738" t="s">
        <v>14</v>
      </c>
      <c r="G738">
        <v>1415363</v>
      </c>
      <c r="H738">
        <v>19.78</v>
      </c>
      <c r="I738">
        <v>6.71</v>
      </c>
      <c r="J738" s="1">
        <v>44211</v>
      </c>
      <c r="K738">
        <v>68</v>
      </c>
      <c r="L738">
        <v>5</v>
      </c>
      <c r="M738">
        <v>141536.30000000002</v>
      </c>
      <c r="N738">
        <v>707681.50000000012</v>
      </c>
    </row>
    <row r="739" spans="1:14" x14ac:dyDescent="0.25">
      <c r="A739" t="s">
        <v>1399</v>
      </c>
      <c r="B739" t="s">
        <v>11</v>
      </c>
      <c r="C739">
        <v>41</v>
      </c>
      <c r="D739" t="s">
        <v>38</v>
      </c>
      <c r="E739" t="s">
        <v>23</v>
      </c>
      <c r="F739" t="s">
        <v>30</v>
      </c>
      <c r="G739">
        <v>1856954</v>
      </c>
      <c r="H739">
        <v>23.18</v>
      </c>
      <c r="I739">
        <v>-8.5399999999999991</v>
      </c>
      <c r="J739" s="1">
        <v>43167</v>
      </c>
      <c r="K739">
        <v>355</v>
      </c>
      <c r="L739">
        <v>8</v>
      </c>
      <c r="M739">
        <v>185695.40000000002</v>
      </c>
      <c r="N739">
        <v>1485563.2000000002</v>
      </c>
    </row>
    <row r="740" spans="1:14" x14ac:dyDescent="0.25">
      <c r="A740" t="s">
        <v>1400</v>
      </c>
      <c r="B740" t="s">
        <v>11</v>
      </c>
      <c r="C740">
        <v>37</v>
      </c>
      <c r="D740" t="s">
        <v>38</v>
      </c>
      <c r="E740" t="s">
        <v>19</v>
      </c>
      <c r="F740" t="s">
        <v>30</v>
      </c>
      <c r="G740">
        <v>4455611</v>
      </c>
      <c r="H740">
        <v>21.17</v>
      </c>
      <c r="I740">
        <v>13.28</v>
      </c>
      <c r="J740" s="1">
        <v>43587</v>
      </c>
      <c r="K740">
        <v>114</v>
      </c>
      <c r="L740">
        <v>7</v>
      </c>
      <c r="M740">
        <v>445561.10000000003</v>
      </c>
      <c r="N740">
        <v>3118927.7</v>
      </c>
    </row>
    <row r="741" spans="1:14" x14ac:dyDescent="0.25">
      <c r="A741" t="s">
        <v>1402</v>
      </c>
      <c r="B741" t="s">
        <v>11</v>
      </c>
      <c r="C741">
        <v>58</v>
      </c>
      <c r="D741" t="s">
        <v>46</v>
      </c>
      <c r="E741" t="s">
        <v>57</v>
      </c>
      <c r="F741" t="s">
        <v>35</v>
      </c>
      <c r="G741">
        <v>4627987</v>
      </c>
      <c r="H741">
        <v>14.38</v>
      </c>
      <c r="I741">
        <v>30.84</v>
      </c>
      <c r="J741" s="1">
        <v>44499</v>
      </c>
      <c r="K741">
        <v>33</v>
      </c>
      <c r="L741">
        <v>4</v>
      </c>
      <c r="M741">
        <v>462798.7</v>
      </c>
      <c r="N741">
        <v>1851194.8</v>
      </c>
    </row>
    <row r="742" spans="1:14" x14ac:dyDescent="0.25">
      <c r="A742" t="s">
        <v>1403</v>
      </c>
      <c r="B742" t="s">
        <v>17</v>
      </c>
      <c r="C742">
        <v>27</v>
      </c>
      <c r="D742" t="s">
        <v>28</v>
      </c>
      <c r="E742" t="s">
        <v>23</v>
      </c>
      <c r="F742" t="s">
        <v>35</v>
      </c>
      <c r="G742">
        <v>2740355</v>
      </c>
      <c r="H742">
        <v>30.95</v>
      </c>
      <c r="I742">
        <v>-0.61</v>
      </c>
      <c r="J742" s="1">
        <v>44360</v>
      </c>
      <c r="K742">
        <v>266</v>
      </c>
      <c r="L742">
        <v>5</v>
      </c>
      <c r="M742">
        <v>274035.5</v>
      </c>
      <c r="N742">
        <v>1370177.5</v>
      </c>
    </row>
    <row r="743" spans="1:14" x14ac:dyDescent="0.25">
      <c r="A743" t="s">
        <v>1405</v>
      </c>
      <c r="B743" t="s">
        <v>17</v>
      </c>
      <c r="C743">
        <v>35</v>
      </c>
      <c r="D743" t="s">
        <v>18</v>
      </c>
      <c r="E743" t="s">
        <v>57</v>
      </c>
      <c r="F743" t="s">
        <v>41</v>
      </c>
      <c r="G743">
        <v>2189186</v>
      </c>
      <c r="H743">
        <v>24.82</v>
      </c>
      <c r="I743">
        <v>23.8</v>
      </c>
      <c r="J743" s="1">
        <v>45179</v>
      </c>
      <c r="K743">
        <v>30</v>
      </c>
      <c r="L743">
        <v>2</v>
      </c>
      <c r="M743">
        <v>218918.6</v>
      </c>
      <c r="N743">
        <v>437837.2</v>
      </c>
    </row>
    <row r="744" spans="1:14" x14ac:dyDescent="0.25">
      <c r="A744" t="s">
        <v>1407</v>
      </c>
      <c r="B744" t="s">
        <v>11</v>
      </c>
      <c r="C744">
        <v>31</v>
      </c>
      <c r="D744" t="s">
        <v>46</v>
      </c>
      <c r="E744" t="s">
        <v>50</v>
      </c>
      <c r="F744" t="s">
        <v>14</v>
      </c>
      <c r="G744">
        <v>3658738</v>
      </c>
      <c r="H744">
        <v>6.4</v>
      </c>
      <c r="I744">
        <v>21.78</v>
      </c>
      <c r="J744" s="1">
        <v>45272</v>
      </c>
      <c r="K744">
        <v>37</v>
      </c>
      <c r="L744">
        <v>2</v>
      </c>
      <c r="M744">
        <v>365873.80000000005</v>
      </c>
      <c r="N744">
        <v>731747.60000000009</v>
      </c>
    </row>
    <row r="745" spans="1:14" x14ac:dyDescent="0.25">
      <c r="A745" t="s">
        <v>1409</v>
      </c>
      <c r="B745" t="s">
        <v>11</v>
      </c>
      <c r="C745">
        <v>28</v>
      </c>
      <c r="D745" t="s">
        <v>38</v>
      </c>
      <c r="E745" t="s">
        <v>50</v>
      </c>
      <c r="F745" t="s">
        <v>20</v>
      </c>
      <c r="G745">
        <v>3382437</v>
      </c>
      <c r="H745">
        <v>8.64</v>
      </c>
      <c r="I745">
        <v>24.06</v>
      </c>
      <c r="J745" s="1">
        <v>44890</v>
      </c>
      <c r="K745">
        <v>131</v>
      </c>
      <c r="L745">
        <v>3</v>
      </c>
      <c r="M745">
        <v>338243.7</v>
      </c>
      <c r="N745">
        <v>1014731.1000000001</v>
      </c>
    </row>
    <row r="746" spans="1:14" x14ac:dyDescent="0.25">
      <c r="A746" t="s">
        <v>1411</v>
      </c>
      <c r="B746" t="s">
        <v>11</v>
      </c>
      <c r="C746">
        <v>54</v>
      </c>
      <c r="D746" t="s">
        <v>12</v>
      </c>
      <c r="E746" t="s">
        <v>57</v>
      </c>
      <c r="F746" t="s">
        <v>35</v>
      </c>
      <c r="G746">
        <v>3524546</v>
      </c>
      <c r="H746">
        <v>33.57</v>
      </c>
      <c r="I746">
        <v>5.82</v>
      </c>
      <c r="J746" s="1">
        <v>45590</v>
      </c>
      <c r="K746">
        <v>218</v>
      </c>
      <c r="L746">
        <v>1</v>
      </c>
      <c r="M746">
        <v>352454.60000000003</v>
      </c>
      <c r="N746">
        <v>352454.60000000003</v>
      </c>
    </row>
    <row r="747" spans="1:14" x14ac:dyDescent="0.25">
      <c r="A747" t="s">
        <v>1413</v>
      </c>
      <c r="B747" t="s">
        <v>11</v>
      </c>
      <c r="C747">
        <v>23</v>
      </c>
      <c r="D747" t="s">
        <v>18</v>
      </c>
      <c r="E747" t="s">
        <v>13</v>
      </c>
      <c r="F747" t="s">
        <v>35</v>
      </c>
      <c r="G747">
        <v>825656</v>
      </c>
      <c r="H747">
        <v>8.02</v>
      </c>
      <c r="I747">
        <v>24.81</v>
      </c>
      <c r="J747" s="1">
        <v>43578</v>
      </c>
      <c r="K747">
        <v>135</v>
      </c>
      <c r="L747">
        <v>7</v>
      </c>
      <c r="M747">
        <v>82565.600000000006</v>
      </c>
      <c r="N747">
        <v>577959.20000000007</v>
      </c>
    </row>
    <row r="748" spans="1:14" x14ac:dyDescent="0.25">
      <c r="A748" t="s">
        <v>1414</v>
      </c>
      <c r="B748" t="s">
        <v>17</v>
      </c>
      <c r="C748">
        <v>30</v>
      </c>
      <c r="D748" t="s">
        <v>38</v>
      </c>
      <c r="E748" t="s">
        <v>13</v>
      </c>
      <c r="F748" t="s">
        <v>20</v>
      </c>
      <c r="G748">
        <v>55103</v>
      </c>
      <c r="H748">
        <v>33.99</v>
      </c>
      <c r="I748">
        <v>2.98</v>
      </c>
      <c r="J748" s="1">
        <v>44147</v>
      </c>
      <c r="K748">
        <v>286</v>
      </c>
      <c r="L748">
        <v>5</v>
      </c>
      <c r="M748">
        <v>5510.3</v>
      </c>
      <c r="N748">
        <v>27551.5</v>
      </c>
    </row>
    <row r="749" spans="1:14" x14ac:dyDescent="0.25">
      <c r="A749" t="s">
        <v>1416</v>
      </c>
      <c r="B749" t="s">
        <v>17</v>
      </c>
      <c r="C749">
        <v>63</v>
      </c>
      <c r="D749" t="s">
        <v>28</v>
      </c>
      <c r="E749" t="s">
        <v>13</v>
      </c>
      <c r="F749" t="s">
        <v>35</v>
      </c>
      <c r="G749">
        <v>2200034</v>
      </c>
      <c r="H749">
        <v>27.55</v>
      </c>
      <c r="I749">
        <v>38.369999999999997</v>
      </c>
      <c r="J749" s="1">
        <v>44191</v>
      </c>
      <c r="K749">
        <v>220</v>
      </c>
      <c r="L749">
        <v>5</v>
      </c>
      <c r="M749">
        <v>220003.40000000002</v>
      </c>
      <c r="N749">
        <v>1100017</v>
      </c>
    </row>
    <row r="750" spans="1:14" x14ac:dyDescent="0.25">
      <c r="A750" t="s">
        <v>1418</v>
      </c>
      <c r="B750" t="s">
        <v>17</v>
      </c>
      <c r="C750">
        <v>43</v>
      </c>
      <c r="D750" t="s">
        <v>46</v>
      </c>
      <c r="E750" t="s">
        <v>50</v>
      </c>
      <c r="F750" t="s">
        <v>35</v>
      </c>
      <c r="G750">
        <v>103377</v>
      </c>
      <c r="H750">
        <v>23.26</v>
      </c>
      <c r="I750">
        <v>40.21</v>
      </c>
      <c r="J750" s="1">
        <v>45418</v>
      </c>
      <c r="K750">
        <v>259</v>
      </c>
      <c r="L750">
        <v>2</v>
      </c>
      <c r="M750">
        <v>10337.700000000001</v>
      </c>
      <c r="N750">
        <v>20675.400000000001</v>
      </c>
    </row>
    <row r="751" spans="1:14" x14ac:dyDescent="0.25">
      <c r="A751" t="s">
        <v>1419</v>
      </c>
      <c r="B751" t="s">
        <v>11</v>
      </c>
      <c r="C751">
        <v>30</v>
      </c>
      <c r="D751" t="s">
        <v>38</v>
      </c>
      <c r="E751" t="s">
        <v>13</v>
      </c>
      <c r="F751" t="s">
        <v>47</v>
      </c>
      <c r="G751">
        <v>3552187</v>
      </c>
      <c r="H751">
        <v>26.36</v>
      </c>
      <c r="I751">
        <v>23.61</v>
      </c>
      <c r="J751" s="1">
        <v>44097</v>
      </c>
      <c r="K751">
        <v>26</v>
      </c>
      <c r="L751">
        <v>5</v>
      </c>
      <c r="M751">
        <v>355218.7</v>
      </c>
      <c r="N751">
        <v>1776093.5</v>
      </c>
    </row>
    <row r="752" spans="1:14" x14ac:dyDescent="0.25">
      <c r="A752" t="s">
        <v>1421</v>
      </c>
      <c r="B752" t="s">
        <v>17</v>
      </c>
      <c r="C752">
        <v>26</v>
      </c>
      <c r="D752" t="s">
        <v>18</v>
      </c>
      <c r="E752" t="s">
        <v>13</v>
      </c>
      <c r="F752" t="s">
        <v>35</v>
      </c>
      <c r="G752">
        <v>1061564</v>
      </c>
      <c r="H752">
        <v>17.3</v>
      </c>
      <c r="I752">
        <v>0.26</v>
      </c>
      <c r="J752" s="1">
        <v>43674</v>
      </c>
      <c r="K752">
        <v>211</v>
      </c>
      <c r="L752">
        <v>6</v>
      </c>
      <c r="M752">
        <v>106156.40000000001</v>
      </c>
      <c r="N752">
        <v>636938.4</v>
      </c>
    </row>
    <row r="753" spans="1:14" x14ac:dyDescent="0.25">
      <c r="A753" t="s">
        <v>1423</v>
      </c>
      <c r="B753" t="s">
        <v>17</v>
      </c>
      <c r="C753">
        <v>61</v>
      </c>
      <c r="D753" t="s">
        <v>46</v>
      </c>
      <c r="E753" t="s">
        <v>29</v>
      </c>
      <c r="F753" t="s">
        <v>35</v>
      </c>
      <c r="G753">
        <v>1469805</v>
      </c>
      <c r="H753">
        <v>13.06</v>
      </c>
      <c r="I753">
        <v>18.52</v>
      </c>
      <c r="J753" s="1">
        <v>43119</v>
      </c>
      <c r="K753">
        <v>120</v>
      </c>
      <c r="L753">
        <v>8</v>
      </c>
      <c r="M753">
        <v>146980.5</v>
      </c>
      <c r="N753">
        <v>1175844</v>
      </c>
    </row>
    <row r="754" spans="1:14" x14ac:dyDescent="0.25">
      <c r="A754" t="s">
        <v>1424</v>
      </c>
      <c r="B754" t="s">
        <v>17</v>
      </c>
      <c r="C754">
        <v>22</v>
      </c>
      <c r="D754" t="s">
        <v>38</v>
      </c>
      <c r="E754" t="s">
        <v>50</v>
      </c>
      <c r="F754" t="s">
        <v>20</v>
      </c>
      <c r="G754">
        <v>2918307</v>
      </c>
      <c r="H754">
        <v>31.61</v>
      </c>
      <c r="I754">
        <v>8.2100000000000009</v>
      </c>
      <c r="J754" s="1">
        <v>44427</v>
      </c>
      <c r="K754">
        <v>299</v>
      </c>
      <c r="L754">
        <v>4</v>
      </c>
      <c r="M754">
        <v>291830.7</v>
      </c>
      <c r="N754">
        <v>1167322.8</v>
      </c>
    </row>
    <row r="755" spans="1:14" x14ac:dyDescent="0.25">
      <c r="A755" t="s">
        <v>1426</v>
      </c>
      <c r="B755" t="s">
        <v>11</v>
      </c>
      <c r="C755">
        <v>22</v>
      </c>
      <c r="D755" t="s">
        <v>28</v>
      </c>
      <c r="E755" t="s">
        <v>19</v>
      </c>
      <c r="F755" t="s">
        <v>47</v>
      </c>
      <c r="G755">
        <v>3491151</v>
      </c>
      <c r="H755">
        <v>19.43</v>
      </c>
      <c r="I755">
        <v>42.1</v>
      </c>
      <c r="J755" s="1">
        <v>43144</v>
      </c>
      <c r="K755">
        <v>46</v>
      </c>
      <c r="L755">
        <v>8</v>
      </c>
      <c r="M755">
        <v>349115.10000000003</v>
      </c>
      <c r="N755">
        <v>2792920.8000000003</v>
      </c>
    </row>
    <row r="756" spans="1:14" x14ac:dyDescent="0.25">
      <c r="A756" t="s">
        <v>1428</v>
      </c>
      <c r="B756" t="s">
        <v>17</v>
      </c>
      <c r="C756">
        <v>51</v>
      </c>
      <c r="D756" t="s">
        <v>12</v>
      </c>
      <c r="E756" t="s">
        <v>57</v>
      </c>
      <c r="F756" t="s">
        <v>14</v>
      </c>
      <c r="G756">
        <v>939414</v>
      </c>
      <c r="H756">
        <v>16.38</v>
      </c>
      <c r="I756">
        <v>-5.66</v>
      </c>
      <c r="J756" s="1">
        <v>44204</v>
      </c>
      <c r="K756">
        <v>280</v>
      </c>
      <c r="L756">
        <v>5</v>
      </c>
      <c r="M756">
        <v>93941.400000000009</v>
      </c>
      <c r="N756">
        <v>469707.00000000006</v>
      </c>
    </row>
    <row r="757" spans="1:14" x14ac:dyDescent="0.25">
      <c r="A757" t="s">
        <v>1430</v>
      </c>
      <c r="B757" t="s">
        <v>11</v>
      </c>
      <c r="C757">
        <v>64</v>
      </c>
      <c r="D757" t="s">
        <v>46</v>
      </c>
      <c r="E757" t="s">
        <v>23</v>
      </c>
      <c r="F757" t="s">
        <v>47</v>
      </c>
      <c r="G757">
        <v>1540792</v>
      </c>
      <c r="H757">
        <v>23.77</v>
      </c>
      <c r="I757">
        <v>29.36</v>
      </c>
      <c r="J757" s="1">
        <v>43900</v>
      </c>
      <c r="K757">
        <v>52</v>
      </c>
      <c r="L757">
        <v>6</v>
      </c>
      <c r="M757">
        <v>154079.20000000001</v>
      </c>
      <c r="N757">
        <v>924475.20000000007</v>
      </c>
    </row>
    <row r="758" spans="1:14" x14ac:dyDescent="0.25">
      <c r="A758" t="s">
        <v>1432</v>
      </c>
      <c r="B758" t="s">
        <v>11</v>
      </c>
      <c r="C758">
        <v>37</v>
      </c>
      <c r="D758" t="s">
        <v>28</v>
      </c>
      <c r="E758" t="s">
        <v>57</v>
      </c>
      <c r="F758" t="s">
        <v>20</v>
      </c>
      <c r="G758">
        <v>1694202</v>
      </c>
      <c r="H758">
        <v>21.93</v>
      </c>
      <c r="I758">
        <v>-0.09</v>
      </c>
      <c r="J758" s="1">
        <v>44428</v>
      </c>
      <c r="K758">
        <v>22</v>
      </c>
      <c r="L758">
        <v>4</v>
      </c>
      <c r="M758">
        <v>169420.2</v>
      </c>
      <c r="N758">
        <v>677680.8</v>
      </c>
    </row>
    <row r="759" spans="1:14" x14ac:dyDescent="0.25">
      <c r="A759" t="s">
        <v>1434</v>
      </c>
      <c r="B759" t="s">
        <v>17</v>
      </c>
      <c r="C759">
        <v>43</v>
      </c>
      <c r="D759" t="s">
        <v>12</v>
      </c>
      <c r="E759" t="s">
        <v>29</v>
      </c>
      <c r="F759" t="s">
        <v>47</v>
      </c>
      <c r="G759">
        <v>642476</v>
      </c>
      <c r="H759">
        <v>27.27</v>
      </c>
      <c r="I759">
        <v>20.9</v>
      </c>
      <c r="J759" s="1">
        <v>44386</v>
      </c>
      <c r="K759">
        <v>109</v>
      </c>
      <c r="L759">
        <v>5</v>
      </c>
      <c r="M759">
        <v>64247.600000000006</v>
      </c>
      <c r="N759">
        <v>321238</v>
      </c>
    </row>
    <row r="760" spans="1:14" x14ac:dyDescent="0.25">
      <c r="A760" t="s">
        <v>1436</v>
      </c>
      <c r="B760" t="s">
        <v>11</v>
      </c>
      <c r="C760">
        <v>61</v>
      </c>
      <c r="D760" t="s">
        <v>46</v>
      </c>
      <c r="E760" t="s">
        <v>57</v>
      </c>
      <c r="F760" t="s">
        <v>20</v>
      </c>
      <c r="G760">
        <v>4094784</v>
      </c>
      <c r="H760">
        <v>23.74</v>
      </c>
      <c r="I760">
        <v>32.75</v>
      </c>
      <c r="J760" s="1">
        <v>44167</v>
      </c>
      <c r="K760">
        <v>115</v>
      </c>
      <c r="L760">
        <v>5</v>
      </c>
      <c r="M760">
        <v>409478.40000000002</v>
      </c>
      <c r="N760">
        <v>2047392</v>
      </c>
    </row>
    <row r="761" spans="1:14" x14ac:dyDescent="0.25">
      <c r="A761" t="s">
        <v>1437</v>
      </c>
      <c r="B761" t="s">
        <v>17</v>
      </c>
      <c r="C761">
        <v>37</v>
      </c>
      <c r="D761" t="s">
        <v>12</v>
      </c>
      <c r="E761" t="s">
        <v>19</v>
      </c>
      <c r="F761" t="s">
        <v>47</v>
      </c>
      <c r="G761">
        <v>3437388</v>
      </c>
      <c r="H761">
        <v>32.549999999999997</v>
      </c>
      <c r="I761">
        <v>2.69</v>
      </c>
      <c r="J761" s="1">
        <v>45327</v>
      </c>
      <c r="K761">
        <v>330</v>
      </c>
      <c r="L761">
        <v>2</v>
      </c>
      <c r="M761">
        <v>343738.80000000005</v>
      </c>
      <c r="N761">
        <v>687477.60000000009</v>
      </c>
    </row>
    <row r="762" spans="1:14" x14ac:dyDescent="0.25">
      <c r="A762" t="s">
        <v>1439</v>
      </c>
      <c r="B762" t="s">
        <v>17</v>
      </c>
      <c r="C762">
        <v>59</v>
      </c>
      <c r="D762" t="s">
        <v>12</v>
      </c>
      <c r="E762" t="s">
        <v>29</v>
      </c>
      <c r="F762" t="s">
        <v>41</v>
      </c>
      <c r="G762">
        <v>323182</v>
      </c>
      <c r="H762">
        <v>20.79</v>
      </c>
      <c r="I762">
        <v>36.97</v>
      </c>
      <c r="J762" s="1">
        <v>45336</v>
      </c>
      <c r="K762">
        <v>91</v>
      </c>
      <c r="L762">
        <v>2</v>
      </c>
      <c r="M762">
        <v>32318.2</v>
      </c>
      <c r="N762">
        <v>64636.4</v>
      </c>
    </row>
    <row r="763" spans="1:14" x14ac:dyDescent="0.25">
      <c r="A763" t="s">
        <v>1441</v>
      </c>
      <c r="B763" t="s">
        <v>17</v>
      </c>
      <c r="C763">
        <v>63</v>
      </c>
      <c r="D763" t="s">
        <v>28</v>
      </c>
      <c r="E763" t="s">
        <v>57</v>
      </c>
      <c r="F763" t="s">
        <v>14</v>
      </c>
      <c r="G763">
        <v>864407</v>
      </c>
      <c r="H763">
        <v>9.89</v>
      </c>
      <c r="I763">
        <v>-0.21</v>
      </c>
      <c r="J763" s="1">
        <v>45343</v>
      </c>
      <c r="K763">
        <v>343</v>
      </c>
      <c r="L763">
        <v>2</v>
      </c>
      <c r="M763">
        <v>86440.700000000012</v>
      </c>
      <c r="N763">
        <v>172881.40000000002</v>
      </c>
    </row>
    <row r="764" spans="1:14" x14ac:dyDescent="0.25">
      <c r="A764" t="s">
        <v>1443</v>
      </c>
      <c r="B764" t="s">
        <v>17</v>
      </c>
      <c r="C764">
        <v>59</v>
      </c>
      <c r="D764" t="s">
        <v>46</v>
      </c>
      <c r="E764" t="s">
        <v>57</v>
      </c>
      <c r="F764" t="s">
        <v>30</v>
      </c>
      <c r="G764">
        <v>4863873</v>
      </c>
      <c r="H764">
        <v>29.15</v>
      </c>
      <c r="I764">
        <v>-5.25</v>
      </c>
      <c r="J764" s="1">
        <v>45098</v>
      </c>
      <c r="K764">
        <v>301</v>
      </c>
      <c r="L764">
        <v>3</v>
      </c>
      <c r="M764">
        <v>486387.30000000005</v>
      </c>
      <c r="N764">
        <v>1459161.9000000001</v>
      </c>
    </row>
    <row r="765" spans="1:14" x14ac:dyDescent="0.25">
      <c r="A765" t="s">
        <v>1444</v>
      </c>
      <c r="B765" t="s">
        <v>11</v>
      </c>
      <c r="C765">
        <v>57</v>
      </c>
      <c r="D765" t="s">
        <v>46</v>
      </c>
      <c r="E765" t="s">
        <v>19</v>
      </c>
      <c r="F765" t="s">
        <v>30</v>
      </c>
      <c r="G765">
        <v>1721130</v>
      </c>
      <c r="H765">
        <v>26.09</v>
      </c>
      <c r="I765">
        <v>15.32</v>
      </c>
      <c r="J765" s="1">
        <v>43645</v>
      </c>
      <c r="K765">
        <v>266</v>
      </c>
      <c r="L765">
        <v>7</v>
      </c>
      <c r="M765">
        <v>172113</v>
      </c>
      <c r="N765">
        <v>1204791</v>
      </c>
    </row>
    <row r="766" spans="1:14" x14ac:dyDescent="0.25">
      <c r="A766" t="s">
        <v>1446</v>
      </c>
      <c r="B766" t="s">
        <v>17</v>
      </c>
      <c r="C766">
        <v>24</v>
      </c>
      <c r="D766" t="s">
        <v>28</v>
      </c>
      <c r="E766" t="s">
        <v>50</v>
      </c>
      <c r="F766" t="s">
        <v>14</v>
      </c>
      <c r="G766">
        <v>201496</v>
      </c>
      <c r="H766">
        <v>21.21</v>
      </c>
      <c r="I766">
        <v>15.25</v>
      </c>
      <c r="J766" s="1">
        <v>44322</v>
      </c>
      <c r="K766">
        <v>71</v>
      </c>
      <c r="L766">
        <v>5</v>
      </c>
      <c r="M766">
        <v>20149.600000000002</v>
      </c>
      <c r="N766">
        <v>100748.00000000001</v>
      </c>
    </row>
    <row r="767" spans="1:14" x14ac:dyDescent="0.25">
      <c r="A767" t="s">
        <v>1448</v>
      </c>
      <c r="B767" t="s">
        <v>17</v>
      </c>
      <c r="C767">
        <v>57</v>
      </c>
      <c r="D767" t="s">
        <v>46</v>
      </c>
      <c r="E767" t="s">
        <v>50</v>
      </c>
      <c r="F767" t="s">
        <v>35</v>
      </c>
      <c r="G767">
        <v>2724321</v>
      </c>
      <c r="H767">
        <v>28.82</v>
      </c>
      <c r="I767">
        <v>30</v>
      </c>
      <c r="J767" s="1">
        <v>44113</v>
      </c>
      <c r="K767">
        <v>286</v>
      </c>
      <c r="L767">
        <v>5</v>
      </c>
      <c r="M767">
        <v>272432.10000000003</v>
      </c>
      <c r="N767">
        <v>1362160.5000000002</v>
      </c>
    </row>
    <row r="768" spans="1:14" x14ac:dyDescent="0.25">
      <c r="A768" t="s">
        <v>1450</v>
      </c>
      <c r="B768" t="s">
        <v>11</v>
      </c>
      <c r="C768">
        <v>25</v>
      </c>
      <c r="D768" t="s">
        <v>18</v>
      </c>
      <c r="E768" t="s">
        <v>50</v>
      </c>
      <c r="F768" t="s">
        <v>14</v>
      </c>
      <c r="G768">
        <v>1290912</v>
      </c>
      <c r="H768">
        <v>16.22</v>
      </c>
      <c r="I768">
        <v>24.73</v>
      </c>
      <c r="J768" s="1">
        <v>45334</v>
      </c>
      <c r="K768">
        <v>91</v>
      </c>
      <c r="L768">
        <v>2</v>
      </c>
      <c r="M768">
        <v>129091.20000000001</v>
      </c>
      <c r="N768">
        <v>258182.40000000002</v>
      </c>
    </row>
    <row r="769" spans="1:14" x14ac:dyDescent="0.25">
      <c r="A769" t="s">
        <v>1452</v>
      </c>
      <c r="B769" t="s">
        <v>17</v>
      </c>
      <c r="C769">
        <v>43</v>
      </c>
      <c r="D769" t="s">
        <v>46</v>
      </c>
      <c r="E769" t="s">
        <v>19</v>
      </c>
      <c r="F769" t="s">
        <v>14</v>
      </c>
      <c r="G769">
        <v>1116994</v>
      </c>
      <c r="H769">
        <v>18.899999999999999</v>
      </c>
      <c r="I769">
        <v>5.37</v>
      </c>
      <c r="J769" s="1">
        <v>43342</v>
      </c>
      <c r="K769">
        <v>198</v>
      </c>
      <c r="L769">
        <v>7</v>
      </c>
      <c r="M769">
        <v>111699.40000000001</v>
      </c>
      <c r="N769">
        <v>781895.8</v>
      </c>
    </row>
    <row r="770" spans="1:14" x14ac:dyDescent="0.25">
      <c r="A770" t="s">
        <v>1454</v>
      </c>
      <c r="B770" t="s">
        <v>17</v>
      </c>
      <c r="C770">
        <v>64</v>
      </c>
      <c r="D770" t="s">
        <v>46</v>
      </c>
      <c r="E770" t="s">
        <v>19</v>
      </c>
      <c r="F770" t="s">
        <v>35</v>
      </c>
      <c r="G770">
        <v>146645</v>
      </c>
      <c r="H770">
        <v>34.29</v>
      </c>
      <c r="I770">
        <v>36.89</v>
      </c>
      <c r="J770" s="1">
        <v>43267</v>
      </c>
      <c r="K770">
        <v>275</v>
      </c>
      <c r="L770">
        <v>8</v>
      </c>
      <c r="M770">
        <v>14664.5</v>
      </c>
      <c r="N770">
        <v>117316</v>
      </c>
    </row>
    <row r="771" spans="1:14" x14ac:dyDescent="0.25">
      <c r="A771" t="s">
        <v>1456</v>
      </c>
      <c r="B771" t="s">
        <v>11</v>
      </c>
      <c r="C771">
        <v>63</v>
      </c>
      <c r="D771" t="s">
        <v>18</v>
      </c>
      <c r="E771" t="s">
        <v>50</v>
      </c>
      <c r="F771" t="s">
        <v>47</v>
      </c>
      <c r="G771">
        <v>3517318</v>
      </c>
      <c r="H771">
        <v>29.48</v>
      </c>
      <c r="I771">
        <v>-2.52</v>
      </c>
      <c r="J771" s="1">
        <v>45592</v>
      </c>
      <c r="K771">
        <v>267</v>
      </c>
      <c r="L771">
        <v>1</v>
      </c>
      <c r="M771">
        <v>351731.80000000005</v>
      </c>
      <c r="N771">
        <v>351731.80000000005</v>
      </c>
    </row>
    <row r="772" spans="1:14" x14ac:dyDescent="0.25">
      <c r="A772" t="s">
        <v>1458</v>
      </c>
      <c r="B772" t="s">
        <v>11</v>
      </c>
      <c r="C772">
        <v>25</v>
      </c>
      <c r="D772" t="s">
        <v>46</v>
      </c>
      <c r="E772" t="s">
        <v>13</v>
      </c>
      <c r="F772" t="s">
        <v>35</v>
      </c>
      <c r="G772">
        <v>4793838</v>
      </c>
      <c r="H772">
        <v>11.42</v>
      </c>
      <c r="I772">
        <v>31.22</v>
      </c>
      <c r="J772" s="1">
        <v>43941</v>
      </c>
      <c r="K772">
        <v>96</v>
      </c>
      <c r="L772">
        <v>6</v>
      </c>
      <c r="M772">
        <v>479383.80000000005</v>
      </c>
      <c r="N772">
        <v>2876302.8000000003</v>
      </c>
    </row>
    <row r="773" spans="1:14" x14ac:dyDescent="0.25">
      <c r="A773" t="s">
        <v>1460</v>
      </c>
      <c r="B773" t="s">
        <v>17</v>
      </c>
      <c r="C773">
        <v>39</v>
      </c>
      <c r="D773" t="s">
        <v>12</v>
      </c>
      <c r="E773" t="s">
        <v>29</v>
      </c>
      <c r="F773" t="s">
        <v>30</v>
      </c>
      <c r="G773">
        <v>3183595</v>
      </c>
      <c r="H773">
        <v>22.13</v>
      </c>
      <c r="I773">
        <v>37.76</v>
      </c>
      <c r="J773" s="1">
        <v>43355</v>
      </c>
      <c r="K773">
        <v>291</v>
      </c>
      <c r="L773">
        <v>7</v>
      </c>
      <c r="M773">
        <v>318359.5</v>
      </c>
      <c r="N773">
        <v>2228516.5</v>
      </c>
    </row>
    <row r="774" spans="1:14" x14ac:dyDescent="0.25">
      <c r="A774" t="s">
        <v>1462</v>
      </c>
      <c r="B774" t="s">
        <v>11</v>
      </c>
      <c r="C774">
        <v>22</v>
      </c>
      <c r="D774" t="s">
        <v>12</v>
      </c>
      <c r="E774" t="s">
        <v>23</v>
      </c>
      <c r="F774" t="s">
        <v>35</v>
      </c>
      <c r="G774">
        <v>4031009</v>
      </c>
      <c r="H774">
        <v>18.61</v>
      </c>
      <c r="I774">
        <v>-0.94</v>
      </c>
      <c r="J774" s="1">
        <v>45201</v>
      </c>
      <c r="K774">
        <v>101</v>
      </c>
      <c r="L774">
        <v>2</v>
      </c>
      <c r="M774">
        <v>403100.9</v>
      </c>
      <c r="N774">
        <v>806201.8</v>
      </c>
    </row>
    <row r="775" spans="1:14" x14ac:dyDescent="0.25">
      <c r="A775" t="s">
        <v>1464</v>
      </c>
      <c r="B775" t="s">
        <v>11</v>
      </c>
      <c r="C775">
        <v>22</v>
      </c>
      <c r="D775" t="s">
        <v>18</v>
      </c>
      <c r="E775" t="s">
        <v>19</v>
      </c>
      <c r="F775" t="s">
        <v>20</v>
      </c>
      <c r="G775">
        <v>3752496</v>
      </c>
      <c r="H775">
        <v>30.4</v>
      </c>
      <c r="I775">
        <v>37.92</v>
      </c>
      <c r="J775" s="1">
        <v>43638</v>
      </c>
      <c r="K775">
        <v>229</v>
      </c>
      <c r="L775">
        <v>7</v>
      </c>
      <c r="M775">
        <v>375249.60000000003</v>
      </c>
      <c r="N775">
        <v>2626747.2000000002</v>
      </c>
    </row>
    <row r="776" spans="1:14" x14ac:dyDescent="0.25">
      <c r="A776" t="s">
        <v>1465</v>
      </c>
      <c r="B776" t="s">
        <v>17</v>
      </c>
      <c r="C776">
        <v>49</v>
      </c>
      <c r="D776" t="s">
        <v>12</v>
      </c>
      <c r="E776" t="s">
        <v>19</v>
      </c>
      <c r="F776" t="s">
        <v>30</v>
      </c>
      <c r="G776">
        <v>2291477</v>
      </c>
      <c r="H776">
        <v>23.92</v>
      </c>
      <c r="I776">
        <v>-5.36</v>
      </c>
      <c r="J776" s="1">
        <v>43597</v>
      </c>
      <c r="K776">
        <v>77</v>
      </c>
      <c r="L776">
        <v>7</v>
      </c>
      <c r="M776">
        <v>229147.7</v>
      </c>
      <c r="N776">
        <v>1604033.9000000001</v>
      </c>
    </row>
    <row r="777" spans="1:14" x14ac:dyDescent="0.25">
      <c r="A777" t="s">
        <v>1467</v>
      </c>
      <c r="B777" t="s">
        <v>11</v>
      </c>
      <c r="C777">
        <v>65</v>
      </c>
      <c r="D777" t="s">
        <v>38</v>
      </c>
      <c r="E777" t="s">
        <v>19</v>
      </c>
      <c r="F777" t="s">
        <v>20</v>
      </c>
      <c r="G777">
        <v>2016163</v>
      </c>
      <c r="H777">
        <v>27.14</v>
      </c>
      <c r="I777">
        <v>-7.36</v>
      </c>
      <c r="J777" s="1">
        <v>45114</v>
      </c>
      <c r="K777">
        <v>350</v>
      </c>
      <c r="L777">
        <v>3</v>
      </c>
      <c r="M777">
        <v>201616.30000000002</v>
      </c>
      <c r="N777">
        <v>604848.9</v>
      </c>
    </row>
    <row r="778" spans="1:14" x14ac:dyDescent="0.25">
      <c r="A778" t="s">
        <v>1469</v>
      </c>
      <c r="B778" t="s">
        <v>17</v>
      </c>
      <c r="C778">
        <v>49</v>
      </c>
      <c r="D778" t="s">
        <v>28</v>
      </c>
      <c r="E778" t="s">
        <v>29</v>
      </c>
      <c r="F778" t="s">
        <v>47</v>
      </c>
      <c r="G778">
        <v>4391653</v>
      </c>
      <c r="H778">
        <v>31.75</v>
      </c>
      <c r="I778">
        <v>-2.19</v>
      </c>
      <c r="J778" s="1">
        <v>44670</v>
      </c>
      <c r="K778">
        <v>33</v>
      </c>
      <c r="L778">
        <v>4</v>
      </c>
      <c r="M778">
        <v>439165.30000000005</v>
      </c>
      <c r="N778">
        <v>1756661.2000000002</v>
      </c>
    </row>
    <row r="779" spans="1:14" x14ac:dyDescent="0.25">
      <c r="A779" t="s">
        <v>1470</v>
      </c>
      <c r="B779" t="s">
        <v>11</v>
      </c>
      <c r="C779">
        <v>24</v>
      </c>
      <c r="D779" t="s">
        <v>46</v>
      </c>
      <c r="E779" t="s">
        <v>19</v>
      </c>
      <c r="F779" t="s">
        <v>47</v>
      </c>
      <c r="G779">
        <v>497662</v>
      </c>
      <c r="H779">
        <v>28.15</v>
      </c>
      <c r="I779">
        <v>-8.98</v>
      </c>
      <c r="J779" s="1">
        <v>43968</v>
      </c>
      <c r="K779">
        <v>103</v>
      </c>
      <c r="L779">
        <v>6</v>
      </c>
      <c r="M779">
        <v>49766.200000000004</v>
      </c>
      <c r="N779">
        <v>298597.2</v>
      </c>
    </row>
    <row r="780" spans="1:14" x14ac:dyDescent="0.25">
      <c r="A780" t="s">
        <v>1472</v>
      </c>
      <c r="B780" t="s">
        <v>17</v>
      </c>
      <c r="C780">
        <v>21</v>
      </c>
      <c r="D780" t="s">
        <v>28</v>
      </c>
      <c r="E780" t="s">
        <v>23</v>
      </c>
      <c r="F780" t="s">
        <v>35</v>
      </c>
      <c r="G780">
        <v>3391695</v>
      </c>
      <c r="H780">
        <v>17.95</v>
      </c>
      <c r="I780">
        <v>26.87</v>
      </c>
      <c r="J780" s="1">
        <v>43536</v>
      </c>
      <c r="K780">
        <v>62</v>
      </c>
      <c r="L780">
        <v>7</v>
      </c>
      <c r="M780">
        <v>339169.5</v>
      </c>
      <c r="N780">
        <v>2374186.5</v>
      </c>
    </row>
    <row r="781" spans="1:14" x14ac:dyDescent="0.25">
      <c r="A781" t="s">
        <v>1474</v>
      </c>
      <c r="B781" t="s">
        <v>17</v>
      </c>
      <c r="C781">
        <v>53</v>
      </c>
      <c r="D781" t="s">
        <v>38</v>
      </c>
      <c r="E781" t="s">
        <v>29</v>
      </c>
      <c r="F781" t="s">
        <v>35</v>
      </c>
      <c r="G781">
        <v>3074876</v>
      </c>
      <c r="H781">
        <v>11.38</v>
      </c>
      <c r="I781">
        <v>42.86</v>
      </c>
      <c r="J781" s="1">
        <v>43424</v>
      </c>
      <c r="K781">
        <v>289</v>
      </c>
      <c r="L781">
        <v>7</v>
      </c>
      <c r="M781">
        <v>307487.60000000003</v>
      </c>
      <c r="N781">
        <v>2152413.2000000002</v>
      </c>
    </row>
    <row r="782" spans="1:14" x14ac:dyDescent="0.25">
      <c r="A782" t="s">
        <v>1476</v>
      </c>
      <c r="B782" t="s">
        <v>11</v>
      </c>
      <c r="C782">
        <v>24</v>
      </c>
      <c r="D782" t="s">
        <v>12</v>
      </c>
      <c r="E782" t="s">
        <v>19</v>
      </c>
      <c r="F782" t="s">
        <v>30</v>
      </c>
      <c r="G782">
        <v>3785531</v>
      </c>
      <c r="H782">
        <v>27.49</v>
      </c>
      <c r="I782">
        <v>42.57</v>
      </c>
      <c r="J782" s="1">
        <v>45132</v>
      </c>
      <c r="K782">
        <v>240</v>
      </c>
      <c r="L782">
        <v>2</v>
      </c>
      <c r="M782">
        <v>378553.10000000003</v>
      </c>
      <c r="N782">
        <v>757106.20000000007</v>
      </c>
    </row>
    <row r="783" spans="1:14" x14ac:dyDescent="0.25">
      <c r="A783" t="s">
        <v>1478</v>
      </c>
      <c r="B783" t="s">
        <v>11</v>
      </c>
      <c r="C783">
        <v>55</v>
      </c>
      <c r="D783" t="s">
        <v>12</v>
      </c>
      <c r="E783" t="s">
        <v>50</v>
      </c>
      <c r="F783" t="s">
        <v>30</v>
      </c>
      <c r="G783">
        <v>627822</v>
      </c>
      <c r="H783">
        <v>32.68</v>
      </c>
      <c r="I783">
        <v>0.39</v>
      </c>
      <c r="J783" s="1">
        <v>45361</v>
      </c>
      <c r="K783">
        <v>94</v>
      </c>
      <c r="L783">
        <v>2</v>
      </c>
      <c r="M783">
        <v>62782.200000000004</v>
      </c>
      <c r="N783">
        <v>125564.40000000001</v>
      </c>
    </row>
    <row r="784" spans="1:14" x14ac:dyDescent="0.25">
      <c r="A784" t="s">
        <v>1480</v>
      </c>
      <c r="B784" t="s">
        <v>11</v>
      </c>
      <c r="C784">
        <v>29</v>
      </c>
      <c r="D784" t="s">
        <v>28</v>
      </c>
      <c r="E784" t="s">
        <v>29</v>
      </c>
      <c r="F784" t="s">
        <v>20</v>
      </c>
      <c r="G784">
        <v>1814434</v>
      </c>
      <c r="H784">
        <v>26.18</v>
      </c>
      <c r="I784">
        <v>2.0099999999999998</v>
      </c>
      <c r="J784" s="1">
        <v>44029</v>
      </c>
      <c r="K784">
        <v>106</v>
      </c>
      <c r="L784">
        <v>6</v>
      </c>
      <c r="M784">
        <v>181443.40000000002</v>
      </c>
      <c r="N784">
        <v>1088660.4000000001</v>
      </c>
    </row>
    <row r="785" spans="1:14" x14ac:dyDescent="0.25">
      <c r="A785" t="s">
        <v>1482</v>
      </c>
      <c r="B785" t="s">
        <v>11</v>
      </c>
      <c r="C785">
        <v>46</v>
      </c>
      <c r="D785" t="s">
        <v>12</v>
      </c>
      <c r="E785" t="s">
        <v>13</v>
      </c>
      <c r="F785" t="s">
        <v>20</v>
      </c>
      <c r="G785">
        <v>4328832</v>
      </c>
      <c r="H785">
        <v>28.17</v>
      </c>
      <c r="I785">
        <v>-7.03</v>
      </c>
      <c r="J785" s="1">
        <v>45323</v>
      </c>
      <c r="K785">
        <v>212</v>
      </c>
      <c r="L785">
        <v>2</v>
      </c>
      <c r="M785">
        <v>432883.20000000001</v>
      </c>
      <c r="N785">
        <v>865766.40000000002</v>
      </c>
    </row>
    <row r="786" spans="1:14" x14ac:dyDescent="0.25">
      <c r="A786" t="s">
        <v>1484</v>
      </c>
      <c r="B786" t="s">
        <v>17</v>
      </c>
      <c r="C786">
        <v>42</v>
      </c>
      <c r="D786" t="s">
        <v>46</v>
      </c>
      <c r="E786" t="s">
        <v>19</v>
      </c>
      <c r="F786" t="s">
        <v>14</v>
      </c>
      <c r="G786">
        <v>3097765</v>
      </c>
      <c r="H786">
        <v>16.03</v>
      </c>
      <c r="I786">
        <v>0.2</v>
      </c>
      <c r="J786" s="1">
        <v>45045</v>
      </c>
      <c r="K786">
        <v>23</v>
      </c>
      <c r="L786">
        <v>3</v>
      </c>
      <c r="M786">
        <v>309776.5</v>
      </c>
      <c r="N786">
        <v>929329.5</v>
      </c>
    </row>
    <row r="787" spans="1:14" x14ac:dyDescent="0.25">
      <c r="A787" t="s">
        <v>1486</v>
      </c>
      <c r="B787" t="s">
        <v>11</v>
      </c>
      <c r="C787">
        <v>32</v>
      </c>
      <c r="D787" t="s">
        <v>28</v>
      </c>
      <c r="E787" t="s">
        <v>19</v>
      </c>
      <c r="F787" t="s">
        <v>47</v>
      </c>
      <c r="G787">
        <v>1917451</v>
      </c>
      <c r="H787">
        <v>34.06</v>
      </c>
      <c r="I787">
        <v>30.71</v>
      </c>
      <c r="J787" s="1">
        <v>43758</v>
      </c>
      <c r="K787">
        <v>32</v>
      </c>
      <c r="L787">
        <v>6</v>
      </c>
      <c r="M787">
        <v>191745.1</v>
      </c>
      <c r="N787">
        <v>1150470.6000000001</v>
      </c>
    </row>
    <row r="788" spans="1:14" x14ac:dyDescent="0.25">
      <c r="A788" t="s">
        <v>1488</v>
      </c>
      <c r="B788" t="s">
        <v>17</v>
      </c>
      <c r="C788">
        <v>65</v>
      </c>
      <c r="D788" t="s">
        <v>46</v>
      </c>
      <c r="E788" t="s">
        <v>29</v>
      </c>
      <c r="F788" t="s">
        <v>20</v>
      </c>
      <c r="G788">
        <v>728977</v>
      </c>
      <c r="H788">
        <v>29.94</v>
      </c>
      <c r="I788">
        <v>-5.33</v>
      </c>
      <c r="J788" s="1">
        <v>44713</v>
      </c>
      <c r="K788">
        <v>21</v>
      </c>
      <c r="L788">
        <v>4</v>
      </c>
      <c r="M788">
        <v>72897.7</v>
      </c>
      <c r="N788">
        <v>291590.8</v>
      </c>
    </row>
    <row r="789" spans="1:14" x14ac:dyDescent="0.25">
      <c r="A789" t="s">
        <v>1490</v>
      </c>
      <c r="B789" t="s">
        <v>17</v>
      </c>
      <c r="C789">
        <v>28</v>
      </c>
      <c r="D789" t="s">
        <v>46</v>
      </c>
      <c r="E789" t="s">
        <v>19</v>
      </c>
      <c r="F789" t="s">
        <v>14</v>
      </c>
      <c r="G789">
        <v>4318796</v>
      </c>
      <c r="H789">
        <v>18.3</v>
      </c>
      <c r="I789">
        <v>4.58</v>
      </c>
      <c r="J789" s="1">
        <v>44147</v>
      </c>
      <c r="K789">
        <v>125</v>
      </c>
      <c r="L789">
        <v>5</v>
      </c>
      <c r="M789">
        <v>431879.60000000003</v>
      </c>
      <c r="N789">
        <v>2159398</v>
      </c>
    </row>
    <row r="790" spans="1:14" x14ac:dyDescent="0.25">
      <c r="A790" t="s">
        <v>1491</v>
      </c>
      <c r="B790" t="s">
        <v>17</v>
      </c>
      <c r="C790">
        <v>36</v>
      </c>
      <c r="D790" t="s">
        <v>12</v>
      </c>
      <c r="E790" t="s">
        <v>19</v>
      </c>
      <c r="F790" t="s">
        <v>30</v>
      </c>
      <c r="G790">
        <v>639383</v>
      </c>
      <c r="H790">
        <v>6.15</v>
      </c>
      <c r="I790">
        <v>-4.4000000000000004</v>
      </c>
      <c r="J790" s="1">
        <v>45354</v>
      </c>
      <c r="K790">
        <v>136</v>
      </c>
      <c r="L790">
        <v>2</v>
      </c>
      <c r="M790">
        <v>63938.3</v>
      </c>
      <c r="N790">
        <v>127876.6</v>
      </c>
    </row>
    <row r="791" spans="1:14" x14ac:dyDescent="0.25">
      <c r="A791" t="s">
        <v>1493</v>
      </c>
      <c r="B791" t="s">
        <v>17</v>
      </c>
      <c r="C791">
        <v>56</v>
      </c>
      <c r="D791" t="s">
        <v>28</v>
      </c>
      <c r="E791" t="s">
        <v>50</v>
      </c>
      <c r="F791" t="s">
        <v>14</v>
      </c>
      <c r="G791">
        <v>3809487</v>
      </c>
      <c r="H791">
        <v>11.3</v>
      </c>
      <c r="I791">
        <v>44.24</v>
      </c>
      <c r="J791" s="1">
        <v>45134</v>
      </c>
      <c r="K791">
        <v>69</v>
      </c>
      <c r="L791">
        <v>2</v>
      </c>
      <c r="M791">
        <v>380948.7</v>
      </c>
      <c r="N791">
        <v>761897.4</v>
      </c>
    </row>
    <row r="792" spans="1:14" x14ac:dyDescent="0.25">
      <c r="A792" t="s">
        <v>1494</v>
      </c>
      <c r="B792" t="s">
        <v>17</v>
      </c>
      <c r="C792">
        <v>47</v>
      </c>
      <c r="D792" t="s">
        <v>28</v>
      </c>
      <c r="E792" t="s">
        <v>29</v>
      </c>
      <c r="F792" t="s">
        <v>47</v>
      </c>
      <c r="G792">
        <v>3794067</v>
      </c>
      <c r="H792">
        <v>9.73</v>
      </c>
      <c r="I792">
        <v>32.619999999999997</v>
      </c>
      <c r="J792" s="1">
        <v>43444</v>
      </c>
      <c r="K792">
        <v>143</v>
      </c>
      <c r="L792">
        <v>7</v>
      </c>
      <c r="M792">
        <v>379406.7</v>
      </c>
      <c r="N792">
        <v>2655846.9</v>
      </c>
    </row>
    <row r="793" spans="1:14" x14ac:dyDescent="0.25">
      <c r="A793" t="s">
        <v>1496</v>
      </c>
      <c r="B793" t="s">
        <v>17</v>
      </c>
      <c r="C793">
        <v>26</v>
      </c>
      <c r="D793" t="s">
        <v>38</v>
      </c>
      <c r="E793" t="s">
        <v>19</v>
      </c>
      <c r="F793" t="s">
        <v>47</v>
      </c>
      <c r="G793">
        <v>2348038</v>
      </c>
      <c r="H793">
        <v>12.54</v>
      </c>
      <c r="I793">
        <v>23.91</v>
      </c>
      <c r="J793" s="1">
        <v>44372</v>
      </c>
      <c r="K793">
        <v>24</v>
      </c>
      <c r="L793">
        <v>5</v>
      </c>
      <c r="M793">
        <v>234803.80000000002</v>
      </c>
      <c r="N793">
        <v>1174019</v>
      </c>
    </row>
    <row r="794" spans="1:14" x14ac:dyDescent="0.25">
      <c r="A794" t="s">
        <v>1498</v>
      </c>
      <c r="B794" t="s">
        <v>17</v>
      </c>
      <c r="C794">
        <v>23</v>
      </c>
      <c r="D794" t="s">
        <v>46</v>
      </c>
      <c r="E794" t="s">
        <v>19</v>
      </c>
      <c r="F794" t="s">
        <v>20</v>
      </c>
      <c r="G794">
        <v>3216003</v>
      </c>
      <c r="H794">
        <v>23.62</v>
      </c>
      <c r="I794">
        <v>14.64</v>
      </c>
      <c r="J794" s="1">
        <v>44157</v>
      </c>
      <c r="K794">
        <v>180</v>
      </c>
      <c r="L794">
        <v>5</v>
      </c>
      <c r="M794">
        <v>321600.30000000005</v>
      </c>
      <c r="N794">
        <v>1608001.5000000002</v>
      </c>
    </row>
    <row r="795" spans="1:14" x14ac:dyDescent="0.25">
      <c r="A795" t="s">
        <v>1500</v>
      </c>
      <c r="B795" t="s">
        <v>17</v>
      </c>
      <c r="C795">
        <v>47</v>
      </c>
      <c r="D795" t="s">
        <v>46</v>
      </c>
      <c r="E795" t="s">
        <v>13</v>
      </c>
      <c r="F795" t="s">
        <v>30</v>
      </c>
      <c r="G795">
        <v>3353117</v>
      </c>
      <c r="H795">
        <v>11.22</v>
      </c>
      <c r="I795">
        <v>5.51</v>
      </c>
      <c r="J795" s="1">
        <v>45182</v>
      </c>
      <c r="K795">
        <v>315</v>
      </c>
      <c r="L795">
        <v>2</v>
      </c>
      <c r="M795">
        <v>335311.7</v>
      </c>
      <c r="N795">
        <v>670623.4</v>
      </c>
    </row>
    <row r="796" spans="1:14" x14ac:dyDescent="0.25">
      <c r="A796" t="s">
        <v>1502</v>
      </c>
      <c r="B796" t="s">
        <v>11</v>
      </c>
      <c r="C796">
        <v>23</v>
      </c>
      <c r="D796" t="s">
        <v>18</v>
      </c>
      <c r="E796" t="s">
        <v>19</v>
      </c>
      <c r="F796" t="s">
        <v>41</v>
      </c>
      <c r="G796">
        <v>286127</v>
      </c>
      <c r="H796">
        <v>10.67</v>
      </c>
      <c r="I796">
        <v>34.64</v>
      </c>
      <c r="J796" s="1">
        <v>44031</v>
      </c>
      <c r="K796">
        <v>205</v>
      </c>
      <c r="L796">
        <v>6</v>
      </c>
      <c r="M796">
        <v>28612.7</v>
      </c>
      <c r="N796">
        <v>171676.2</v>
      </c>
    </row>
    <row r="797" spans="1:14" x14ac:dyDescent="0.25">
      <c r="A797" t="s">
        <v>1503</v>
      </c>
      <c r="B797" t="s">
        <v>11</v>
      </c>
      <c r="C797">
        <v>34</v>
      </c>
      <c r="D797" t="s">
        <v>38</v>
      </c>
      <c r="E797" t="s">
        <v>13</v>
      </c>
      <c r="F797" t="s">
        <v>30</v>
      </c>
      <c r="G797">
        <v>2712188</v>
      </c>
      <c r="H797">
        <v>10.34</v>
      </c>
      <c r="I797">
        <v>25.91</v>
      </c>
      <c r="J797" s="1">
        <v>44684</v>
      </c>
      <c r="K797">
        <v>222</v>
      </c>
      <c r="L797">
        <v>4</v>
      </c>
      <c r="M797">
        <v>271218.8</v>
      </c>
      <c r="N797">
        <v>1084875.2</v>
      </c>
    </row>
    <row r="798" spans="1:14" x14ac:dyDescent="0.25">
      <c r="A798" t="s">
        <v>1505</v>
      </c>
      <c r="B798" t="s">
        <v>17</v>
      </c>
      <c r="C798">
        <v>28</v>
      </c>
      <c r="D798" t="s">
        <v>38</v>
      </c>
      <c r="E798" t="s">
        <v>50</v>
      </c>
      <c r="F798" t="s">
        <v>35</v>
      </c>
      <c r="G798">
        <v>4743325</v>
      </c>
      <c r="H798">
        <v>32.82</v>
      </c>
      <c r="I798">
        <v>-2.54</v>
      </c>
      <c r="J798" s="1">
        <v>43304</v>
      </c>
      <c r="K798">
        <v>193</v>
      </c>
      <c r="L798">
        <v>7</v>
      </c>
      <c r="M798">
        <v>474332.5</v>
      </c>
      <c r="N798">
        <v>3320327.5</v>
      </c>
    </row>
    <row r="799" spans="1:14" x14ac:dyDescent="0.25">
      <c r="A799" t="s">
        <v>1506</v>
      </c>
      <c r="B799" t="s">
        <v>17</v>
      </c>
      <c r="C799">
        <v>50</v>
      </c>
      <c r="D799" t="s">
        <v>38</v>
      </c>
      <c r="E799" t="s">
        <v>23</v>
      </c>
      <c r="F799" t="s">
        <v>14</v>
      </c>
      <c r="G799">
        <v>1585733</v>
      </c>
      <c r="H799">
        <v>6.88</v>
      </c>
      <c r="I799">
        <v>41.62</v>
      </c>
      <c r="J799" s="1">
        <v>43258</v>
      </c>
      <c r="K799">
        <v>340</v>
      </c>
      <c r="L799">
        <v>8</v>
      </c>
      <c r="M799">
        <v>158573.30000000002</v>
      </c>
      <c r="N799">
        <v>1268586.4000000001</v>
      </c>
    </row>
    <row r="800" spans="1:14" x14ac:dyDescent="0.25">
      <c r="A800" t="s">
        <v>1507</v>
      </c>
      <c r="B800" t="s">
        <v>11</v>
      </c>
      <c r="C800">
        <v>40</v>
      </c>
      <c r="D800" t="s">
        <v>38</v>
      </c>
      <c r="E800" t="s">
        <v>23</v>
      </c>
      <c r="F800" t="s">
        <v>14</v>
      </c>
      <c r="G800">
        <v>2561999</v>
      </c>
      <c r="H800">
        <v>16.52</v>
      </c>
      <c r="I800">
        <v>21.02</v>
      </c>
      <c r="J800" s="1">
        <v>44854</v>
      </c>
      <c r="K800">
        <v>241</v>
      </c>
      <c r="L800">
        <v>3</v>
      </c>
      <c r="M800">
        <v>256199.90000000002</v>
      </c>
      <c r="N800">
        <v>768599.70000000007</v>
      </c>
    </row>
    <row r="801" spans="1:14" x14ac:dyDescent="0.25">
      <c r="A801" t="s">
        <v>1509</v>
      </c>
      <c r="B801" t="s">
        <v>17</v>
      </c>
      <c r="C801">
        <v>38</v>
      </c>
      <c r="D801" t="s">
        <v>46</v>
      </c>
      <c r="E801" t="s">
        <v>57</v>
      </c>
      <c r="F801" t="s">
        <v>47</v>
      </c>
      <c r="G801">
        <v>972057</v>
      </c>
      <c r="H801">
        <v>19.079999999999998</v>
      </c>
      <c r="I801">
        <v>41.79</v>
      </c>
      <c r="J801" s="1">
        <v>44205</v>
      </c>
      <c r="K801">
        <v>354</v>
      </c>
      <c r="L801">
        <v>5</v>
      </c>
      <c r="M801">
        <v>97205.700000000012</v>
      </c>
      <c r="N801">
        <v>486028.50000000006</v>
      </c>
    </row>
    <row r="802" spans="1:14" x14ac:dyDescent="0.25">
      <c r="A802" t="s">
        <v>1511</v>
      </c>
      <c r="B802" t="s">
        <v>17</v>
      </c>
      <c r="C802">
        <v>31</v>
      </c>
      <c r="D802" t="s">
        <v>18</v>
      </c>
      <c r="E802" t="s">
        <v>19</v>
      </c>
      <c r="F802" t="s">
        <v>14</v>
      </c>
      <c r="G802">
        <v>955484</v>
      </c>
      <c r="H802">
        <v>29.86</v>
      </c>
      <c r="I802">
        <v>-4.96</v>
      </c>
      <c r="J802" s="1">
        <v>43245</v>
      </c>
      <c r="K802">
        <v>40</v>
      </c>
      <c r="L802">
        <v>8</v>
      </c>
      <c r="M802">
        <v>95548.400000000009</v>
      </c>
      <c r="N802">
        <v>764387.20000000007</v>
      </c>
    </row>
    <row r="803" spans="1:14" x14ac:dyDescent="0.25">
      <c r="A803" t="s">
        <v>1513</v>
      </c>
      <c r="B803" t="s">
        <v>17</v>
      </c>
      <c r="C803">
        <v>36</v>
      </c>
      <c r="D803" t="s">
        <v>18</v>
      </c>
      <c r="E803" t="s">
        <v>13</v>
      </c>
      <c r="F803" t="s">
        <v>30</v>
      </c>
      <c r="G803">
        <v>2799652</v>
      </c>
      <c r="H803">
        <v>32.43</v>
      </c>
      <c r="I803">
        <v>26.53</v>
      </c>
      <c r="J803" s="1">
        <v>43153</v>
      </c>
      <c r="K803">
        <v>114</v>
      </c>
      <c r="L803">
        <v>8</v>
      </c>
      <c r="M803">
        <v>279965.2</v>
      </c>
      <c r="N803">
        <v>2239721.6</v>
      </c>
    </row>
    <row r="804" spans="1:14" x14ac:dyDescent="0.25">
      <c r="A804" t="s">
        <v>1514</v>
      </c>
      <c r="B804" t="s">
        <v>11</v>
      </c>
      <c r="C804">
        <v>58</v>
      </c>
      <c r="D804" t="s">
        <v>28</v>
      </c>
      <c r="E804" t="s">
        <v>57</v>
      </c>
      <c r="F804" t="s">
        <v>47</v>
      </c>
      <c r="G804">
        <v>4323888</v>
      </c>
      <c r="H804">
        <v>28.76</v>
      </c>
      <c r="I804">
        <v>39.82</v>
      </c>
      <c r="J804" s="1">
        <v>44593</v>
      </c>
      <c r="K804">
        <v>148</v>
      </c>
      <c r="L804">
        <v>4</v>
      </c>
      <c r="M804">
        <v>432388.80000000005</v>
      </c>
      <c r="N804">
        <v>1729555.2000000002</v>
      </c>
    </row>
    <row r="805" spans="1:14" x14ac:dyDescent="0.25">
      <c r="A805" t="s">
        <v>1515</v>
      </c>
      <c r="B805" t="s">
        <v>17</v>
      </c>
      <c r="C805">
        <v>53</v>
      </c>
      <c r="D805" t="s">
        <v>38</v>
      </c>
      <c r="E805" t="s">
        <v>29</v>
      </c>
      <c r="F805" t="s">
        <v>14</v>
      </c>
      <c r="G805">
        <v>1543502</v>
      </c>
      <c r="H805">
        <v>15.17</v>
      </c>
      <c r="I805">
        <v>20.3</v>
      </c>
      <c r="J805" s="1">
        <v>45266</v>
      </c>
      <c r="K805">
        <v>64</v>
      </c>
      <c r="L805">
        <v>2</v>
      </c>
      <c r="M805">
        <v>154350.20000000001</v>
      </c>
      <c r="N805">
        <v>308700.40000000002</v>
      </c>
    </row>
    <row r="806" spans="1:14" x14ac:dyDescent="0.25">
      <c r="A806" t="s">
        <v>1517</v>
      </c>
      <c r="B806" t="s">
        <v>17</v>
      </c>
      <c r="C806">
        <v>31</v>
      </c>
      <c r="D806" t="s">
        <v>38</v>
      </c>
      <c r="E806" t="s">
        <v>29</v>
      </c>
      <c r="F806" t="s">
        <v>30</v>
      </c>
      <c r="G806">
        <v>4350330</v>
      </c>
      <c r="H806">
        <v>24.67</v>
      </c>
      <c r="I806">
        <v>8.31</v>
      </c>
      <c r="J806" s="1">
        <v>45297</v>
      </c>
      <c r="K806">
        <v>346</v>
      </c>
      <c r="L806">
        <v>2</v>
      </c>
      <c r="M806">
        <v>435033</v>
      </c>
      <c r="N806">
        <v>870066</v>
      </c>
    </row>
    <row r="807" spans="1:14" x14ac:dyDescent="0.25">
      <c r="A807" t="s">
        <v>1519</v>
      </c>
      <c r="B807" t="s">
        <v>11</v>
      </c>
      <c r="C807">
        <v>34</v>
      </c>
      <c r="D807" t="s">
        <v>18</v>
      </c>
      <c r="E807" t="s">
        <v>19</v>
      </c>
      <c r="F807" t="s">
        <v>35</v>
      </c>
      <c r="G807">
        <v>3678590</v>
      </c>
      <c r="H807">
        <v>17.8</v>
      </c>
      <c r="I807">
        <v>37.020000000000003</v>
      </c>
      <c r="J807" s="1">
        <v>44445</v>
      </c>
      <c r="K807">
        <v>230</v>
      </c>
      <c r="L807">
        <v>4</v>
      </c>
      <c r="M807">
        <v>367859</v>
      </c>
      <c r="N807">
        <v>1471436</v>
      </c>
    </row>
    <row r="808" spans="1:14" x14ac:dyDescent="0.25">
      <c r="A808" t="s">
        <v>1521</v>
      </c>
      <c r="B808" t="s">
        <v>11</v>
      </c>
      <c r="C808">
        <v>33</v>
      </c>
      <c r="D808" t="s">
        <v>38</v>
      </c>
      <c r="E808" t="s">
        <v>29</v>
      </c>
      <c r="F808" t="s">
        <v>20</v>
      </c>
      <c r="G808">
        <v>4143885</v>
      </c>
      <c r="H808">
        <v>26.97</v>
      </c>
      <c r="I808">
        <v>25.04</v>
      </c>
      <c r="J808" s="1">
        <v>45219</v>
      </c>
      <c r="K808">
        <v>32</v>
      </c>
      <c r="L808">
        <v>2</v>
      </c>
      <c r="M808">
        <v>414388.5</v>
      </c>
      <c r="N808">
        <v>828777</v>
      </c>
    </row>
    <row r="809" spans="1:14" x14ac:dyDescent="0.25">
      <c r="A809" t="s">
        <v>1523</v>
      </c>
      <c r="B809" t="s">
        <v>17</v>
      </c>
      <c r="C809">
        <v>62</v>
      </c>
      <c r="D809" t="s">
        <v>28</v>
      </c>
      <c r="E809" t="s">
        <v>13</v>
      </c>
      <c r="F809" t="s">
        <v>30</v>
      </c>
      <c r="G809">
        <v>2289979</v>
      </c>
      <c r="H809">
        <v>18.62</v>
      </c>
      <c r="I809">
        <v>15.59</v>
      </c>
      <c r="J809" s="1">
        <v>43284</v>
      </c>
      <c r="K809">
        <v>49</v>
      </c>
      <c r="L809">
        <v>8</v>
      </c>
      <c r="M809">
        <v>228997.90000000002</v>
      </c>
      <c r="N809">
        <v>1831983.2000000002</v>
      </c>
    </row>
    <row r="810" spans="1:14" x14ac:dyDescent="0.25">
      <c r="A810" t="s">
        <v>1525</v>
      </c>
      <c r="B810" t="s">
        <v>11</v>
      </c>
      <c r="C810">
        <v>61</v>
      </c>
      <c r="D810" t="s">
        <v>28</v>
      </c>
      <c r="E810" t="s">
        <v>50</v>
      </c>
      <c r="F810" t="s">
        <v>20</v>
      </c>
      <c r="G810">
        <v>3848191</v>
      </c>
      <c r="H810">
        <v>8.94</v>
      </c>
      <c r="I810">
        <v>4.4400000000000004</v>
      </c>
      <c r="J810" s="1">
        <v>44577</v>
      </c>
      <c r="K810">
        <v>192</v>
      </c>
      <c r="L810">
        <v>4</v>
      </c>
      <c r="M810">
        <v>384819.10000000003</v>
      </c>
      <c r="N810">
        <v>1539276.4000000001</v>
      </c>
    </row>
    <row r="811" spans="1:14" x14ac:dyDescent="0.25">
      <c r="A811" t="s">
        <v>1527</v>
      </c>
      <c r="B811" t="s">
        <v>11</v>
      </c>
      <c r="C811">
        <v>38</v>
      </c>
      <c r="D811" t="s">
        <v>38</v>
      </c>
      <c r="E811" t="s">
        <v>29</v>
      </c>
      <c r="F811" t="s">
        <v>30</v>
      </c>
      <c r="G811">
        <v>894136</v>
      </c>
      <c r="H811">
        <v>13.59</v>
      </c>
      <c r="I811">
        <v>41.15</v>
      </c>
      <c r="J811" s="1">
        <v>45421</v>
      </c>
      <c r="K811">
        <v>317</v>
      </c>
      <c r="L811">
        <v>2</v>
      </c>
      <c r="M811">
        <v>89413.6</v>
      </c>
      <c r="N811">
        <v>178827.2</v>
      </c>
    </row>
    <row r="812" spans="1:14" x14ac:dyDescent="0.25">
      <c r="A812" t="s">
        <v>1528</v>
      </c>
      <c r="B812" t="s">
        <v>11</v>
      </c>
      <c r="C812">
        <v>58</v>
      </c>
      <c r="D812" t="s">
        <v>12</v>
      </c>
      <c r="E812" t="s">
        <v>57</v>
      </c>
      <c r="F812" t="s">
        <v>20</v>
      </c>
      <c r="G812">
        <v>4417835</v>
      </c>
      <c r="H812">
        <v>26.87</v>
      </c>
      <c r="I812">
        <v>39.14</v>
      </c>
      <c r="J812" s="1">
        <v>45102</v>
      </c>
      <c r="K812">
        <v>83</v>
      </c>
      <c r="L812">
        <v>3</v>
      </c>
      <c r="M812">
        <v>441783.5</v>
      </c>
      <c r="N812">
        <v>1325350.5</v>
      </c>
    </row>
    <row r="813" spans="1:14" x14ac:dyDescent="0.25">
      <c r="A813" t="s">
        <v>1530</v>
      </c>
      <c r="B813" t="s">
        <v>17</v>
      </c>
      <c r="C813">
        <v>39</v>
      </c>
      <c r="D813" t="s">
        <v>28</v>
      </c>
      <c r="E813" t="s">
        <v>29</v>
      </c>
      <c r="F813" t="s">
        <v>35</v>
      </c>
      <c r="G813">
        <v>1380847</v>
      </c>
      <c r="H813">
        <v>30.73</v>
      </c>
      <c r="I813">
        <v>38.81</v>
      </c>
      <c r="J813" s="1">
        <v>44049</v>
      </c>
      <c r="K813">
        <v>145</v>
      </c>
      <c r="L813">
        <v>5</v>
      </c>
      <c r="M813">
        <v>138084.70000000001</v>
      </c>
      <c r="N813">
        <v>690423.5</v>
      </c>
    </row>
    <row r="814" spans="1:14" x14ac:dyDescent="0.25">
      <c r="A814" t="s">
        <v>1531</v>
      </c>
      <c r="B814" t="s">
        <v>11</v>
      </c>
      <c r="C814">
        <v>27</v>
      </c>
      <c r="D814" t="s">
        <v>12</v>
      </c>
      <c r="E814" t="s">
        <v>50</v>
      </c>
      <c r="F814" t="s">
        <v>14</v>
      </c>
      <c r="G814">
        <v>3802989</v>
      </c>
      <c r="H814">
        <v>28.71</v>
      </c>
      <c r="I814">
        <v>10.33</v>
      </c>
      <c r="J814" s="1">
        <v>43778</v>
      </c>
      <c r="K814">
        <v>195</v>
      </c>
      <c r="L814">
        <v>6</v>
      </c>
      <c r="M814">
        <v>380298.9</v>
      </c>
      <c r="N814">
        <v>2281793.4000000004</v>
      </c>
    </row>
    <row r="815" spans="1:14" x14ac:dyDescent="0.25">
      <c r="A815" t="s">
        <v>1533</v>
      </c>
      <c r="B815" t="s">
        <v>11</v>
      </c>
      <c r="C815">
        <v>59</v>
      </c>
      <c r="D815" t="s">
        <v>28</v>
      </c>
      <c r="E815" t="s">
        <v>50</v>
      </c>
      <c r="F815" t="s">
        <v>47</v>
      </c>
      <c r="G815">
        <v>3122004</v>
      </c>
      <c r="H815">
        <v>7.73</v>
      </c>
      <c r="I815">
        <v>44.87</v>
      </c>
      <c r="J815" s="1">
        <v>44963</v>
      </c>
      <c r="K815">
        <v>242</v>
      </c>
      <c r="L815">
        <v>3</v>
      </c>
      <c r="M815">
        <v>312200.40000000002</v>
      </c>
      <c r="N815">
        <v>936601.20000000007</v>
      </c>
    </row>
    <row r="816" spans="1:14" x14ac:dyDescent="0.25">
      <c r="A816" t="s">
        <v>1535</v>
      </c>
      <c r="B816" t="s">
        <v>11</v>
      </c>
      <c r="C816">
        <v>51</v>
      </c>
      <c r="D816" t="s">
        <v>12</v>
      </c>
      <c r="E816" t="s">
        <v>57</v>
      </c>
      <c r="F816" t="s">
        <v>14</v>
      </c>
      <c r="G816">
        <v>1436395</v>
      </c>
      <c r="H816">
        <v>11.8</v>
      </c>
      <c r="I816">
        <v>12.73</v>
      </c>
      <c r="J816" s="1">
        <v>44038</v>
      </c>
      <c r="K816">
        <v>364</v>
      </c>
      <c r="L816">
        <v>5</v>
      </c>
      <c r="M816">
        <v>143639.5</v>
      </c>
      <c r="N816">
        <v>718197.5</v>
      </c>
    </row>
    <row r="817" spans="1:14" x14ac:dyDescent="0.25">
      <c r="A817" t="s">
        <v>1536</v>
      </c>
      <c r="B817" t="s">
        <v>11</v>
      </c>
      <c r="C817">
        <v>49</v>
      </c>
      <c r="D817" t="s">
        <v>28</v>
      </c>
      <c r="E817" t="s">
        <v>29</v>
      </c>
      <c r="F817" t="s">
        <v>35</v>
      </c>
      <c r="G817">
        <v>2938500</v>
      </c>
      <c r="H817">
        <v>27.51</v>
      </c>
      <c r="I817">
        <v>16.670000000000002</v>
      </c>
      <c r="J817" s="1">
        <v>45132</v>
      </c>
      <c r="K817">
        <v>220</v>
      </c>
      <c r="L817">
        <v>2</v>
      </c>
      <c r="M817">
        <v>293850</v>
      </c>
      <c r="N817">
        <v>587700</v>
      </c>
    </row>
    <row r="818" spans="1:14" x14ac:dyDescent="0.25">
      <c r="A818" t="s">
        <v>1537</v>
      </c>
      <c r="B818" t="s">
        <v>11</v>
      </c>
      <c r="C818">
        <v>23</v>
      </c>
      <c r="D818" t="s">
        <v>46</v>
      </c>
      <c r="E818" t="s">
        <v>19</v>
      </c>
      <c r="F818" t="s">
        <v>14</v>
      </c>
      <c r="G818">
        <v>3246880</v>
      </c>
      <c r="H818">
        <v>16.52</v>
      </c>
      <c r="I818">
        <v>21.8</v>
      </c>
      <c r="J818" s="1">
        <v>43946</v>
      </c>
      <c r="K818">
        <v>190</v>
      </c>
      <c r="L818">
        <v>6</v>
      </c>
      <c r="M818">
        <v>324688</v>
      </c>
      <c r="N818">
        <v>1948128</v>
      </c>
    </row>
    <row r="819" spans="1:14" x14ac:dyDescent="0.25">
      <c r="A819" t="s">
        <v>1538</v>
      </c>
      <c r="B819" t="s">
        <v>11</v>
      </c>
      <c r="C819">
        <v>38</v>
      </c>
      <c r="D819" t="s">
        <v>18</v>
      </c>
      <c r="E819" t="s">
        <v>29</v>
      </c>
      <c r="F819" t="s">
        <v>47</v>
      </c>
      <c r="G819">
        <v>2861149</v>
      </c>
      <c r="H819">
        <v>21.7</v>
      </c>
      <c r="I819">
        <v>9.07</v>
      </c>
      <c r="J819" s="1">
        <v>45298</v>
      </c>
      <c r="K819">
        <v>34</v>
      </c>
      <c r="L819">
        <v>2</v>
      </c>
      <c r="M819">
        <v>286114.90000000002</v>
      </c>
      <c r="N819">
        <v>572229.80000000005</v>
      </c>
    </row>
    <row r="820" spans="1:14" x14ac:dyDescent="0.25">
      <c r="A820" t="s">
        <v>1540</v>
      </c>
      <c r="B820" t="s">
        <v>11</v>
      </c>
      <c r="C820">
        <v>65</v>
      </c>
      <c r="D820" t="s">
        <v>38</v>
      </c>
      <c r="E820" t="s">
        <v>57</v>
      </c>
      <c r="F820" t="s">
        <v>35</v>
      </c>
      <c r="G820">
        <v>467774</v>
      </c>
      <c r="H820">
        <v>23.89</v>
      </c>
      <c r="I820">
        <v>4.0599999999999996</v>
      </c>
      <c r="J820" s="1">
        <v>43977</v>
      </c>
      <c r="K820">
        <v>171</v>
      </c>
      <c r="L820">
        <v>6</v>
      </c>
      <c r="M820">
        <v>46777.4</v>
      </c>
      <c r="N820">
        <v>280664.40000000002</v>
      </c>
    </row>
    <row r="821" spans="1:14" x14ac:dyDescent="0.25">
      <c r="A821" t="s">
        <v>1542</v>
      </c>
      <c r="B821" t="s">
        <v>11</v>
      </c>
      <c r="C821">
        <v>37</v>
      </c>
      <c r="D821" t="s">
        <v>28</v>
      </c>
      <c r="E821" t="s">
        <v>57</v>
      </c>
      <c r="F821" t="s">
        <v>20</v>
      </c>
      <c r="G821">
        <v>1361828</v>
      </c>
      <c r="H821">
        <v>32.96</v>
      </c>
      <c r="I821">
        <v>17.12</v>
      </c>
      <c r="J821" s="1">
        <v>43373</v>
      </c>
      <c r="K821">
        <v>170</v>
      </c>
      <c r="L821">
        <v>7</v>
      </c>
      <c r="M821">
        <v>136182.80000000002</v>
      </c>
      <c r="N821">
        <v>953279.60000000009</v>
      </c>
    </row>
    <row r="822" spans="1:14" x14ac:dyDescent="0.25">
      <c r="A822" t="s">
        <v>1544</v>
      </c>
      <c r="B822" t="s">
        <v>11</v>
      </c>
      <c r="C822">
        <v>36</v>
      </c>
      <c r="D822" t="s">
        <v>46</v>
      </c>
      <c r="E822" t="s">
        <v>13</v>
      </c>
      <c r="F822" t="s">
        <v>41</v>
      </c>
      <c r="G822">
        <v>4564814</v>
      </c>
      <c r="H822">
        <v>6.06</v>
      </c>
      <c r="I822">
        <v>-3.32</v>
      </c>
      <c r="J822" s="1">
        <v>43633</v>
      </c>
      <c r="K822">
        <v>186</v>
      </c>
      <c r="L822">
        <v>7</v>
      </c>
      <c r="M822">
        <v>456481.4</v>
      </c>
      <c r="N822">
        <v>3195369.8000000003</v>
      </c>
    </row>
    <row r="823" spans="1:14" x14ac:dyDescent="0.25">
      <c r="A823" t="s">
        <v>1546</v>
      </c>
      <c r="B823" t="s">
        <v>17</v>
      </c>
      <c r="C823">
        <v>62</v>
      </c>
      <c r="D823" t="s">
        <v>18</v>
      </c>
      <c r="E823" t="s">
        <v>29</v>
      </c>
      <c r="F823" t="s">
        <v>30</v>
      </c>
      <c r="G823">
        <v>234666</v>
      </c>
      <c r="H823">
        <v>33.340000000000003</v>
      </c>
      <c r="I823">
        <v>28.87</v>
      </c>
      <c r="J823" s="1">
        <v>44687</v>
      </c>
      <c r="K823">
        <v>83</v>
      </c>
      <c r="L823">
        <v>4</v>
      </c>
      <c r="M823">
        <v>23466.600000000002</v>
      </c>
      <c r="N823">
        <v>93866.400000000009</v>
      </c>
    </row>
    <row r="824" spans="1:14" x14ac:dyDescent="0.25">
      <c r="A824" t="s">
        <v>1547</v>
      </c>
      <c r="B824" t="s">
        <v>11</v>
      </c>
      <c r="C824">
        <v>59</v>
      </c>
      <c r="D824" t="s">
        <v>28</v>
      </c>
      <c r="E824" t="s">
        <v>57</v>
      </c>
      <c r="F824" t="s">
        <v>14</v>
      </c>
      <c r="G824">
        <v>3809179</v>
      </c>
      <c r="H824">
        <v>32.090000000000003</v>
      </c>
      <c r="I824">
        <v>41.63</v>
      </c>
      <c r="J824" s="1">
        <v>43117</v>
      </c>
      <c r="K824">
        <v>348</v>
      </c>
      <c r="L824">
        <v>8</v>
      </c>
      <c r="M824">
        <v>380917.9</v>
      </c>
      <c r="N824">
        <v>3047343.2</v>
      </c>
    </row>
    <row r="825" spans="1:14" x14ac:dyDescent="0.25">
      <c r="A825" t="s">
        <v>1548</v>
      </c>
      <c r="B825" t="s">
        <v>17</v>
      </c>
      <c r="C825">
        <v>26</v>
      </c>
      <c r="D825" t="s">
        <v>28</v>
      </c>
      <c r="E825" t="s">
        <v>29</v>
      </c>
      <c r="F825" t="s">
        <v>35</v>
      </c>
      <c r="G825">
        <v>942339</v>
      </c>
      <c r="H825">
        <v>5.63</v>
      </c>
      <c r="I825">
        <v>-9.7799999999999994</v>
      </c>
      <c r="J825" s="1">
        <v>44895</v>
      </c>
      <c r="K825">
        <v>199</v>
      </c>
      <c r="L825">
        <v>3</v>
      </c>
      <c r="M825">
        <v>94233.900000000009</v>
      </c>
      <c r="N825">
        <v>282701.7</v>
      </c>
    </row>
    <row r="826" spans="1:14" x14ac:dyDescent="0.25">
      <c r="A826" t="s">
        <v>1550</v>
      </c>
      <c r="B826" t="s">
        <v>17</v>
      </c>
      <c r="C826">
        <v>44</v>
      </c>
      <c r="D826" t="s">
        <v>12</v>
      </c>
      <c r="E826" t="s">
        <v>57</v>
      </c>
      <c r="F826" t="s">
        <v>14</v>
      </c>
      <c r="G826">
        <v>745583</v>
      </c>
      <c r="H826">
        <v>28.4</v>
      </c>
      <c r="I826">
        <v>8.26</v>
      </c>
      <c r="J826" s="1">
        <v>43696</v>
      </c>
      <c r="K826">
        <v>43</v>
      </c>
      <c r="L826">
        <v>6</v>
      </c>
      <c r="M826">
        <v>74558.3</v>
      </c>
      <c r="N826">
        <v>447349.80000000005</v>
      </c>
    </row>
    <row r="827" spans="1:14" x14ac:dyDescent="0.25">
      <c r="A827" t="s">
        <v>1551</v>
      </c>
      <c r="B827" t="s">
        <v>17</v>
      </c>
      <c r="C827">
        <v>45</v>
      </c>
      <c r="D827" t="s">
        <v>12</v>
      </c>
      <c r="E827" t="s">
        <v>19</v>
      </c>
      <c r="F827" t="s">
        <v>14</v>
      </c>
      <c r="G827">
        <v>337855</v>
      </c>
      <c r="H827">
        <v>18.09</v>
      </c>
      <c r="I827">
        <v>35.75</v>
      </c>
      <c r="J827" s="1">
        <v>44837</v>
      </c>
      <c r="K827">
        <v>88</v>
      </c>
      <c r="L827">
        <v>3</v>
      </c>
      <c r="M827">
        <v>33785.5</v>
      </c>
      <c r="N827">
        <v>101356.5</v>
      </c>
    </row>
    <row r="828" spans="1:14" x14ac:dyDescent="0.25">
      <c r="A828" t="s">
        <v>1552</v>
      </c>
      <c r="B828" t="s">
        <v>11</v>
      </c>
      <c r="C828">
        <v>32</v>
      </c>
      <c r="D828" t="s">
        <v>28</v>
      </c>
      <c r="E828" t="s">
        <v>23</v>
      </c>
      <c r="F828" t="s">
        <v>41</v>
      </c>
      <c r="G828">
        <v>4540148</v>
      </c>
      <c r="H828">
        <v>23.97</v>
      </c>
      <c r="I828">
        <v>15.23</v>
      </c>
      <c r="J828" s="1">
        <v>45571</v>
      </c>
      <c r="K828">
        <v>325</v>
      </c>
      <c r="L828">
        <v>1</v>
      </c>
      <c r="M828">
        <v>454014.80000000005</v>
      </c>
      <c r="N828">
        <v>454014.80000000005</v>
      </c>
    </row>
    <row r="829" spans="1:14" x14ac:dyDescent="0.25">
      <c r="A829" t="s">
        <v>1553</v>
      </c>
      <c r="B829" t="s">
        <v>11</v>
      </c>
      <c r="C829">
        <v>60</v>
      </c>
      <c r="D829" t="s">
        <v>46</v>
      </c>
      <c r="E829" t="s">
        <v>50</v>
      </c>
      <c r="F829" t="s">
        <v>47</v>
      </c>
      <c r="G829">
        <v>2033603</v>
      </c>
      <c r="H829">
        <v>28.85</v>
      </c>
      <c r="I829">
        <v>10.49</v>
      </c>
      <c r="J829" s="1">
        <v>43966</v>
      </c>
      <c r="K829">
        <v>259</v>
      </c>
      <c r="L829">
        <v>6</v>
      </c>
      <c r="M829">
        <v>203360.30000000002</v>
      </c>
      <c r="N829">
        <v>1220161.8</v>
      </c>
    </row>
    <row r="830" spans="1:14" x14ac:dyDescent="0.25">
      <c r="A830" t="s">
        <v>1555</v>
      </c>
      <c r="B830" t="s">
        <v>11</v>
      </c>
      <c r="C830">
        <v>61</v>
      </c>
      <c r="D830" t="s">
        <v>38</v>
      </c>
      <c r="E830" t="s">
        <v>50</v>
      </c>
      <c r="F830" t="s">
        <v>41</v>
      </c>
      <c r="G830">
        <v>2085991</v>
      </c>
      <c r="H830">
        <v>26.21</v>
      </c>
      <c r="I830">
        <v>12.71</v>
      </c>
      <c r="J830" s="1">
        <v>43268</v>
      </c>
      <c r="K830">
        <v>120</v>
      </c>
      <c r="L830">
        <v>8</v>
      </c>
      <c r="M830">
        <v>208599.1</v>
      </c>
      <c r="N830">
        <v>1668792.8</v>
      </c>
    </row>
    <row r="831" spans="1:14" x14ac:dyDescent="0.25">
      <c r="A831" t="s">
        <v>1556</v>
      </c>
      <c r="B831" t="s">
        <v>11</v>
      </c>
      <c r="C831">
        <v>57</v>
      </c>
      <c r="D831" t="s">
        <v>28</v>
      </c>
      <c r="E831" t="s">
        <v>50</v>
      </c>
      <c r="F831" t="s">
        <v>47</v>
      </c>
      <c r="G831">
        <v>3398714</v>
      </c>
      <c r="H831">
        <v>22.68</v>
      </c>
      <c r="I831">
        <v>26.83</v>
      </c>
      <c r="J831" s="1">
        <v>45514</v>
      </c>
      <c r="K831">
        <v>257</v>
      </c>
      <c r="L831">
        <v>1</v>
      </c>
      <c r="M831">
        <v>339871.4</v>
      </c>
      <c r="N831">
        <v>339871.4</v>
      </c>
    </row>
    <row r="832" spans="1:14" x14ac:dyDescent="0.25">
      <c r="A832" t="s">
        <v>1558</v>
      </c>
      <c r="B832" t="s">
        <v>11</v>
      </c>
      <c r="C832">
        <v>51</v>
      </c>
      <c r="D832" t="s">
        <v>46</v>
      </c>
      <c r="E832" t="s">
        <v>29</v>
      </c>
      <c r="F832" t="s">
        <v>14</v>
      </c>
      <c r="G832">
        <v>4251396</v>
      </c>
      <c r="H832">
        <v>22.88</v>
      </c>
      <c r="I832">
        <v>4.47</v>
      </c>
      <c r="J832" s="1">
        <v>43777</v>
      </c>
      <c r="K832">
        <v>225</v>
      </c>
      <c r="L832">
        <v>6</v>
      </c>
      <c r="M832">
        <v>425139.60000000003</v>
      </c>
      <c r="N832">
        <v>2550837.6</v>
      </c>
    </row>
    <row r="833" spans="1:14" x14ac:dyDescent="0.25">
      <c r="A833" t="s">
        <v>1559</v>
      </c>
      <c r="B833" t="s">
        <v>11</v>
      </c>
      <c r="C833">
        <v>64</v>
      </c>
      <c r="D833" t="s">
        <v>38</v>
      </c>
      <c r="E833" t="s">
        <v>19</v>
      </c>
      <c r="F833" t="s">
        <v>30</v>
      </c>
      <c r="G833">
        <v>998747</v>
      </c>
      <c r="H833">
        <v>13.68</v>
      </c>
      <c r="I833">
        <v>37.08</v>
      </c>
      <c r="J833" s="1">
        <v>45223</v>
      </c>
      <c r="K833">
        <v>73</v>
      </c>
      <c r="L833">
        <v>2</v>
      </c>
      <c r="M833">
        <v>99874.700000000012</v>
      </c>
      <c r="N833">
        <v>199749.40000000002</v>
      </c>
    </row>
    <row r="834" spans="1:14" x14ac:dyDescent="0.25">
      <c r="A834" t="s">
        <v>1560</v>
      </c>
      <c r="B834" t="s">
        <v>17</v>
      </c>
      <c r="C834">
        <v>37</v>
      </c>
      <c r="D834" t="s">
        <v>12</v>
      </c>
      <c r="E834" t="s">
        <v>50</v>
      </c>
      <c r="F834" t="s">
        <v>35</v>
      </c>
      <c r="G834">
        <v>805305</v>
      </c>
      <c r="H834">
        <v>30.34</v>
      </c>
      <c r="I834">
        <v>18.47</v>
      </c>
      <c r="J834" s="1">
        <v>43762</v>
      </c>
      <c r="K834">
        <v>170</v>
      </c>
      <c r="L834">
        <v>6</v>
      </c>
      <c r="M834">
        <v>80530.5</v>
      </c>
      <c r="N834">
        <v>483183</v>
      </c>
    </row>
    <row r="835" spans="1:14" x14ac:dyDescent="0.25">
      <c r="A835" t="s">
        <v>1561</v>
      </c>
      <c r="B835" t="s">
        <v>17</v>
      </c>
      <c r="C835">
        <v>30</v>
      </c>
      <c r="D835" t="s">
        <v>38</v>
      </c>
      <c r="E835" t="s">
        <v>50</v>
      </c>
      <c r="F835" t="s">
        <v>30</v>
      </c>
      <c r="G835">
        <v>4644353</v>
      </c>
      <c r="H835">
        <v>12.45</v>
      </c>
      <c r="I835">
        <v>28.16</v>
      </c>
      <c r="J835" s="1">
        <v>44428</v>
      </c>
      <c r="K835">
        <v>269</v>
      </c>
      <c r="L835">
        <v>4</v>
      </c>
      <c r="M835">
        <v>464435.30000000005</v>
      </c>
      <c r="N835">
        <v>1857741.2000000002</v>
      </c>
    </row>
    <row r="836" spans="1:14" x14ac:dyDescent="0.25">
      <c r="A836" t="s">
        <v>1562</v>
      </c>
      <c r="B836" t="s">
        <v>11</v>
      </c>
      <c r="C836">
        <v>24</v>
      </c>
      <c r="D836" t="s">
        <v>12</v>
      </c>
      <c r="E836" t="s">
        <v>50</v>
      </c>
      <c r="F836" t="s">
        <v>14</v>
      </c>
      <c r="G836">
        <v>2219465</v>
      </c>
      <c r="H836">
        <v>20.440000000000001</v>
      </c>
      <c r="I836">
        <v>-3.92</v>
      </c>
      <c r="J836" s="1">
        <v>43141</v>
      </c>
      <c r="K836">
        <v>197</v>
      </c>
      <c r="L836">
        <v>8</v>
      </c>
      <c r="M836">
        <v>221946.5</v>
      </c>
      <c r="N836">
        <v>1775572</v>
      </c>
    </row>
    <row r="837" spans="1:14" x14ac:dyDescent="0.25">
      <c r="A837" t="s">
        <v>1563</v>
      </c>
      <c r="B837" t="s">
        <v>17</v>
      </c>
      <c r="C837">
        <v>44</v>
      </c>
      <c r="D837" t="s">
        <v>28</v>
      </c>
      <c r="E837" t="s">
        <v>19</v>
      </c>
      <c r="F837" t="s">
        <v>20</v>
      </c>
      <c r="G837">
        <v>4571007</v>
      </c>
      <c r="H837">
        <v>13.05</v>
      </c>
      <c r="I837">
        <v>5.13</v>
      </c>
      <c r="J837" s="1">
        <v>44052</v>
      </c>
      <c r="K837">
        <v>295</v>
      </c>
      <c r="L837">
        <v>5</v>
      </c>
      <c r="M837">
        <v>457100.7</v>
      </c>
      <c r="N837">
        <v>2285503.5</v>
      </c>
    </row>
    <row r="838" spans="1:14" x14ac:dyDescent="0.25">
      <c r="A838" t="s">
        <v>1565</v>
      </c>
      <c r="B838" t="s">
        <v>11</v>
      </c>
      <c r="C838">
        <v>41</v>
      </c>
      <c r="D838" t="s">
        <v>12</v>
      </c>
      <c r="E838" t="s">
        <v>50</v>
      </c>
      <c r="F838" t="s">
        <v>30</v>
      </c>
      <c r="G838">
        <v>4374969</v>
      </c>
      <c r="H838">
        <v>7.34</v>
      </c>
      <c r="I838">
        <v>16.52</v>
      </c>
      <c r="J838" s="1">
        <v>43447</v>
      </c>
      <c r="K838">
        <v>100</v>
      </c>
      <c r="L838">
        <v>7</v>
      </c>
      <c r="M838">
        <v>437496.9</v>
      </c>
      <c r="N838">
        <v>3062478.3000000003</v>
      </c>
    </row>
    <row r="839" spans="1:14" x14ac:dyDescent="0.25">
      <c r="A839" t="s">
        <v>1566</v>
      </c>
      <c r="B839" t="s">
        <v>11</v>
      </c>
      <c r="C839">
        <v>34</v>
      </c>
      <c r="D839" t="s">
        <v>28</v>
      </c>
      <c r="E839" t="s">
        <v>23</v>
      </c>
      <c r="F839" t="s">
        <v>41</v>
      </c>
      <c r="G839">
        <v>1350083</v>
      </c>
      <c r="H839">
        <v>24.79</v>
      </c>
      <c r="I839">
        <v>44.21</v>
      </c>
      <c r="J839" s="1">
        <v>43790</v>
      </c>
      <c r="K839">
        <v>194</v>
      </c>
      <c r="L839">
        <v>6</v>
      </c>
      <c r="M839">
        <v>135008.30000000002</v>
      </c>
      <c r="N839">
        <v>810049.8</v>
      </c>
    </row>
    <row r="840" spans="1:14" x14ac:dyDescent="0.25">
      <c r="A840" t="s">
        <v>1568</v>
      </c>
      <c r="B840" t="s">
        <v>11</v>
      </c>
      <c r="C840">
        <v>45</v>
      </c>
      <c r="D840" t="s">
        <v>18</v>
      </c>
      <c r="E840" t="s">
        <v>19</v>
      </c>
      <c r="F840" t="s">
        <v>20</v>
      </c>
      <c r="G840">
        <v>847232</v>
      </c>
      <c r="H840">
        <v>21.63</v>
      </c>
      <c r="I840">
        <v>33.85</v>
      </c>
      <c r="J840" s="1">
        <v>45412</v>
      </c>
      <c r="K840">
        <v>21</v>
      </c>
      <c r="L840">
        <v>2</v>
      </c>
      <c r="M840">
        <v>84723.200000000012</v>
      </c>
      <c r="N840">
        <v>169446.40000000002</v>
      </c>
    </row>
    <row r="841" spans="1:14" x14ac:dyDescent="0.25">
      <c r="A841" t="s">
        <v>1570</v>
      </c>
      <c r="B841" t="s">
        <v>17</v>
      </c>
      <c r="C841">
        <v>52</v>
      </c>
      <c r="D841" t="s">
        <v>46</v>
      </c>
      <c r="E841" t="s">
        <v>57</v>
      </c>
      <c r="F841" t="s">
        <v>14</v>
      </c>
      <c r="G841">
        <v>4457672</v>
      </c>
      <c r="H841">
        <v>21.69</v>
      </c>
      <c r="I841">
        <v>-5.73</v>
      </c>
      <c r="J841" s="1">
        <v>44278</v>
      </c>
      <c r="K841">
        <v>84</v>
      </c>
      <c r="L841">
        <v>5</v>
      </c>
      <c r="M841">
        <v>445767.2</v>
      </c>
      <c r="N841">
        <v>2228836</v>
      </c>
    </row>
    <row r="842" spans="1:14" x14ac:dyDescent="0.25">
      <c r="A842" t="s">
        <v>1571</v>
      </c>
      <c r="B842" t="s">
        <v>17</v>
      </c>
      <c r="C842">
        <v>51</v>
      </c>
      <c r="D842" t="s">
        <v>38</v>
      </c>
      <c r="E842" t="s">
        <v>13</v>
      </c>
      <c r="F842" t="s">
        <v>20</v>
      </c>
      <c r="G842">
        <v>83271</v>
      </c>
      <c r="H842">
        <v>12.94</v>
      </c>
      <c r="I842">
        <v>1.17</v>
      </c>
      <c r="J842" s="1">
        <v>43637</v>
      </c>
      <c r="K842">
        <v>120</v>
      </c>
      <c r="L842">
        <v>7</v>
      </c>
      <c r="M842">
        <v>8327.1</v>
      </c>
      <c r="N842">
        <v>58289.700000000004</v>
      </c>
    </row>
    <row r="843" spans="1:14" x14ac:dyDescent="0.25">
      <c r="A843" t="s">
        <v>1572</v>
      </c>
      <c r="B843" t="s">
        <v>17</v>
      </c>
      <c r="C843">
        <v>31</v>
      </c>
      <c r="D843" t="s">
        <v>28</v>
      </c>
      <c r="E843" t="s">
        <v>19</v>
      </c>
      <c r="F843" t="s">
        <v>47</v>
      </c>
      <c r="G843">
        <v>1528491</v>
      </c>
      <c r="H843">
        <v>5.18</v>
      </c>
      <c r="I843">
        <v>9.83</v>
      </c>
      <c r="J843" s="1">
        <v>43909</v>
      </c>
      <c r="K843">
        <v>138</v>
      </c>
      <c r="L843">
        <v>6</v>
      </c>
      <c r="M843">
        <v>152849.1</v>
      </c>
      <c r="N843">
        <v>917094.60000000009</v>
      </c>
    </row>
    <row r="844" spans="1:14" x14ac:dyDescent="0.25">
      <c r="A844" t="s">
        <v>1573</v>
      </c>
      <c r="B844" t="s">
        <v>11</v>
      </c>
      <c r="C844">
        <v>49</v>
      </c>
      <c r="D844" t="s">
        <v>38</v>
      </c>
      <c r="E844" t="s">
        <v>57</v>
      </c>
      <c r="F844" t="s">
        <v>30</v>
      </c>
      <c r="G844">
        <v>1349302</v>
      </c>
      <c r="H844">
        <v>28.59</v>
      </c>
      <c r="I844">
        <v>9.7799999999999994</v>
      </c>
      <c r="J844" s="1">
        <v>44297</v>
      </c>
      <c r="K844">
        <v>287</v>
      </c>
      <c r="L844">
        <v>5</v>
      </c>
      <c r="M844">
        <v>134930.20000000001</v>
      </c>
      <c r="N844">
        <v>674651</v>
      </c>
    </row>
    <row r="845" spans="1:14" x14ac:dyDescent="0.25">
      <c r="A845" t="s">
        <v>1575</v>
      </c>
      <c r="B845" t="s">
        <v>17</v>
      </c>
      <c r="C845">
        <v>54</v>
      </c>
      <c r="D845" t="s">
        <v>46</v>
      </c>
      <c r="E845" t="s">
        <v>57</v>
      </c>
      <c r="F845" t="s">
        <v>35</v>
      </c>
      <c r="G845">
        <v>1589385</v>
      </c>
      <c r="H845">
        <v>25.76</v>
      </c>
      <c r="I845">
        <v>11.54</v>
      </c>
      <c r="J845" s="1">
        <v>45075</v>
      </c>
      <c r="K845">
        <v>345</v>
      </c>
      <c r="L845">
        <v>3</v>
      </c>
      <c r="M845">
        <v>158938.5</v>
      </c>
      <c r="N845">
        <v>476815.5</v>
      </c>
    </row>
    <row r="846" spans="1:14" x14ac:dyDescent="0.25">
      <c r="A846" t="s">
        <v>1577</v>
      </c>
      <c r="B846" t="s">
        <v>11</v>
      </c>
      <c r="C846">
        <v>63</v>
      </c>
      <c r="D846" t="s">
        <v>46</v>
      </c>
      <c r="E846" t="s">
        <v>23</v>
      </c>
      <c r="F846" t="s">
        <v>14</v>
      </c>
      <c r="G846">
        <v>1124760</v>
      </c>
      <c r="H846">
        <v>27.26</v>
      </c>
      <c r="I846">
        <v>13.29</v>
      </c>
      <c r="J846" s="1">
        <v>45263</v>
      </c>
      <c r="K846">
        <v>319</v>
      </c>
      <c r="L846">
        <v>2</v>
      </c>
      <c r="M846">
        <v>112476</v>
      </c>
      <c r="N846">
        <v>224952</v>
      </c>
    </row>
    <row r="847" spans="1:14" x14ac:dyDescent="0.25">
      <c r="A847" t="s">
        <v>1578</v>
      </c>
      <c r="B847" t="s">
        <v>17</v>
      </c>
      <c r="C847">
        <v>21</v>
      </c>
      <c r="D847" t="s">
        <v>18</v>
      </c>
      <c r="E847" t="s">
        <v>19</v>
      </c>
      <c r="F847" t="s">
        <v>30</v>
      </c>
      <c r="G847">
        <v>2493541</v>
      </c>
      <c r="H847">
        <v>33.950000000000003</v>
      </c>
      <c r="I847">
        <v>37.880000000000003</v>
      </c>
      <c r="J847" s="1">
        <v>45578</v>
      </c>
      <c r="K847">
        <v>10</v>
      </c>
      <c r="L847">
        <v>1</v>
      </c>
      <c r="M847">
        <v>249354.1</v>
      </c>
      <c r="N847">
        <v>249354.1</v>
      </c>
    </row>
    <row r="848" spans="1:14" x14ac:dyDescent="0.25">
      <c r="A848" t="s">
        <v>1580</v>
      </c>
      <c r="B848" t="s">
        <v>11</v>
      </c>
      <c r="C848">
        <v>62</v>
      </c>
      <c r="D848" t="s">
        <v>38</v>
      </c>
      <c r="E848" t="s">
        <v>50</v>
      </c>
      <c r="F848" t="s">
        <v>35</v>
      </c>
      <c r="G848">
        <v>3355855</v>
      </c>
      <c r="H848">
        <v>23.07</v>
      </c>
      <c r="I848">
        <v>29.2</v>
      </c>
      <c r="J848" s="1">
        <v>45003</v>
      </c>
      <c r="K848">
        <v>100</v>
      </c>
      <c r="L848">
        <v>3</v>
      </c>
      <c r="M848">
        <v>335585.5</v>
      </c>
      <c r="N848">
        <v>1006756.5</v>
      </c>
    </row>
    <row r="849" spans="1:14" x14ac:dyDescent="0.25">
      <c r="A849" t="s">
        <v>1581</v>
      </c>
      <c r="B849" t="s">
        <v>11</v>
      </c>
      <c r="C849">
        <v>23</v>
      </c>
      <c r="D849" t="s">
        <v>38</v>
      </c>
      <c r="E849" t="s">
        <v>13</v>
      </c>
      <c r="F849" t="s">
        <v>30</v>
      </c>
      <c r="G849">
        <v>3418319</v>
      </c>
      <c r="H849">
        <v>7.04</v>
      </c>
      <c r="I849">
        <v>40.200000000000003</v>
      </c>
      <c r="J849" s="1">
        <v>43411</v>
      </c>
      <c r="K849">
        <v>244</v>
      </c>
      <c r="L849">
        <v>7</v>
      </c>
      <c r="M849">
        <v>341831.9</v>
      </c>
      <c r="N849">
        <v>2392823.3000000003</v>
      </c>
    </row>
    <row r="850" spans="1:14" x14ac:dyDescent="0.25">
      <c r="A850" t="s">
        <v>1583</v>
      </c>
      <c r="B850" t="s">
        <v>17</v>
      </c>
      <c r="C850">
        <v>44</v>
      </c>
      <c r="D850" t="s">
        <v>18</v>
      </c>
      <c r="E850" t="s">
        <v>57</v>
      </c>
      <c r="F850" t="s">
        <v>41</v>
      </c>
      <c r="G850">
        <v>536125</v>
      </c>
      <c r="H850">
        <v>33.44</v>
      </c>
      <c r="I850">
        <v>38.03</v>
      </c>
      <c r="J850" s="1">
        <v>45253</v>
      </c>
      <c r="K850">
        <v>284</v>
      </c>
      <c r="L850">
        <v>2</v>
      </c>
      <c r="M850">
        <v>53612.5</v>
      </c>
      <c r="N850">
        <v>107225</v>
      </c>
    </row>
    <row r="851" spans="1:14" x14ac:dyDescent="0.25">
      <c r="A851" t="s">
        <v>1585</v>
      </c>
      <c r="B851" t="s">
        <v>17</v>
      </c>
      <c r="C851">
        <v>27</v>
      </c>
      <c r="D851" t="s">
        <v>18</v>
      </c>
      <c r="E851" t="s">
        <v>50</v>
      </c>
      <c r="F851" t="s">
        <v>35</v>
      </c>
      <c r="G851">
        <v>4463495</v>
      </c>
      <c r="H851">
        <v>34.380000000000003</v>
      </c>
      <c r="I851">
        <v>-6.11</v>
      </c>
      <c r="J851" s="1">
        <v>43621</v>
      </c>
      <c r="K851">
        <v>227</v>
      </c>
      <c r="L851">
        <v>7</v>
      </c>
      <c r="M851">
        <v>446349.5</v>
      </c>
      <c r="N851">
        <v>3124446.5</v>
      </c>
    </row>
    <row r="852" spans="1:14" x14ac:dyDescent="0.25">
      <c r="A852" t="s">
        <v>1587</v>
      </c>
      <c r="B852" t="s">
        <v>17</v>
      </c>
      <c r="C852">
        <v>22</v>
      </c>
      <c r="D852" t="s">
        <v>38</v>
      </c>
      <c r="E852" t="s">
        <v>57</v>
      </c>
      <c r="F852" t="s">
        <v>35</v>
      </c>
      <c r="G852">
        <v>1706612</v>
      </c>
      <c r="H852">
        <v>7.45</v>
      </c>
      <c r="I852">
        <v>11.17</v>
      </c>
      <c r="J852" s="1">
        <v>44445</v>
      </c>
      <c r="K852">
        <v>153</v>
      </c>
      <c r="L852">
        <v>4</v>
      </c>
      <c r="M852">
        <v>170661.2</v>
      </c>
      <c r="N852">
        <v>682644.8</v>
      </c>
    </row>
    <row r="853" spans="1:14" x14ac:dyDescent="0.25">
      <c r="A853" t="s">
        <v>1588</v>
      </c>
      <c r="B853" t="s">
        <v>17</v>
      </c>
      <c r="C853">
        <v>29</v>
      </c>
      <c r="D853" t="s">
        <v>28</v>
      </c>
      <c r="E853" t="s">
        <v>19</v>
      </c>
      <c r="F853" t="s">
        <v>30</v>
      </c>
      <c r="G853">
        <v>3277344</v>
      </c>
      <c r="H853">
        <v>29.23</v>
      </c>
      <c r="I853">
        <v>42.01</v>
      </c>
      <c r="J853" s="1">
        <v>43242</v>
      </c>
      <c r="K853">
        <v>23</v>
      </c>
      <c r="L853">
        <v>8</v>
      </c>
      <c r="M853">
        <v>327734.40000000002</v>
      </c>
      <c r="N853">
        <v>2621875.2000000002</v>
      </c>
    </row>
    <row r="854" spans="1:14" x14ac:dyDescent="0.25">
      <c r="A854" t="s">
        <v>1590</v>
      </c>
      <c r="B854" t="s">
        <v>11</v>
      </c>
      <c r="C854">
        <v>53</v>
      </c>
      <c r="D854" t="s">
        <v>38</v>
      </c>
      <c r="E854" t="s">
        <v>29</v>
      </c>
      <c r="F854" t="s">
        <v>14</v>
      </c>
      <c r="G854">
        <v>1469798</v>
      </c>
      <c r="H854">
        <v>13.64</v>
      </c>
      <c r="I854">
        <v>7.61</v>
      </c>
      <c r="J854" s="1">
        <v>45049</v>
      </c>
      <c r="K854">
        <v>231</v>
      </c>
      <c r="L854">
        <v>3</v>
      </c>
      <c r="M854">
        <v>146979.80000000002</v>
      </c>
      <c r="N854">
        <v>440939.4</v>
      </c>
    </row>
    <row r="855" spans="1:14" x14ac:dyDescent="0.25">
      <c r="A855" t="s">
        <v>1591</v>
      </c>
      <c r="B855" t="s">
        <v>17</v>
      </c>
      <c r="C855">
        <v>61</v>
      </c>
      <c r="D855" t="s">
        <v>38</v>
      </c>
      <c r="E855" t="s">
        <v>13</v>
      </c>
      <c r="F855" t="s">
        <v>41</v>
      </c>
      <c r="G855">
        <v>83257</v>
      </c>
      <c r="H855">
        <v>9.6300000000000008</v>
      </c>
      <c r="I855">
        <v>21.6</v>
      </c>
      <c r="J855" s="1">
        <v>43540</v>
      </c>
      <c r="K855">
        <v>316</v>
      </c>
      <c r="L855">
        <v>7</v>
      </c>
      <c r="M855">
        <v>8325.7000000000007</v>
      </c>
      <c r="N855">
        <v>58279.900000000009</v>
      </c>
    </row>
    <row r="856" spans="1:14" x14ac:dyDescent="0.25">
      <c r="A856" t="s">
        <v>1592</v>
      </c>
      <c r="B856" t="s">
        <v>11</v>
      </c>
      <c r="C856">
        <v>35</v>
      </c>
      <c r="D856" t="s">
        <v>28</v>
      </c>
      <c r="E856" t="s">
        <v>23</v>
      </c>
      <c r="F856" t="s">
        <v>30</v>
      </c>
      <c r="G856">
        <v>4545250</v>
      </c>
      <c r="H856">
        <v>10.06</v>
      </c>
      <c r="I856">
        <v>0.93</v>
      </c>
      <c r="J856" s="1">
        <v>45565</v>
      </c>
      <c r="K856">
        <v>98</v>
      </c>
      <c r="L856">
        <v>1</v>
      </c>
      <c r="M856">
        <v>454525</v>
      </c>
      <c r="N856">
        <v>454525</v>
      </c>
    </row>
    <row r="857" spans="1:14" x14ac:dyDescent="0.25">
      <c r="A857" t="s">
        <v>1594</v>
      </c>
      <c r="B857" t="s">
        <v>11</v>
      </c>
      <c r="C857">
        <v>58</v>
      </c>
      <c r="D857" t="s">
        <v>38</v>
      </c>
      <c r="E857" t="s">
        <v>23</v>
      </c>
      <c r="F857" t="s">
        <v>14</v>
      </c>
      <c r="G857">
        <v>1224875</v>
      </c>
      <c r="H857">
        <v>34.479999999999997</v>
      </c>
      <c r="I857">
        <v>5.82</v>
      </c>
      <c r="J857" s="1">
        <v>45497</v>
      </c>
      <c r="K857">
        <v>251</v>
      </c>
      <c r="L857">
        <v>1</v>
      </c>
      <c r="M857">
        <v>122487.5</v>
      </c>
      <c r="N857">
        <v>122487.5</v>
      </c>
    </row>
    <row r="858" spans="1:14" x14ac:dyDescent="0.25">
      <c r="A858" t="s">
        <v>1596</v>
      </c>
      <c r="B858" t="s">
        <v>17</v>
      </c>
      <c r="C858">
        <v>54</v>
      </c>
      <c r="D858" t="s">
        <v>28</v>
      </c>
      <c r="E858" t="s">
        <v>57</v>
      </c>
      <c r="F858" t="s">
        <v>20</v>
      </c>
      <c r="G858">
        <v>472812</v>
      </c>
      <c r="H858">
        <v>30.87</v>
      </c>
      <c r="I858">
        <v>18.989999999999998</v>
      </c>
      <c r="J858" s="1">
        <v>43715</v>
      </c>
      <c r="K858">
        <v>317</v>
      </c>
      <c r="L858">
        <v>6</v>
      </c>
      <c r="M858">
        <v>47281.200000000004</v>
      </c>
      <c r="N858">
        <v>283687.2</v>
      </c>
    </row>
    <row r="859" spans="1:14" x14ac:dyDescent="0.25">
      <c r="A859" t="s">
        <v>1598</v>
      </c>
      <c r="B859" t="s">
        <v>11</v>
      </c>
      <c r="C859">
        <v>55</v>
      </c>
      <c r="D859" t="s">
        <v>46</v>
      </c>
      <c r="E859" t="s">
        <v>29</v>
      </c>
      <c r="F859" t="s">
        <v>41</v>
      </c>
      <c r="G859">
        <v>1129594</v>
      </c>
      <c r="H859">
        <v>24.26</v>
      </c>
      <c r="I859">
        <v>25.01</v>
      </c>
      <c r="J859" s="1">
        <v>44260</v>
      </c>
      <c r="K859">
        <v>11</v>
      </c>
      <c r="L859">
        <v>5</v>
      </c>
      <c r="M859">
        <v>112959.40000000001</v>
      </c>
      <c r="N859">
        <v>564797</v>
      </c>
    </row>
    <row r="860" spans="1:14" x14ac:dyDescent="0.25">
      <c r="A860" t="s">
        <v>1600</v>
      </c>
      <c r="B860" t="s">
        <v>11</v>
      </c>
      <c r="C860">
        <v>36</v>
      </c>
      <c r="D860" t="s">
        <v>28</v>
      </c>
      <c r="E860" t="s">
        <v>13</v>
      </c>
      <c r="F860" t="s">
        <v>14</v>
      </c>
      <c r="G860">
        <v>2006445</v>
      </c>
      <c r="H860">
        <v>29.02</v>
      </c>
      <c r="I860">
        <v>30.86</v>
      </c>
      <c r="J860" s="1">
        <v>43612</v>
      </c>
      <c r="K860">
        <v>219</v>
      </c>
      <c r="L860">
        <v>7</v>
      </c>
      <c r="M860">
        <v>200644.5</v>
      </c>
      <c r="N860">
        <v>1404511.5</v>
      </c>
    </row>
    <row r="861" spans="1:14" x14ac:dyDescent="0.25">
      <c r="A861" t="s">
        <v>1602</v>
      </c>
      <c r="B861" t="s">
        <v>11</v>
      </c>
      <c r="C861">
        <v>34</v>
      </c>
      <c r="D861" t="s">
        <v>46</v>
      </c>
      <c r="E861" t="s">
        <v>19</v>
      </c>
      <c r="F861" t="s">
        <v>30</v>
      </c>
      <c r="G861">
        <v>617794</v>
      </c>
      <c r="H861">
        <v>31.32</v>
      </c>
      <c r="I861">
        <v>30.3</v>
      </c>
      <c r="J861" s="1">
        <v>45093</v>
      </c>
      <c r="K861">
        <v>218</v>
      </c>
      <c r="L861">
        <v>3</v>
      </c>
      <c r="M861">
        <v>61779.4</v>
      </c>
      <c r="N861">
        <v>185338.2</v>
      </c>
    </row>
    <row r="862" spans="1:14" x14ac:dyDescent="0.25">
      <c r="A862" t="s">
        <v>1604</v>
      </c>
      <c r="B862" t="s">
        <v>17</v>
      </c>
      <c r="C862">
        <v>43</v>
      </c>
      <c r="D862" t="s">
        <v>28</v>
      </c>
      <c r="E862" t="s">
        <v>50</v>
      </c>
      <c r="F862" t="s">
        <v>47</v>
      </c>
      <c r="G862">
        <v>3440636</v>
      </c>
      <c r="H862">
        <v>23.87</v>
      </c>
      <c r="I862">
        <v>41.2</v>
      </c>
      <c r="J862" s="1">
        <v>43971</v>
      </c>
      <c r="K862">
        <v>248</v>
      </c>
      <c r="L862">
        <v>6</v>
      </c>
      <c r="M862">
        <v>344063.60000000003</v>
      </c>
      <c r="N862">
        <v>2064381.6</v>
      </c>
    </row>
    <row r="863" spans="1:14" x14ac:dyDescent="0.25">
      <c r="A863" t="s">
        <v>1606</v>
      </c>
      <c r="B863" t="s">
        <v>11</v>
      </c>
      <c r="C863">
        <v>49</v>
      </c>
      <c r="D863" t="s">
        <v>12</v>
      </c>
      <c r="E863" t="s">
        <v>13</v>
      </c>
      <c r="F863" t="s">
        <v>30</v>
      </c>
      <c r="G863">
        <v>3937233</v>
      </c>
      <c r="H863">
        <v>24.47</v>
      </c>
      <c r="I863">
        <v>28.11</v>
      </c>
      <c r="J863" s="1">
        <v>44864</v>
      </c>
      <c r="K863">
        <v>263</v>
      </c>
      <c r="L863">
        <v>3</v>
      </c>
      <c r="M863">
        <v>393723.30000000005</v>
      </c>
      <c r="N863">
        <v>1181169.9000000001</v>
      </c>
    </row>
    <row r="864" spans="1:14" x14ac:dyDescent="0.25">
      <c r="A864" t="s">
        <v>1608</v>
      </c>
      <c r="B864" t="s">
        <v>17</v>
      </c>
      <c r="C864">
        <v>41</v>
      </c>
      <c r="D864" t="s">
        <v>38</v>
      </c>
      <c r="E864" t="s">
        <v>19</v>
      </c>
      <c r="F864" t="s">
        <v>14</v>
      </c>
      <c r="G864">
        <v>1430705</v>
      </c>
      <c r="H864">
        <v>20.58</v>
      </c>
      <c r="I864">
        <v>20.99</v>
      </c>
      <c r="J864" s="1">
        <v>45369</v>
      </c>
      <c r="K864">
        <v>135</v>
      </c>
      <c r="L864">
        <v>2</v>
      </c>
      <c r="M864">
        <v>143070.5</v>
      </c>
      <c r="N864">
        <v>286141</v>
      </c>
    </row>
    <row r="865" spans="1:14" x14ac:dyDescent="0.25">
      <c r="A865" t="s">
        <v>1610</v>
      </c>
      <c r="B865" t="s">
        <v>11</v>
      </c>
      <c r="C865">
        <v>24</v>
      </c>
      <c r="D865" t="s">
        <v>28</v>
      </c>
      <c r="E865" t="s">
        <v>19</v>
      </c>
      <c r="F865" t="s">
        <v>47</v>
      </c>
      <c r="G865">
        <v>3391737</v>
      </c>
      <c r="H865">
        <v>27.29</v>
      </c>
      <c r="I865">
        <v>32.57</v>
      </c>
      <c r="J865" s="1">
        <v>44105</v>
      </c>
      <c r="K865">
        <v>244</v>
      </c>
      <c r="L865">
        <v>5</v>
      </c>
      <c r="M865">
        <v>339173.7</v>
      </c>
      <c r="N865">
        <v>1695868.5</v>
      </c>
    </row>
    <row r="866" spans="1:14" x14ac:dyDescent="0.25">
      <c r="A866" t="s">
        <v>1611</v>
      </c>
      <c r="B866" t="s">
        <v>11</v>
      </c>
      <c r="C866">
        <v>31</v>
      </c>
      <c r="D866" t="s">
        <v>12</v>
      </c>
      <c r="E866" t="s">
        <v>50</v>
      </c>
      <c r="F866" t="s">
        <v>35</v>
      </c>
      <c r="G866">
        <v>4917734</v>
      </c>
      <c r="H866">
        <v>5.58</v>
      </c>
      <c r="I866">
        <v>33.57</v>
      </c>
      <c r="J866" s="1">
        <v>43179</v>
      </c>
      <c r="K866">
        <v>307</v>
      </c>
      <c r="L866">
        <v>8</v>
      </c>
      <c r="M866">
        <v>491773.4</v>
      </c>
      <c r="N866">
        <v>3934187.2</v>
      </c>
    </row>
    <row r="867" spans="1:14" x14ac:dyDescent="0.25">
      <c r="A867" t="s">
        <v>1612</v>
      </c>
      <c r="B867" t="s">
        <v>11</v>
      </c>
      <c r="C867">
        <v>61</v>
      </c>
      <c r="D867" t="s">
        <v>28</v>
      </c>
      <c r="E867" t="s">
        <v>23</v>
      </c>
      <c r="F867" t="s">
        <v>41</v>
      </c>
      <c r="G867">
        <v>3723002</v>
      </c>
      <c r="H867">
        <v>30.92</v>
      </c>
      <c r="I867">
        <v>13.65</v>
      </c>
      <c r="J867" s="1">
        <v>45247</v>
      </c>
      <c r="K867">
        <v>31</v>
      </c>
      <c r="L867">
        <v>2</v>
      </c>
      <c r="M867">
        <v>372300.2</v>
      </c>
      <c r="N867">
        <v>744600.4</v>
      </c>
    </row>
    <row r="868" spans="1:14" x14ac:dyDescent="0.25">
      <c r="A868" t="s">
        <v>1614</v>
      </c>
      <c r="B868" t="s">
        <v>17</v>
      </c>
      <c r="C868">
        <v>27</v>
      </c>
      <c r="D868" t="s">
        <v>46</v>
      </c>
      <c r="E868" t="s">
        <v>57</v>
      </c>
      <c r="F868" t="s">
        <v>30</v>
      </c>
      <c r="G868">
        <v>4863102</v>
      </c>
      <c r="H868">
        <v>21.84</v>
      </c>
      <c r="I868">
        <v>27.16</v>
      </c>
      <c r="J868" s="1">
        <v>43791</v>
      </c>
      <c r="K868">
        <v>300</v>
      </c>
      <c r="L868">
        <v>6</v>
      </c>
      <c r="M868">
        <v>486310.2</v>
      </c>
      <c r="N868">
        <v>2917861.2</v>
      </c>
    </row>
    <row r="869" spans="1:14" x14ac:dyDescent="0.25">
      <c r="A869" t="s">
        <v>1616</v>
      </c>
      <c r="B869" t="s">
        <v>11</v>
      </c>
      <c r="C869">
        <v>43</v>
      </c>
      <c r="D869" t="s">
        <v>28</v>
      </c>
      <c r="E869" t="s">
        <v>19</v>
      </c>
      <c r="F869" t="s">
        <v>30</v>
      </c>
      <c r="G869">
        <v>4308942</v>
      </c>
      <c r="H869">
        <v>21.4</v>
      </c>
      <c r="I869">
        <v>-2.25</v>
      </c>
      <c r="J869" s="1">
        <v>43956</v>
      </c>
      <c r="K869">
        <v>220</v>
      </c>
      <c r="L869">
        <v>6</v>
      </c>
      <c r="M869">
        <v>430894.2</v>
      </c>
      <c r="N869">
        <v>2585365.2000000002</v>
      </c>
    </row>
    <row r="870" spans="1:14" x14ac:dyDescent="0.25">
      <c r="A870" t="s">
        <v>1617</v>
      </c>
      <c r="B870" t="s">
        <v>11</v>
      </c>
      <c r="C870">
        <v>47</v>
      </c>
      <c r="D870" t="s">
        <v>12</v>
      </c>
      <c r="E870" t="s">
        <v>50</v>
      </c>
      <c r="F870" t="s">
        <v>14</v>
      </c>
      <c r="G870">
        <v>1136739</v>
      </c>
      <c r="H870">
        <v>25.48</v>
      </c>
      <c r="I870">
        <v>-2.74</v>
      </c>
      <c r="J870" s="1">
        <v>43999</v>
      </c>
      <c r="K870">
        <v>335</v>
      </c>
      <c r="L870">
        <v>6</v>
      </c>
      <c r="M870">
        <v>113673.90000000001</v>
      </c>
      <c r="N870">
        <v>682043.4</v>
      </c>
    </row>
    <row r="871" spans="1:14" x14ac:dyDescent="0.25">
      <c r="A871" t="s">
        <v>1618</v>
      </c>
      <c r="B871" t="s">
        <v>11</v>
      </c>
      <c r="C871">
        <v>22</v>
      </c>
      <c r="D871" t="s">
        <v>46</v>
      </c>
      <c r="E871" t="s">
        <v>50</v>
      </c>
      <c r="F871" t="s">
        <v>14</v>
      </c>
      <c r="G871">
        <v>3221199</v>
      </c>
      <c r="H871">
        <v>23.34</v>
      </c>
      <c r="I871">
        <v>38.86</v>
      </c>
      <c r="J871" s="1">
        <v>43981</v>
      </c>
      <c r="K871">
        <v>326</v>
      </c>
      <c r="L871">
        <v>6</v>
      </c>
      <c r="M871">
        <v>322119.90000000002</v>
      </c>
      <c r="N871">
        <v>1932719.4000000001</v>
      </c>
    </row>
    <row r="872" spans="1:14" x14ac:dyDescent="0.25">
      <c r="A872" t="s">
        <v>1620</v>
      </c>
      <c r="B872" t="s">
        <v>17</v>
      </c>
      <c r="C872">
        <v>23</v>
      </c>
      <c r="D872" t="s">
        <v>18</v>
      </c>
      <c r="E872" t="s">
        <v>57</v>
      </c>
      <c r="F872" t="s">
        <v>41</v>
      </c>
      <c r="G872">
        <v>2286379</v>
      </c>
      <c r="H872">
        <v>8.2899999999999991</v>
      </c>
      <c r="I872">
        <v>-9.58</v>
      </c>
      <c r="J872" s="1">
        <v>44740</v>
      </c>
      <c r="K872">
        <v>288</v>
      </c>
      <c r="L872">
        <v>4</v>
      </c>
      <c r="M872">
        <v>228637.90000000002</v>
      </c>
      <c r="N872">
        <v>914551.60000000009</v>
      </c>
    </row>
    <row r="873" spans="1:14" x14ac:dyDescent="0.25">
      <c r="A873" t="s">
        <v>1622</v>
      </c>
      <c r="B873" t="s">
        <v>11</v>
      </c>
      <c r="C873">
        <v>51</v>
      </c>
      <c r="D873" t="s">
        <v>46</v>
      </c>
      <c r="E873" t="s">
        <v>57</v>
      </c>
      <c r="F873" t="s">
        <v>41</v>
      </c>
      <c r="G873">
        <v>1182047</v>
      </c>
      <c r="H873">
        <v>11.75</v>
      </c>
      <c r="I873">
        <v>40.450000000000003</v>
      </c>
      <c r="J873" s="1">
        <v>43338</v>
      </c>
      <c r="K873">
        <v>64</v>
      </c>
      <c r="L873">
        <v>7</v>
      </c>
      <c r="M873">
        <v>118204.70000000001</v>
      </c>
      <c r="N873">
        <v>827432.90000000014</v>
      </c>
    </row>
    <row r="874" spans="1:14" x14ac:dyDescent="0.25">
      <c r="A874" t="s">
        <v>1624</v>
      </c>
      <c r="B874" t="s">
        <v>17</v>
      </c>
      <c r="C874">
        <v>51</v>
      </c>
      <c r="D874" t="s">
        <v>18</v>
      </c>
      <c r="E874" t="s">
        <v>50</v>
      </c>
      <c r="F874" t="s">
        <v>30</v>
      </c>
      <c r="G874">
        <v>2057010</v>
      </c>
      <c r="H874">
        <v>34.67</v>
      </c>
      <c r="I874">
        <v>21.87</v>
      </c>
      <c r="J874" s="1">
        <v>45586</v>
      </c>
      <c r="K874">
        <v>276</v>
      </c>
      <c r="L874">
        <v>1</v>
      </c>
      <c r="M874">
        <v>205701</v>
      </c>
      <c r="N874">
        <v>205701</v>
      </c>
    </row>
    <row r="875" spans="1:14" x14ac:dyDescent="0.25">
      <c r="A875" t="s">
        <v>1626</v>
      </c>
      <c r="B875" t="s">
        <v>17</v>
      </c>
      <c r="C875">
        <v>29</v>
      </c>
      <c r="D875" t="s">
        <v>28</v>
      </c>
      <c r="E875" t="s">
        <v>13</v>
      </c>
      <c r="F875" t="s">
        <v>30</v>
      </c>
      <c r="G875">
        <v>1416474</v>
      </c>
      <c r="H875">
        <v>18.75</v>
      </c>
      <c r="I875">
        <v>34.51</v>
      </c>
      <c r="J875" s="1">
        <v>43670</v>
      </c>
      <c r="K875">
        <v>171</v>
      </c>
      <c r="L875">
        <v>6</v>
      </c>
      <c r="M875">
        <v>141647.4</v>
      </c>
      <c r="N875">
        <v>849884.39999999991</v>
      </c>
    </row>
    <row r="876" spans="1:14" x14ac:dyDescent="0.25">
      <c r="A876" t="s">
        <v>1627</v>
      </c>
      <c r="B876" t="s">
        <v>11</v>
      </c>
      <c r="C876">
        <v>52</v>
      </c>
      <c r="D876" t="s">
        <v>38</v>
      </c>
      <c r="E876" t="s">
        <v>29</v>
      </c>
      <c r="F876" t="s">
        <v>47</v>
      </c>
      <c r="G876">
        <v>4957322</v>
      </c>
      <c r="H876">
        <v>6.05</v>
      </c>
      <c r="I876">
        <v>40.56</v>
      </c>
      <c r="J876" s="1">
        <v>43111</v>
      </c>
      <c r="K876">
        <v>46</v>
      </c>
      <c r="L876">
        <v>8</v>
      </c>
      <c r="M876">
        <v>495732.2</v>
      </c>
      <c r="N876">
        <v>3965857.6</v>
      </c>
    </row>
    <row r="877" spans="1:14" x14ac:dyDescent="0.25">
      <c r="A877" t="s">
        <v>1629</v>
      </c>
      <c r="B877" t="s">
        <v>11</v>
      </c>
      <c r="C877">
        <v>36</v>
      </c>
      <c r="D877" t="s">
        <v>46</v>
      </c>
      <c r="E877" t="s">
        <v>23</v>
      </c>
      <c r="F877" t="s">
        <v>47</v>
      </c>
      <c r="G877">
        <v>4331293</v>
      </c>
      <c r="H877">
        <v>33.03</v>
      </c>
      <c r="I877">
        <v>35.270000000000003</v>
      </c>
      <c r="J877" s="1">
        <v>44522</v>
      </c>
      <c r="K877">
        <v>364</v>
      </c>
      <c r="L877">
        <v>4</v>
      </c>
      <c r="M877">
        <v>433129.30000000005</v>
      </c>
      <c r="N877">
        <v>1732517.2000000002</v>
      </c>
    </row>
    <row r="878" spans="1:14" x14ac:dyDescent="0.25">
      <c r="A878" t="s">
        <v>1630</v>
      </c>
      <c r="B878" t="s">
        <v>11</v>
      </c>
      <c r="C878">
        <v>27</v>
      </c>
      <c r="D878" t="s">
        <v>12</v>
      </c>
      <c r="E878" t="s">
        <v>13</v>
      </c>
      <c r="F878" t="s">
        <v>35</v>
      </c>
      <c r="G878">
        <v>4293674</v>
      </c>
      <c r="H878">
        <v>33.46</v>
      </c>
      <c r="I878">
        <v>9.31</v>
      </c>
      <c r="J878" s="1">
        <v>44463</v>
      </c>
      <c r="K878">
        <v>246</v>
      </c>
      <c r="L878">
        <v>4</v>
      </c>
      <c r="M878">
        <v>429367.4</v>
      </c>
      <c r="N878">
        <v>1717469.6</v>
      </c>
    </row>
    <row r="879" spans="1:14" x14ac:dyDescent="0.25">
      <c r="A879" t="s">
        <v>1632</v>
      </c>
      <c r="B879" t="s">
        <v>11</v>
      </c>
      <c r="C879">
        <v>45</v>
      </c>
      <c r="D879" t="s">
        <v>18</v>
      </c>
      <c r="E879" t="s">
        <v>23</v>
      </c>
      <c r="F879" t="s">
        <v>35</v>
      </c>
      <c r="G879">
        <v>1339434</v>
      </c>
      <c r="H879">
        <v>13.21</v>
      </c>
      <c r="I879">
        <v>-2.9</v>
      </c>
      <c r="J879" s="1">
        <v>44828</v>
      </c>
      <c r="K879">
        <v>232</v>
      </c>
      <c r="L879">
        <v>3</v>
      </c>
      <c r="M879">
        <v>133943.4</v>
      </c>
      <c r="N879">
        <v>401830.19999999995</v>
      </c>
    </row>
    <row r="880" spans="1:14" x14ac:dyDescent="0.25">
      <c r="A880" t="s">
        <v>1633</v>
      </c>
      <c r="B880" t="s">
        <v>17</v>
      </c>
      <c r="C880">
        <v>42</v>
      </c>
      <c r="D880" t="s">
        <v>28</v>
      </c>
      <c r="E880" t="s">
        <v>13</v>
      </c>
      <c r="F880" t="s">
        <v>41</v>
      </c>
      <c r="G880">
        <v>4164697</v>
      </c>
      <c r="H880">
        <v>31.01</v>
      </c>
      <c r="I880">
        <v>3.78</v>
      </c>
      <c r="J880" s="1">
        <v>43958</v>
      </c>
      <c r="K880">
        <v>149</v>
      </c>
      <c r="L880">
        <v>6</v>
      </c>
      <c r="M880">
        <v>416469.7</v>
      </c>
      <c r="N880">
        <v>2498818.2000000002</v>
      </c>
    </row>
    <row r="881" spans="1:14" x14ac:dyDescent="0.25">
      <c r="A881" t="s">
        <v>1635</v>
      </c>
      <c r="B881" t="s">
        <v>17</v>
      </c>
      <c r="C881">
        <v>51</v>
      </c>
      <c r="D881" t="s">
        <v>38</v>
      </c>
      <c r="E881" t="s">
        <v>23</v>
      </c>
      <c r="F881" t="s">
        <v>20</v>
      </c>
      <c r="G881">
        <v>4968461</v>
      </c>
      <c r="H881">
        <v>23.98</v>
      </c>
      <c r="I881">
        <v>19.53</v>
      </c>
      <c r="J881" s="1">
        <v>44767</v>
      </c>
      <c r="K881">
        <v>81</v>
      </c>
      <c r="L881">
        <v>3</v>
      </c>
      <c r="M881">
        <v>496846.10000000003</v>
      </c>
      <c r="N881">
        <v>1490538.3</v>
      </c>
    </row>
    <row r="882" spans="1:14" x14ac:dyDescent="0.25">
      <c r="A882" t="s">
        <v>1636</v>
      </c>
      <c r="B882" t="s">
        <v>11</v>
      </c>
      <c r="C882">
        <v>33</v>
      </c>
      <c r="D882" t="s">
        <v>46</v>
      </c>
      <c r="E882" t="s">
        <v>19</v>
      </c>
      <c r="F882" t="s">
        <v>35</v>
      </c>
      <c r="G882">
        <v>1145437</v>
      </c>
      <c r="H882">
        <v>16.850000000000001</v>
      </c>
      <c r="I882">
        <v>23.97</v>
      </c>
      <c r="J882" s="1">
        <v>43664</v>
      </c>
      <c r="K882">
        <v>186</v>
      </c>
      <c r="L882">
        <v>7</v>
      </c>
      <c r="M882">
        <v>114543.70000000001</v>
      </c>
      <c r="N882">
        <v>801805.90000000014</v>
      </c>
    </row>
    <row r="883" spans="1:14" x14ac:dyDescent="0.25">
      <c r="A883" t="s">
        <v>1637</v>
      </c>
      <c r="B883" t="s">
        <v>17</v>
      </c>
      <c r="C883">
        <v>41</v>
      </c>
      <c r="D883" t="s">
        <v>12</v>
      </c>
      <c r="E883" t="s">
        <v>13</v>
      </c>
      <c r="F883" t="s">
        <v>14</v>
      </c>
      <c r="G883">
        <v>2955031</v>
      </c>
      <c r="H883">
        <v>33.299999999999997</v>
      </c>
      <c r="I883">
        <v>-3.39</v>
      </c>
      <c r="J883" s="1">
        <v>43528</v>
      </c>
      <c r="K883">
        <v>35</v>
      </c>
      <c r="L883">
        <v>7</v>
      </c>
      <c r="M883">
        <v>295503.10000000003</v>
      </c>
      <c r="N883">
        <v>2068521.7000000002</v>
      </c>
    </row>
    <row r="884" spans="1:14" x14ac:dyDescent="0.25">
      <c r="A884" t="s">
        <v>1639</v>
      </c>
      <c r="B884" t="s">
        <v>17</v>
      </c>
      <c r="C884">
        <v>30</v>
      </c>
      <c r="D884" t="s">
        <v>46</v>
      </c>
      <c r="E884" t="s">
        <v>23</v>
      </c>
      <c r="F884" t="s">
        <v>47</v>
      </c>
      <c r="G884">
        <v>3590192</v>
      </c>
      <c r="H884">
        <v>33.770000000000003</v>
      </c>
      <c r="I884">
        <v>7.86</v>
      </c>
      <c r="J884" s="1">
        <v>43567</v>
      </c>
      <c r="K884">
        <v>211</v>
      </c>
      <c r="L884">
        <v>7</v>
      </c>
      <c r="M884">
        <v>359019.2</v>
      </c>
      <c r="N884">
        <v>2513134.4</v>
      </c>
    </row>
    <row r="885" spans="1:14" x14ac:dyDescent="0.25">
      <c r="A885" t="s">
        <v>1640</v>
      </c>
      <c r="B885" t="s">
        <v>11</v>
      </c>
      <c r="C885">
        <v>29</v>
      </c>
      <c r="D885" t="s">
        <v>38</v>
      </c>
      <c r="E885" t="s">
        <v>57</v>
      </c>
      <c r="F885" t="s">
        <v>41</v>
      </c>
      <c r="G885">
        <v>2557161</v>
      </c>
      <c r="H885">
        <v>13.89</v>
      </c>
      <c r="I885">
        <v>23.62</v>
      </c>
      <c r="J885" s="1">
        <v>44244</v>
      </c>
      <c r="K885">
        <v>58</v>
      </c>
      <c r="L885">
        <v>5</v>
      </c>
      <c r="M885">
        <v>255716.1</v>
      </c>
      <c r="N885">
        <v>1278580.5</v>
      </c>
    </row>
    <row r="886" spans="1:14" x14ac:dyDescent="0.25">
      <c r="A886" t="s">
        <v>1642</v>
      </c>
      <c r="B886" t="s">
        <v>11</v>
      </c>
      <c r="C886">
        <v>35</v>
      </c>
      <c r="D886" t="s">
        <v>12</v>
      </c>
      <c r="E886" t="s">
        <v>13</v>
      </c>
      <c r="F886" t="s">
        <v>47</v>
      </c>
      <c r="G886">
        <v>1721458</v>
      </c>
      <c r="H886">
        <v>13.63</v>
      </c>
      <c r="I886">
        <v>25.99</v>
      </c>
      <c r="J886" s="1">
        <v>44081</v>
      </c>
      <c r="K886">
        <v>307</v>
      </c>
      <c r="L886">
        <v>5</v>
      </c>
      <c r="M886">
        <v>172145.80000000002</v>
      </c>
      <c r="N886">
        <v>860729.00000000012</v>
      </c>
    </row>
    <row r="887" spans="1:14" x14ac:dyDescent="0.25">
      <c r="A887" t="s">
        <v>1644</v>
      </c>
      <c r="B887" t="s">
        <v>17</v>
      </c>
      <c r="C887">
        <v>65</v>
      </c>
      <c r="D887" t="s">
        <v>38</v>
      </c>
      <c r="E887" t="s">
        <v>23</v>
      </c>
      <c r="F887" t="s">
        <v>14</v>
      </c>
      <c r="G887">
        <v>1832220</v>
      </c>
      <c r="H887">
        <v>23.18</v>
      </c>
      <c r="I887">
        <v>13.08</v>
      </c>
      <c r="J887" s="1">
        <v>44978</v>
      </c>
      <c r="K887">
        <v>147</v>
      </c>
      <c r="L887">
        <v>3</v>
      </c>
      <c r="M887">
        <v>183222</v>
      </c>
      <c r="N887">
        <v>549666</v>
      </c>
    </row>
    <row r="888" spans="1:14" x14ac:dyDescent="0.25">
      <c r="A888" t="s">
        <v>1646</v>
      </c>
      <c r="B888" t="s">
        <v>11</v>
      </c>
      <c r="C888">
        <v>22</v>
      </c>
      <c r="D888" t="s">
        <v>38</v>
      </c>
      <c r="E888" t="s">
        <v>23</v>
      </c>
      <c r="F888" t="s">
        <v>35</v>
      </c>
      <c r="G888">
        <v>201373</v>
      </c>
      <c r="H888">
        <v>16.75</v>
      </c>
      <c r="I888">
        <v>3.59</v>
      </c>
      <c r="J888" s="1">
        <v>43918</v>
      </c>
      <c r="K888">
        <v>129</v>
      </c>
      <c r="L888">
        <v>6</v>
      </c>
      <c r="M888">
        <v>20137.300000000003</v>
      </c>
      <c r="N888">
        <v>120823.80000000002</v>
      </c>
    </row>
    <row r="889" spans="1:14" x14ac:dyDescent="0.25">
      <c r="A889" t="s">
        <v>1647</v>
      </c>
      <c r="B889" t="s">
        <v>17</v>
      </c>
      <c r="C889">
        <v>64</v>
      </c>
      <c r="D889" t="s">
        <v>12</v>
      </c>
      <c r="E889" t="s">
        <v>50</v>
      </c>
      <c r="F889" t="s">
        <v>47</v>
      </c>
      <c r="G889">
        <v>708309</v>
      </c>
      <c r="H889">
        <v>28.48</v>
      </c>
      <c r="I889">
        <v>6.32</v>
      </c>
      <c r="J889" s="1">
        <v>44037</v>
      </c>
      <c r="K889">
        <v>80</v>
      </c>
      <c r="L889">
        <v>5</v>
      </c>
      <c r="M889">
        <v>70830.900000000009</v>
      </c>
      <c r="N889">
        <v>354154.50000000006</v>
      </c>
    </row>
    <row r="890" spans="1:14" x14ac:dyDescent="0.25">
      <c r="A890" t="s">
        <v>1649</v>
      </c>
      <c r="B890" t="s">
        <v>17</v>
      </c>
      <c r="C890">
        <v>27</v>
      </c>
      <c r="D890" t="s">
        <v>18</v>
      </c>
      <c r="E890" t="s">
        <v>57</v>
      </c>
      <c r="F890" t="s">
        <v>20</v>
      </c>
      <c r="G890">
        <v>3687969</v>
      </c>
      <c r="H890">
        <v>10.66</v>
      </c>
      <c r="I890">
        <v>-9.98</v>
      </c>
      <c r="J890" s="1">
        <v>44158</v>
      </c>
      <c r="K890">
        <v>195</v>
      </c>
      <c r="L890">
        <v>5</v>
      </c>
      <c r="M890">
        <v>368796.9</v>
      </c>
      <c r="N890">
        <v>1843984.5</v>
      </c>
    </row>
    <row r="891" spans="1:14" x14ac:dyDescent="0.25">
      <c r="A891" t="s">
        <v>1651</v>
      </c>
      <c r="B891" t="s">
        <v>11</v>
      </c>
      <c r="C891">
        <v>49</v>
      </c>
      <c r="D891" t="s">
        <v>12</v>
      </c>
      <c r="E891" t="s">
        <v>13</v>
      </c>
      <c r="F891" t="s">
        <v>20</v>
      </c>
      <c r="G891">
        <v>4621601</v>
      </c>
      <c r="H891">
        <v>24.15</v>
      </c>
      <c r="I891">
        <v>3.18</v>
      </c>
      <c r="J891" s="1">
        <v>43995</v>
      </c>
      <c r="K891">
        <v>231</v>
      </c>
      <c r="L891">
        <v>6</v>
      </c>
      <c r="M891">
        <v>462160.10000000003</v>
      </c>
      <c r="N891">
        <v>2772960.6</v>
      </c>
    </row>
    <row r="892" spans="1:14" x14ac:dyDescent="0.25">
      <c r="A892" t="s">
        <v>1653</v>
      </c>
      <c r="B892" t="s">
        <v>11</v>
      </c>
      <c r="C892">
        <v>48</v>
      </c>
      <c r="D892" t="s">
        <v>18</v>
      </c>
      <c r="E892" t="s">
        <v>29</v>
      </c>
      <c r="F892" t="s">
        <v>35</v>
      </c>
      <c r="G892">
        <v>447639</v>
      </c>
      <c r="H892">
        <v>21.71</v>
      </c>
      <c r="I892">
        <v>4.05</v>
      </c>
      <c r="J892" s="1">
        <v>43917</v>
      </c>
      <c r="K892">
        <v>334</v>
      </c>
      <c r="L892">
        <v>6</v>
      </c>
      <c r="M892">
        <v>44763.9</v>
      </c>
      <c r="N892">
        <v>268583.40000000002</v>
      </c>
    </row>
    <row r="893" spans="1:14" x14ac:dyDescent="0.25">
      <c r="A893" t="s">
        <v>1654</v>
      </c>
      <c r="B893" t="s">
        <v>11</v>
      </c>
      <c r="C893">
        <v>34</v>
      </c>
      <c r="D893" t="s">
        <v>12</v>
      </c>
      <c r="E893" t="s">
        <v>29</v>
      </c>
      <c r="F893" t="s">
        <v>20</v>
      </c>
      <c r="G893">
        <v>1333855</v>
      </c>
      <c r="H893">
        <v>21.57</v>
      </c>
      <c r="I893">
        <v>16.59</v>
      </c>
      <c r="J893" s="1">
        <v>45565</v>
      </c>
      <c r="K893">
        <v>187</v>
      </c>
      <c r="L893">
        <v>1</v>
      </c>
      <c r="M893">
        <v>133385.5</v>
      </c>
      <c r="N893">
        <v>133385.5</v>
      </c>
    </row>
    <row r="894" spans="1:14" x14ac:dyDescent="0.25">
      <c r="A894" t="s">
        <v>1655</v>
      </c>
      <c r="B894" t="s">
        <v>17</v>
      </c>
      <c r="C894">
        <v>30</v>
      </c>
      <c r="D894" t="s">
        <v>38</v>
      </c>
      <c r="E894" t="s">
        <v>23</v>
      </c>
      <c r="F894" t="s">
        <v>20</v>
      </c>
      <c r="G894">
        <v>3668472</v>
      </c>
      <c r="H894">
        <v>27.64</v>
      </c>
      <c r="I894">
        <v>13.96</v>
      </c>
      <c r="J894" s="1">
        <v>44657</v>
      </c>
      <c r="K894">
        <v>96</v>
      </c>
      <c r="L894">
        <v>4</v>
      </c>
      <c r="M894">
        <v>366847.2</v>
      </c>
      <c r="N894">
        <v>1467388.8</v>
      </c>
    </row>
    <row r="895" spans="1:14" x14ac:dyDescent="0.25">
      <c r="A895" t="s">
        <v>1657</v>
      </c>
      <c r="B895" t="s">
        <v>17</v>
      </c>
      <c r="C895">
        <v>22</v>
      </c>
      <c r="D895" t="s">
        <v>38</v>
      </c>
      <c r="E895" t="s">
        <v>13</v>
      </c>
      <c r="F895" t="s">
        <v>14</v>
      </c>
      <c r="G895">
        <v>4768210</v>
      </c>
      <c r="H895">
        <v>27.22</v>
      </c>
      <c r="I895">
        <v>28.67</v>
      </c>
      <c r="J895" s="1">
        <v>45318</v>
      </c>
      <c r="K895">
        <v>124</v>
      </c>
      <c r="L895">
        <v>2</v>
      </c>
      <c r="M895">
        <v>476821</v>
      </c>
      <c r="N895">
        <v>953642</v>
      </c>
    </row>
    <row r="896" spans="1:14" x14ac:dyDescent="0.25">
      <c r="A896" t="s">
        <v>1659</v>
      </c>
      <c r="B896" t="s">
        <v>17</v>
      </c>
      <c r="C896">
        <v>37</v>
      </c>
      <c r="D896" t="s">
        <v>38</v>
      </c>
      <c r="E896" t="s">
        <v>23</v>
      </c>
      <c r="F896" t="s">
        <v>47</v>
      </c>
      <c r="G896">
        <v>4054659</v>
      </c>
      <c r="H896">
        <v>20.5</v>
      </c>
      <c r="I896">
        <v>12.56</v>
      </c>
      <c r="J896" s="1">
        <v>44380</v>
      </c>
      <c r="K896">
        <v>171</v>
      </c>
      <c r="L896">
        <v>5</v>
      </c>
      <c r="M896">
        <v>405465.9</v>
      </c>
      <c r="N896">
        <v>2027329.5</v>
      </c>
    </row>
    <row r="897" spans="1:14" x14ac:dyDescent="0.25">
      <c r="A897" t="s">
        <v>1661</v>
      </c>
      <c r="B897" t="s">
        <v>11</v>
      </c>
      <c r="C897">
        <v>47</v>
      </c>
      <c r="D897" t="s">
        <v>12</v>
      </c>
      <c r="E897" t="s">
        <v>23</v>
      </c>
      <c r="F897" t="s">
        <v>47</v>
      </c>
      <c r="G897">
        <v>3704879</v>
      </c>
      <c r="H897">
        <v>19.440000000000001</v>
      </c>
      <c r="I897">
        <v>15.67</v>
      </c>
      <c r="J897" s="1">
        <v>44354</v>
      </c>
      <c r="K897">
        <v>285</v>
      </c>
      <c r="L897">
        <v>5</v>
      </c>
      <c r="M897">
        <v>370487.9</v>
      </c>
      <c r="N897">
        <v>1852439.5</v>
      </c>
    </row>
    <row r="898" spans="1:14" x14ac:dyDescent="0.25">
      <c r="A898" t="s">
        <v>1662</v>
      </c>
      <c r="B898" t="s">
        <v>17</v>
      </c>
      <c r="C898">
        <v>59</v>
      </c>
      <c r="D898" t="s">
        <v>28</v>
      </c>
      <c r="E898" t="s">
        <v>29</v>
      </c>
      <c r="F898" t="s">
        <v>20</v>
      </c>
      <c r="G898">
        <v>3061248</v>
      </c>
      <c r="H898">
        <v>26.37</v>
      </c>
      <c r="I898">
        <v>24.54</v>
      </c>
      <c r="J898" s="1">
        <v>45013</v>
      </c>
      <c r="K898">
        <v>219</v>
      </c>
      <c r="L898">
        <v>3</v>
      </c>
      <c r="M898">
        <v>306124.79999999999</v>
      </c>
      <c r="N898">
        <v>918374.39999999991</v>
      </c>
    </row>
    <row r="899" spans="1:14" x14ac:dyDescent="0.25">
      <c r="A899" t="s">
        <v>1663</v>
      </c>
      <c r="B899" t="s">
        <v>17</v>
      </c>
      <c r="C899">
        <v>56</v>
      </c>
      <c r="D899" t="s">
        <v>28</v>
      </c>
      <c r="E899" t="s">
        <v>50</v>
      </c>
      <c r="F899" t="s">
        <v>14</v>
      </c>
      <c r="G899">
        <v>4184229</v>
      </c>
      <c r="H899">
        <v>29.04</v>
      </c>
      <c r="I899">
        <v>5.04</v>
      </c>
      <c r="J899" s="1">
        <v>44144</v>
      </c>
      <c r="K899">
        <v>27</v>
      </c>
      <c r="L899">
        <v>5</v>
      </c>
      <c r="M899">
        <v>418422.9</v>
      </c>
      <c r="N899">
        <v>2092114.5</v>
      </c>
    </row>
    <row r="900" spans="1:14" x14ac:dyDescent="0.25">
      <c r="A900" t="s">
        <v>1664</v>
      </c>
      <c r="B900" t="s">
        <v>17</v>
      </c>
      <c r="C900">
        <v>45</v>
      </c>
      <c r="D900" t="s">
        <v>46</v>
      </c>
      <c r="E900" t="s">
        <v>50</v>
      </c>
      <c r="F900" t="s">
        <v>20</v>
      </c>
      <c r="G900">
        <v>2863688</v>
      </c>
      <c r="H900">
        <v>5.44</v>
      </c>
      <c r="I900">
        <v>13.28</v>
      </c>
      <c r="J900" s="1">
        <v>44858</v>
      </c>
      <c r="K900">
        <v>148</v>
      </c>
      <c r="L900">
        <v>3</v>
      </c>
      <c r="M900">
        <v>286368.8</v>
      </c>
      <c r="N900">
        <v>859106.39999999991</v>
      </c>
    </row>
    <row r="901" spans="1:14" x14ac:dyDescent="0.25">
      <c r="A901" t="s">
        <v>1665</v>
      </c>
      <c r="B901" t="s">
        <v>17</v>
      </c>
      <c r="C901">
        <v>38</v>
      </c>
      <c r="D901" t="s">
        <v>12</v>
      </c>
      <c r="E901" t="s">
        <v>23</v>
      </c>
      <c r="F901" t="s">
        <v>47</v>
      </c>
      <c r="G901">
        <v>4184417</v>
      </c>
      <c r="H901">
        <v>34.1</v>
      </c>
      <c r="I901">
        <v>34.049999999999997</v>
      </c>
      <c r="J901" s="1">
        <v>43375</v>
      </c>
      <c r="K901">
        <v>313</v>
      </c>
      <c r="L901">
        <v>7</v>
      </c>
      <c r="M901">
        <v>418441.7</v>
      </c>
      <c r="N901">
        <v>2929091.9</v>
      </c>
    </row>
    <row r="902" spans="1:14" x14ac:dyDescent="0.25">
      <c r="A902" t="s">
        <v>1667</v>
      </c>
      <c r="B902" t="s">
        <v>11</v>
      </c>
      <c r="C902">
        <v>24</v>
      </c>
      <c r="D902" t="s">
        <v>38</v>
      </c>
      <c r="E902" t="s">
        <v>19</v>
      </c>
      <c r="F902" t="s">
        <v>14</v>
      </c>
      <c r="G902">
        <v>4003703</v>
      </c>
      <c r="H902">
        <v>32.130000000000003</v>
      </c>
      <c r="I902">
        <v>38.75</v>
      </c>
      <c r="J902" s="1">
        <v>45351</v>
      </c>
      <c r="K902">
        <v>60</v>
      </c>
      <c r="L902">
        <v>2</v>
      </c>
      <c r="M902">
        <v>400370.30000000005</v>
      </c>
      <c r="N902">
        <v>800740.60000000009</v>
      </c>
    </row>
    <row r="903" spans="1:14" x14ac:dyDescent="0.25">
      <c r="A903" t="s">
        <v>1669</v>
      </c>
      <c r="B903" t="s">
        <v>11</v>
      </c>
      <c r="C903">
        <v>27</v>
      </c>
      <c r="D903" t="s">
        <v>46</v>
      </c>
      <c r="E903" t="s">
        <v>19</v>
      </c>
      <c r="F903" t="s">
        <v>47</v>
      </c>
      <c r="G903">
        <v>2268967</v>
      </c>
      <c r="H903">
        <v>19.8</v>
      </c>
      <c r="I903">
        <v>-8.75</v>
      </c>
      <c r="J903" s="1">
        <v>43750</v>
      </c>
      <c r="K903">
        <v>228</v>
      </c>
      <c r="L903">
        <v>6</v>
      </c>
      <c r="M903">
        <v>226896.7</v>
      </c>
      <c r="N903">
        <v>1361380.2000000002</v>
      </c>
    </row>
    <row r="904" spans="1:14" x14ac:dyDescent="0.25">
      <c r="A904" t="s">
        <v>1671</v>
      </c>
      <c r="B904" t="s">
        <v>17</v>
      </c>
      <c r="C904">
        <v>28</v>
      </c>
      <c r="D904" t="s">
        <v>46</v>
      </c>
      <c r="E904" t="s">
        <v>19</v>
      </c>
      <c r="F904" t="s">
        <v>41</v>
      </c>
      <c r="G904">
        <v>4189898</v>
      </c>
      <c r="H904">
        <v>19.04</v>
      </c>
      <c r="I904">
        <v>-2.08</v>
      </c>
      <c r="J904" s="1">
        <v>44345</v>
      </c>
      <c r="K904">
        <v>310</v>
      </c>
      <c r="L904">
        <v>5</v>
      </c>
      <c r="M904">
        <v>418989.80000000005</v>
      </c>
      <c r="N904">
        <v>2094949.0000000002</v>
      </c>
    </row>
    <row r="905" spans="1:14" x14ac:dyDescent="0.25">
      <c r="A905" t="s">
        <v>1673</v>
      </c>
      <c r="B905" t="s">
        <v>11</v>
      </c>
      <c r="C905">
        <v>30</v>
      </c>
      <c r="D905" t="s">
        <v>46</v>
      </c>
      <c r="E905" t="s">
        <v>57</v>
      </c>
      <c r="F905" t="s">
        <v>47</v>
      </c>
      <c r="G905">
        <v>4859723</v>
      </c>
      <c r="H905">
        <v>7.16</v>
      </c>
      <c r="I905">
        <v>26.84</v>
      </c>
      <c r="J905" s="1">
        <v>44642</v>
      </c>
      <c r="K905">
        <v>248</v>
      </c>
      <c r="L905">
        <v>4</v>
      </c>
      <c r="M905">
        <v>485972.30000000005</v>
      </c>
      <c r="N905">
        <v>1943889.2000000002</v>
      </c>
    </row>
    <row r="906" spans="1:14" x14ac:dyDescent="0.25">
      <c r="A906" t="s">
        <v>1675</v>
      </c>
      <c r="B906" t="s">
        <v>17</v>
      </c>
      <c r="C906">
        <v>54</v>
      </c>
      <c r="D906" t="s">
        <v>18</v>
      </c>
      <c r="E906" t="s">
        <v>50</v>
      </c>
      <c r="F906" t="s">
        <v>47</v>
      </c>
      <c r="G906">
        <v>2147254</v>
      </c>
      <c r="H906">
        <v>20.32</v>
      </c>
      <c r="I906">
        <v>31.42</v>
      </c>
      <c r="J906" s="1">
        <v>43105</v>
      </c>
      <c r="K906">
        <v>235</v>
      </c>
      <c r="L906">
        <v>8</v>
      </c>
      <c r="M906">
        <v>214725.40000000002</v>
      </c>
      <c r="N906">
        <v>1717803.2000000002</v>
      </c>
    </row>
    <row r="907" spans="1:14" x14ac:dyDescent="0.25">
      <c r="A907" t="s">
        <v>1676</v>
      </c>
      <c r="B907" t="s">
        <v>11</v>
      </c>
      <c r="C907">
        <v>22</v>
      </c>
      <c r="D907" t="s">
        <v>28</v>
      </c>
      <c r="E907" t="s">
        <v>57</v>
      </c>
      <c r="F907" t="s">
        <v>41</v>
      </c>
      <c r="G907">
        <v>3649515</v>
      </c>
      <c r="H907">
        <v>33.32</v>
      </c>
      <c r="I907">
        <v>42.3</v>
      </c>
      <c r="J907" s="1">
        <v>45553</v>
      </c>
      <c r="K907">
        <v>246</v>
      </c>
      <c r="L907">
        <v>1</v>
      </c>
      <c r="M907">
        <v>364951.5</v>
      </c>
      <c r="N907">
        <v>364951.5</v>
      </c>
    </row>
    <row r="908" spans="1:14" x14ac:dyDescent="0.25">
      <c r="A908" t="s">
        <v>1678</v>
      </c>
      <c r="B908" t="s">
        <v>17</v>
      </c>
      <c r="C908">
        <v>51</v>
      </c>
      <c r="D908" t="s">
        <v>38</v>
      </c>
      <c r="E908" t="s">
        <v>23</v>
      </c>
      <c r="F908" t="s">
        <v>14</v>
      </c>
      <c r="G908">
        <v>740707</v>
      </c>
      <c r="H908">
        <v>31.2</v>
      </c>
      <c r="I908">
        <v>-7.85</v>
      </c>
      <c r="J908" s="1">
        <v>44201</v>
      </c>
      <c r="K908">
        <v>288</v>
      </c>
      <c r="L908">
        <v>5</v>
      </c>
      <c r="M908">
        <v>74070.7</v>
      </c>
      <c r="N908">
        <v>370353.5</v>
      </c>
    </row>
    <row r="909" spans="1:14" x14ac:dyDescent="0.25">
      <c r="A909" t="s">
        <v>1680</v>
      </c>
      <c r="B909" t="s">
        <v>11</v>
      </c>
      <c r="C909">
        <v>53</v>
      </c>
      <c r="D909" t="s">
        <v>46</v>
      </c>
      <c r="E909" t="s">
        <v>19</v>
      </c>
      <c r="F909" t="s">
        <v>14</v>
      </c>
      <c r="G909">
        <v>3585634</v>
      </c>
      <c r="H909">
        <v>9.1</v>
      </c>
      <c r="I909">
        <v>-0.8</v>
      </c>
      <c r="J909" s="1">
        <v>44908</v>
      </c>
      <c r="K909">
        <v>161</v>
      </c>
      <c r="L909">
        <v>3</v>
      </c>
      <c r="M909">
        <v>358563.4</v>
      </c>
      <c r="N909">
        <v>1075690.2000000002</v>
      </c>
    </row>
    <row r="910" spans="1:14" x14ac:dyDescent="0.25">
      <c r="A910" t="s">
        <v>1682</v>
      </c>
      <c r="B910" t="s">
        <v>11</v>
      </c>
      <c r="C910">
        <v>57</v>
      </c>
      <c r="D910" t="s">
        <v>18</v>
      </c>
      <c r="E910" t="s">
        <v>13</v>
      </c>
      <c r="F910" t="s">
        <v>14</v>
      </c>
      <c r="G910">
        <v>2472422</v>
      </c>
      <c r="H910">
        <v>18.8</v>
      </c>
      <c r="I910">
        <v>30.62</v>
      </c>
      <c r="J910" s="1">
        <v>45066</v>
      </c>
      <c r="K910">
        <v>100</v>
      </c>
      <c r="L910">
        <v>3</v>
      </c>
      <c r="M910">
        <v>247242.2</v>
      </c>
      <c r="N910">
        <v>741726.60000000009</v>
      </c>
    </row>
    <row r="911" spans="1:14" x14ac:dyDescent="0.25">
      <c r="A911" t="s">
        <v>1683</v>
      </c>
      <c r="B911" t="s">
        <v>17</v>
      </c>
      <c r="C911">
        <v>44</v>
      </c>
      <c r="D911" t="s">
        <v>18</v>
      </c>
      <c r="E911" t="s">
        <v>50</v>
      </c>
      <c r="F911" t="s">
        <v>41</v>
      </c>
      <c r="G911">
        <v>2395056</v>
      </c>
      <c r="H911">
        <v>9.24</v>
      </c>
      <c r="I911">
        <v>-4</v>
      </c>
      <c r="J911" s="1">
        <v>44647</v>
      </c>
      <c r="K911">
        <v>132</v>
      </c>
      <c r="L911">
        <v>4</v>
      </c>
      <c r="M911">
        <v>239505.6</v>
      </c>
      <c r="N911">
        <v>958022.4</v>
      </c>
    </row>
    <row r="912" spans="1:14" x14ac:dyDescent="0.25">
      <c r="A912" t="s">
        <v>1685</v>
      </c>
      <c r="B912" t="s">
        <v>11</v>
      </c>
      <c r="C912">
        <v>62</v>
      </c>
      <c r="D912" t="s">
        <v>18</v>
      </c>
      <c r="E912" t="s">
        <v>29</v>
      </c>
      <c r="F912" t="s">
        <v>20</v>
      </c>
      <c r="G912">
        <v>460391</v>
      </c>
      <c r="H912">
        <v>26.53</v>
      </c>
      <c r="I912">
        <v>19.25</v>
      </c>
      <c r="J912" s="1">
        <v>43807</v>
      </c>
      <c r="K912">
        <v>37</v>
      </c>
      <c r="L912">
        <v>6</v>
      </c>
      <c r="M912">
        <v>46039.100000000006</v>
      </c>
      <c r="N912">
        <v>276234.60000000003</v>
      </c>
    </row>
    <row r="913" spans="1:14" x14ac:dyDescent="0.25">
      <c r="A913" t="s">
        <v>1686</v>
      </c>
      <c r="B913" t="s">
        <v>11</v>
      </c>
      <c r="C913">
        <v>44</v>
      </c>
      <c r="D913" t="s">
        <v>38</v>
      </c>
      <c r="E913" t="s">
        <v>57</v>
      </c>
      <c r="F913" t="s">
        <v>14</v>
      </c>
      <c r="G913">
        <v>3425964</v>
      </c>
      <c r="H913">
        <v>34.549999999999997</v>
      </c>
      <c r="I913">
        <v>26.45</v>
      </c>
      <c r="J913" s="1">
        <v>43904</v>
      </c>
      <c r="K913">
        <v>295</v>
      </c>
      <c r="L913">
        <v>6</v>
      </c>
      <c r="M913">
        <v>342596.4</v>
      </c>
      <c r="N913">
        <v>2055578.4000000001</v>
      </c>
    </row>
    <row r="914" spans="1:14" x14ac:dyDescent="0.25">
      <c r="A914" t="s">
        <v>1688</v>
      </c>
      <c r="B914" t="s">
        <v>17</v>
      </c>
      <c r="C914">
        <v>65</v>
      </c>
      <c r="D914" t="s">
        <v>28</v>
      </c>
      <c r="E914" t="s">
        <v>50</v>
      </c>
      <c r="F914" t="s">
        <v>41</v>
      </c>
      <c r="G914">
        <v>3124518</v>
      </c>
      <c r="H914">
        <v>5.98</v>
      </c>
      <c r="I914">
        <v>32.65</v>
      </c>
      <c r="J914" s="1">
        <v>44278</v>
      </c>
      <c r="K914">
        <v>104</v>
      </c>
      <c r="L914">
        <v>5</v>
      </c>
      <c r="M914">
        <v>312451.8</v>
      </c>
      <c r="N914">
        <v>1562259</v>
      </c>
    </row>
    <row r="915" spans="1:14" x14ac:dyDescent="0.25">
      <c r="A915" t="s">
        <v>1689</v>
      </c>
      <c r="B915" t="s">
        <v>11</v>
      </c>
      <c r="C915">
        <v>44</v>
      </c>
      <c r="D915" t="s">
        <v>12</v>
      </c>
      <c r="E915" t="s">
        <v>13</v>
      </c>
      <c r="F915" t="s">
        <v>47</v>
      </c>
      <c r="G915">
        <v>1800329</v>
      </c>
      <c r="H915">
        <v>32.81</v>
      </c>
      <c r="I915">
        <v>41.83</v>
      </c>
      <c r="J915" s="1">
        <v>44798</v>
      </c>
      <c r="K915">
        <v>228</v>
      </c>
      <c r="L915">
        <v>3</v>
      </c>
      <c r="M915">
        <v>180032.90000000002</v>
      </c>
      <c r="N915">
        <v>540098.70000000007</v>
      </c>
    </row>
    <row r="916" spans="1:14" x14ac:dyDescent="0.25">
      <c r="A916" t="s">
        <v>1691</v>
      </c>
      <c r="B916" t="s">
        <v>17</v>
      </c>
      <c r="C916">
        <v>64</v>
      </c>
      <c r="D916" t="s">
        <v>28</v>
      </c>
      <c r="E916" t="s">
        <v>19</v>
      </c>
      <c r="F916" t="s">
        <v>47</v>
      </c>
      <c r="G916">
        <v>3285994</v>
      </c>
      <c r="H916">
        <v>20.07</v>
      </c>
      <c r="I916">
        <v>3.13</v>
      </c>
      <c r="J916" s="1">
        <v>45220</v>
      </c>
      <c r="K916">
        <v>264</v>
      </c>
      <c r="L916">
        <v>2</v>
      </c>
      <c r="M916">
        <v>328599.40000000002</v>
      </c>
      <c r="N916">
        <v>657198.80000000005</v>
      </c>
    </row>
    <row r="917" spans="1:14" x14ac:dyDescent="0.25">
      <c r="A917" t="s">
        <v>1693</v>
      </c>
      <c r="B917" t="s">
        <v>11</v>
      </c>
      <c r="C917">
        <v>32</v>
      </c>
      <c r="D917" t="s">
        <v>38</v>
      </c>
      <c r="E917" t="s">
        <v>23</v>
      </c>
      <c r="F917" t="s">
        <v>30</v>
      </c>
      <c r="G917">
        <v>301956</v>
      </c>
      <c r="H917">
        <v>7.69</v>
      </c>
      <c r="I917">
        <v>17.09</v>
      </c>
      <c r="J917" s="1">
        <v>44730</v>
      </c>
      <c r="K917">
        <v>61</v>
      </c>
      <c r="L917">
        <v>4</v>
      </c>
      <c r="M917">
        <v>30195.600000000002</v>
      </c>
      <c r="N917">
        <v>120782.40000000001</v>
      </c>
    </row>
    <row r="918" spans="1:14" x14ac:dyDescent="0.25">
      <c r="A918" t="s">
        <v>1695</v>
      </c>
      <c r="B918" t="s">
        <v>17</v>
      </c>
      <c r="C918">
        <v>57</v>
      </c>
      <c r="D918" t="s">
        <v>18</v>
      </c>
      <c r="E918" t="s">
        <v>13</v>
      </c>
      <c r="F918" t="s">
        <v>20</v>
      </c>
      <c r="G918">
        <v>3589553</v>
      </c>
      <c r="H918">
        <v>32.04</v>
      </c>
      <c r="I918">
        <v>11.68</v>
      </c>
      <c r="J918" s="1">
        <v>44494</v>
      </c>
      <c r="K918">
        <v>247</v>
      </c>
      <c r="L918">
        <v>4</v>
      </c>
      <c r="M918">
        <v>358955.30000000005</v>
      </c>
      <c r="N918">
        <v>1435821.2000000002</v>
      </c>
    </row>
    <row r="919" spans="1:14" x14ac:dyDescent="0.25">
      <c r="A919" t="s">
        <v>1696</v>
      </c>
      <c r="B919" t="s">
        <v>17</v>
      </c>
      <c r="C919">
        <v>35</v>
      </c>
      <c r="D919" t="s">
        <v>18</v>
      </c>
      <c r="E919" t="s">
        <v>23</v>
      </c>
      <c r="F919" t="s">
        <v>41</v>
      </c>
      <c r="G919">
        <v>3112947</v>
      </c>
      <c r="H919">
        <v>14.74</v>
      </c>
      <c r="I919">
        <v>21</v>
      </c>
      <c r="J919" s="1">
        <v>45288</v>
      </c>
      <c r="K919">
        <v>64</v>
      </c>
      <c r="L919">
        <v>2</v>
      </c>
      <c r="M919">
        <v>311294.7</v>
      </c>
      <c r="N919">
        <v>622589.4</v>
      </c>
    </row>
    <row r="920" spans="1:14" x14ac:dyDescent="0.25">
      <c r="A920" t="s">
        <v>1698</v>
      </c>
      <c r="B920" t="s">
        <v>11</v>
      </c>
      <c r="C920">
        <v>27</v>
      </c>
      <c r="D920" t="s">
        <v>18</v>
      </c>
      <c r="E920" t="s">
        <v>57</v>
      </c>
      <c r="F920" t="s">
        <v>20</v>
      </c>
      <c r="G920">
        <v>4338464</v>
      </c>
      <c r="H920">
        <v>31.76</v>
      </c>
      <c r="I920">
        <v>13.25</v>
      </c>
      <c r="J920" s="1">
        <v>43245</v>
      </c>
      <c r="K920">
        <v>266</v>
      </c>
      <c r="L920">
        <v>8</v>
      </c>
      <c r="M920">
        <v>433846.4</v>
      </c>
      <c r="N920">
        <v>3470771.2</v>
      </c>
    </row>
    <row r="921" spans="1:14" x14ac:dyDescent="0.25">
      <c r="A921" t="s">
        <v>1699</v>
      </c>
      <c r="B921" t="s">
        <v>11</v>
      </c>
      <c r="C921">
        <v>35</v>
      </c>
      <c r="D921" t="s">
        <v>28</v>
      </c>
      <c r="E921" t="s">
        <v>29</v>
      </c>
      <c r="F921" t="s">
        <v>41</v>
      </c>
      <c r="G921">
        <v>3586553</v>
      </c>
      <c r="H921">
        <v>27.03</v>
      </c>
      <c r="I921">
        <v>-2.2000000000000002</v>
      </c>
      <c r="J921" s="1">
        <v>44894</v>
      </c>
      <c r="K921">
        <v>239</v>
      </c>
      <c r="L921">
        <v>3</v>
      </c>
      <c r="M921">
        <v>358655.30000000005</v>
      </c>
      <c r="N921">
        <v>1075965.9000000001</v>
      </c>
    </row>
    <row r="922" spans="1:14" x14ac:dyDescent="0.25">
      <c r="A922" t="s">
        <v>1701</v>
      </c>
      <c r="B922" t="s">
        <v>17</v>
      </c>
      <c r="C922">
        <v>21</v>
      </c>
      <c r="D922" t="s">
        <v>38</v>
      </c>
      <c r="E922" t="s">
        <v>23</v>
      </c>
      <c r="F922" t="s">
        <v>30</v>
      </c>
      <c r="G922">
        <v>4616761</v>
      </c>
      <c r="H922">
        <v>33.659999999999997</v>
      </c>
      <c r="I922">
        <v>-7.17</v>
      </c>
      <c r="J922" s="1">
        <v>45080</v>
      </c>
      <c r="K922">
        <v>193</v>
      </c>
      <c r="L922">
        <v>3</v>
      </c>
      <c r="M922">
        <v>461676.10000000003</v>
      </c>
      <c r="N922">
        <v>1385028.3</v>
      </c>
    </row>
    <row r="923" spans="1:14" x14ac:dyDescent="0.25">
      <c r="A923" t="s">
        <v>1703</v>
      </c>
      <c r="B923" t="s">
        <v>17</v>
      </c>
      <c r="C923">
        <v>56</v>
      </c>
      <c r="D923" t="s">
        <v>38</v>
      </c>
      <c r="E923" t="s">
        <v>50</v>
      </c>
      <c r="F923" t="s">
        <v>14</v>
      </c>
      <c r="G923">
        <v>4138090</v>
      </c>
      <c r="H923">
        <v>5.2</v>
      </c>
      <c r="I923">
        <v>4.93</v>
      </c>
      <c r="J923" s="1">
        <v>44515</v>
      </c>
      <c r="K923">
        <v>48</v>
      </c>
      <c r="L923">
        <v>4</v>
      </c>
      <c r="M923">
        <v>413809</v>
      </c>
      <c r="N923">
        <v>1655236</v>
      </c>
    </row>
    <row r="924" spans="1:14" x14ac:dyDescent="0.25">
      <c r="A924" t="s">
        <v>1704</v>
      </c>
      <c r="B924" t="s">
        <v>11</v>
      </c>
      <c r="C924">
        <v>39</v>
      </c>
      <c r="D924" t="s">
        <v>46</v>
      </c>
      <c r="E924" t="s">
        <v>19</v>
      </c>
      <c r="F924" t="s">
        <v>41</v>
      </c>
      <c r="G924">
        <v>968561</v>
      </c>
      <c r="H924">
        <v>12.58</v>
      </c>
      <c r="I924">
        <v>23.33</v>
      </c>
      <c r="J924" s="1">
        <v>43731</v>
      </c>
      <c r="K924">
        <v>8</v>
      </c>
      <c r="L924">
        <v>6</v>
      </c>
      <c r="M924">
        <v>96856.1</v>
      </c>
      <c r="N924">
        <v>581136.60000000009</v>
      </c>
    </row>
    <row r="925" spans="1:14" x14ac:dyDescent="0.25">
      <c r="A925" t="s">
        <v>1706</v>
      </c>
      <c r="B925" t="s">
        <v>17</v>
      </c>
      <c r="C925">
        <v>55</v>
      </c>
      <c r="D925" t="s">
        <v>12</v>
      </c>
      <c r="E925" t="s">
        <v>57</v>
      </c>
      <c r="F925" t="s">
        <v>41</v>
      </c>
      <c r="G925">
        <v>2843110</v>
      </c>
      <c r="H925">
        <v>34.94</v>
      </c>
      <c r="I925">
        <v>21.66</v>
      </c>
      <c r="J925" s="1">
        <v>44065</v>
      </c>
      <c r="K925">
        <v>271</v>
      </c>
      <c r="L925">
        <v>5</v>
      </c>
      <c r="M925">
        <v>284311</v>
      </c>
      <c r="N925">
        <v>1421555</v>
      </c>
    </row>
    <row r="926" spans="1:14" x14ac:dyDescent="0.25">
      <c r="A926" t="s">
        <v>1708</v>
      </c>
      <c r="B926" t="s">
        <v>11</v>
      </c>
      <c r="C926">
        <v>61</v>
      </c>
      <c r="D926" t="s">
        <v>46</v>
      </c>
      <c r="E926" t="s">
        <v>13</v>
      </c>
      <c r="F926" t="s">
        <v>41</v>
      </c>
      <c r="G926">
        <v>4788787</v>
      </c>
      <c r="H926">
        <v>19.72</v>
      </c>
      <c r="I926">
        <v>4.5599999999999996</v>
      </c>
      <c r="J926" s="1">
        <v>43282</v>
      </c>
      <c r="K926">
        <v>129</v>
      </c>
      <c r="L926">
        <v>8</v>
      </c>
      <c r="M926">
        <v>478878.7</v>
      </c>
      <c r="N926">
        <v>3831029.6</v>
      </c>
    </row>
    <row r="927" spans="1:14" x14ac:dyDescent="0.25">
      <c r="A927" t="s">
        <v>1710</v>
      </c>
      <c r="B927" t="s">
        <v>11</v>
      </c>
      <c r="C927">
        <v>53</v>
      </c>
      <c r="D927" t="s">
        <v>46</v>
      </c>
      <c r="E927" t="s">
        <v>23</v>
      </c>
      <c r="F927" t="s">
        <v>30</v>
      </c>
      <c r="G927">
        <v>280521</v>
      </c>
      <c r="H927">
        <v>28.42</v>
      </c>
      <c r="I927">
        <v>23.75</v>
      </c>
      <c r="J927" s="1">
        <v>44175</v>
      </c>
      <c r="K927">
        <v>149</v>
      </c>
      <c r="L927">
        <v>5</v>
      </c>
      <c r="M927">
        <v>28052.100000000002</v>
      </c>
      <c r="N927">
        <v>140260.5</v>
      </c>
    </row>
    <row r="928" spans="1:14" x14ac:dyDescent="0.25">
      <c r="A928" t="s">
        <v>1711</v>
      </c>
      <c r="B928" t="s">
        <v>11</v>
      </c>
      <c r="C928">
        <v>53</v>
      </c>
      <c r="D928" t="s">
        <v>18</v>
      </c>
      <c r="E928" t="s">
        <v>50</v>
      </c>
      <c r="F928" t="s">
        <v>35</v>
      </c>
      <c r="G928">
        <v>3839635</v>
      </c>
      <c r="H928">
        <v>19.84</v>
      </c>
      <c r="I928">
        <v>26.94</v>
      </c>
      <c r="J928" s="1">
        <v>44970</v>
      </c>
      <c r="K928">
        <v>308</v>
      </c>
      <c r="L928">
        <v>3</v>
      </c>
      <c r="M928">
        <v>383963.5</v>
      </c>
      <c r="N928">
        <v>1151890.5</v>
      </c>
    </row>
    <row r="929" spans="1:14" x14ac:dyDescent="0.25">
      <c r="A929" t="s">
        <v>1713</v>
      </c>
      <c r="B929" t="s">
        <v>17</v>
      </c>
      <c r="C929">
        <v>35</v>
      </c>
      <c r="D929" t="s">
        <v>18</v>
      </c>
      <c r="E929" t="s">
        <v>23</v>
      </c>
      <c r="F929" t="s">
        <v>14</v>
      </c>
      <c r="G929">
        <v>1302200</v>
      </c>
      <c r="H929">
        <v>14.9</v>
      </c>
      <c r="I929">
        <v>40.799999999999997</v>
      </c>
      <c r="J929" s="1">
        <v>45024</v>
      </c>
      <c r="K929">
        <v>110</v>
      </c>
      <c r="L929">
        <v>3</v>
      </c>
      <c r="M929">
        <v>130220</v>
      </c>
      <c r="N929">
        <v>390660</v>
      </c>
    </row>
    <row r="930" spans="1:14" x14ac:dyDescent="0.25">
      <c r="A930" t="s">
        <v>1715</v>
      </c>
      <c r="B930" t="s">
        <v>17</v>
      </c>
      <c r="C930">
        <v>38</v>
      </c>
      <c r="D930" t="s">
        <v>12</v>
      </c>
      <c r="E930" t="s">
        <v>50</v>
      </c>
      <c r="F930" t="s">
        <v>47</v>
      </c>
      <c r="G930">
        <v>2896937</v>
      </c>
      <c r="H930">
        <v>33.54</v>
      </c>
      <c r="I930">
        <v>14.34</v>
      </c>
      <c r="J930" s="1">
        <v>44425</v>
      </c>
      <c r="K930">
        <v>252</v>
      </c>
      <c r="L930">
        <v>4</v>
      </c>
      <c r="M930">
        <v>289693.7</v>
      </c>
      <c r="N930">
        <v>1158774.8</v>
      </c>
    </row>
    <row r="931" spans="1:14" x14ac:dyDescent="0.25">
      <c r="A931" t="s">
        <v>1716</v>
      </c>
      <c r="B931" t="s">
        <v>11</v>
      </c>
      <c r="C931">
        <v>38</v>
      </c>
      <c r="D931" t="s">
        <v>46</v>
      </c>
      <c r="E931" t="s">
        <v>23</v>
      </c>
      <c r="F931" t="s">
        <v>35</v>
      </c>
      <c r="G931">
        <v>477127</v>
      </c>
      <c r="H931">
        <v>16.989999999999998</v>
      </c>
      <c r="I931">
        <v>32.07</v>
      </c>
      <c r="J931" s="1">
        <v>44010</v>
      </c>
      <c r="K931">
        <v>247</v>
      </c>
      <c r="L931">
        <v>6</v>
      </c>
      <c r="M931">
        <v>47712.700000000004</v>
      </c>
      <c r="N931">
        <v>286276.2</v>
      </c>
    </row>
    <row r="932" spans="1:14" x14ac:dyDescent="0.25">
      <c r="A932" t="s">
        <v>1717</v>
      </c>
      <c r="B932" t="s">
        <v>17</v>
      </c>
      <c r="C932">
        <v>23</v>
      </c>
      <c r="D932" t="s">
        <v>18</v>
      </c>
      <c r="E932" t="s">
        <v>50</v>
      </c>
      <c r="F932" t="s">
        <v>20</v>
      </c>
      <c r="G932">
        <v>4414189</v>
      </c>
      <c r="H932">
        <v>20.43</v>
      </c>
      <c r="I932">
        <v>44.08</v>
      </c>
      <c r="J932" s="1">
        <v>43788</v>
      </c>
      <c r="K932">
        <v>355</v>
      </c>
      <c r="L932">
        <v>6</v>
      </c>
      <c r="M932">
        <v>441418.9</v>
      </c>
      <c r="N932">
        <v>2648513.4000000004</v>
      </c>
    </row>
    <row r="933" spans="1:14" x14ac:dyDescent="0.25">
      <c r="A933" t="s">
        <v>1718</v>
      </c>
      <c r="B933" t="s">
        <v>11</v>
      </c>
      <c r="C933">
        <v>60</v>
      </c>
      <c r="D933" t="s">
        <v>46</v>
      </c>
      <c r="E933" t="s">
        <v>29</v>
      </c>
      <c r="F933" t="s">
        <v>35</v>
      </c>
      <c r="G933">
        <v>601436</v>
      </c>
      <c r="H933">
        <v>20.52</v>
      </c>
      <c r="I933">
        <v>6.12</v>
      </c>
      <c r="J933" s="1">
        <v>44131</v>
      </c>
      <c r="K933">
        <v>338</v>
      </c>
      <c r="L933">
        <v>5</v>
      </c>
      <c r="M933">
        <v>60143.600000000006</v>
      </c>
      <c r="N933">
        <v>300718</v>
      </c>
    </row>
    <row r="934" spans="1:14" x14ac:dyDescent="0.25">
      <c r="A934" t="s">
        <v>1720</v>
      </c>
      <c r="B934" t="s">
        <v>11</v>
      </c>
      <c r="C934">
        <v>62</v>
      </c>
      <c r="D934" t="s">
        <v>12</v>
      </c>
      <c r="E934" t="s">
        <v>50</v>
      </c>
      <c r="F934" t="s">
        <v>35</v>
      </c>
      <c r="G934">
        <v>3341236</v>
      </c>
      <c r="H934">
        <v>16.43</v>
      </c>
      <c r="I934">
        <v>33.880000000000003</v>
      </c>
      <c r="J934" s="1">
        <v>43797</v>
      </c>
      <c r="K934">
        <v>355</v>
      </c>
      <c r="L934">
        <v>6</v>
      </c>
      <c r="M934">
        <v>334123.60000000003</v>
      </c>
      <c r="N934">
        <v>2004741.6</v>
      </c>
    </row>
    <row r="935" spans="1:14" x14ac:dyDescent="0.25">
      <c r="A935" t="s">
        <v>1722</v>
      </c>
      <c r="B935" t="s">
        <v>11</v>
      </c>
      <c r="C935">
        <v>37</v>
      </c>
      <c r="D935" t="s">
        <v>38</v>
      </c>
      <c r="E935" t="s">
        <v>23</v>
      </c>
      <c r="F935" t="s">
        <v>41</v>
      </c>
      <c r="G935">
        <v>3418487</v>
      </c>
      <c r="H935">
        <v>14.25</v>
      </c>
      <c r="I935">
        <v>42.73</v>
      </c>
      <c r="J935" s="1">
        <v>43579</v>
      </c>
      <c r="K935">
        <v>138</v>
      </c>
      <c r="L935">
        <v>7</v>
      </c>
      <c r="M935">
        <v>341848.7</v>
      </c>
      <c r="N935">
        <v>2392940.9</v>
      </c>
    </row>
    <row r="936" spans="1:14" x14ac:dyDescent="0.25">
      <c r="A936" t="s">
        <v>1724</v>
      </c>
      <c r="B936" t="s">
        <v>11</v>
      </c>
      <c r="C936">
        <v>42</v>
      </c>
      <c r="D936" t="s">
        <v>12</v>
      </c>
      <c r="E936" t="s">
        <v>57</v>
      </c>
      <c r="F936" t="s">
        <v>20</v>
      </c>
      <c r="G936">
        <v>422685</v>
      </c>
      <c r="H936">
        <v>22.59</v>
      </c>
      <c r="I936">
        <v>1.42</v>
      </c>
      <c r="J936" s="1">
        <v>45188</v>
      </c>
      <c r="K936">
        <v>151</v>
      </c>
      <c r="L936">
        <v>2</v>
      </c>
      <c r="M936">
        <v>42268.5</v>
      </c>
      <c r="N936">
        <v>84537</v>
      </c>
    </row>
    <row r="937" spans="1:14" x14ac:dyDescent="0.25">
      <c r="A937" t="s">
        <v>1726</v>
      </c>
      <c r="B937" t="s">
        <v>17</v>
      </c>
      <c r="C937">
        <v>44</v>
      </c>
      <c r="D937" t="s">
        <v>28</v>
      </c>
      <c r="E937" t="s">
        <v>13</v>
      </c>
      <c r="F937" t="s">
        <v>35</v>
      </c>
      <c r="G937">
        <v>4738905</v>
      </c>
      <c r="H937">
        <v>32.520000000000003</v>
      </c>
      <c r="I937">
        <v>5.0999999999999996</v>
      </c>
      <c r="J937" s="1">
        <v>43371</v>
      </c>
      <c r="K937">
        <v>321</v>
      </c>
      <c r="L937">
        <v>7</v>
      </c>
      <c r="M937">
        <v>473890.5</v>
      </c>
      <c r="N937">
        <v>3317233.5</v>
      </c>
    </row>
    <row r="938" spans="1:14" x14ac:dyDescent="0.25">
      <c r="A938" t="s">
        <v>1728</v>
      </c>
      <c r="B938" t="s">
        <v>11</v>
      </c>
      <c r="C938">
        <v>27</v>
      </c>
      <c r="D938" t="s">
        <v>28</v>
      </c>
      <c r="E938" t="s">
        <v>57</v>
      </c>
      <c r="F938" t="s">
        <v>35</v>
      </c>
      <c r="G938">
        <v>2468875</v>
      </c>
      <c r="H938">
        <v>6.96</v>
      </c>
      <c r="I938">
        <v>-8.86</v>
      </c>
      <c r="J938" s="1">
        <v>45275</v>
      </c>
      <c r="K938">
        <v>261</v>
      </c>
      <c r="L938">
        <v>2</v>
      </c>
      <c r="M938">
        <v>246887.5</v>
      </c>
      <c r="N938">
        <v>493775</v>
      </c>
    </row>
    <row r="939" spans="1:14" x14ac:dyDescent="0.25">
      <c r="A939" t="s">
        <v>1730</v>
      </c>
      <c r="B939" t="s">
        <v>11</v>
      </c>
      <c r="C939">
        <v>24</v>
      </c>
      <c r="D939" t="s">
        <v>18</v>
      </c>
      <c r="E939" t="s">
        <v>57</v>
      </c>
      <c r="F939" t="s">
        <v>20</v>
      </c>
      <c r="G939">
        <v>2572813</v>
      </c>
      <c r="H939">
        <v>22.57</v>
      </c>
      <c r="I939">
        <v>0.88</v>
      </c>
      <c r="J939" s="1">
        <v>44083</v>
      </c>
      <c r="K939">
        <v>209</v>
      </c>
      <c r="L939">
        <v>5</v>
      </c>
      <c r="M939">
        <v>257281.30000000002</v>
      </c>
      <c r="N939">
        <v>1286406.5</v>
      </c>
    </row>
    <row r="940" spans="1:14" x14ac:dyDescent="0.25">
      <c r="A940" t="s">
        <v>1732</v>
      </c>
      <c r="B940" t="s">
        <v>11</v>
      </c>
      <c r="C940">
        <v>52</v>
      </c>
      <c r="D940" t="s">
        <v>12</v>
      </c>
      <c r="E940" t="s">
        <v>23</v>
      </c>
      <c r="F940" t="s">
        <v>14</v>
      </c>
      <c r="G940">
        <v>4566200</v>
      </c>
      <c r="H940">
        <v>12.65</v>
      </c>
      <c r="I940">
        <v>-2.74</v>
      </c>
      <c r="J940" s="1">
        <v>43160</v>
      </c>
      <c r="K940">
        <v>174</v>
      </c>
      <c r="L940">
        <v>8</v>
      </c>
      <c r="M940">
        <v>456620</v>
      </c>
      <c r="N940">
        <v>3652960</v>
      </c>
    </row>
    <row r="941" spans="1:14" x14ac:dyDescent="0.25">
      <c r="A941" t="s">
        <v>1734</v>
      </c>
      <c r="B941" t="s">
        <v>17</v>
      </c>
      <c r="C941">
        <v>30</v>
      </c>
      <c r="D941" t="s">
        <v>12</v>
      </c>
      <c r="E941" t="s">
        <v>13</v>
      </c>
      <c r="F941" t="s">
        <v>20</v>
      </c>
      <c r="G941">
        <v>1357074</v>
      </c>
      <c r="H941">
        <v>12.37</v>
      </c>
      <c r="I941">
        <v>2.92</v>
      </c>
      <c r="J941" s="1">
        <v>44315</v>
      </c>
      <c r="K941">
        <v>284</v>
      </c>
      <c r="L941">
        <v>5</v>
      </c>
      <c r="M941">
        <v>135707.4</v>
      </c>
      <c r="N941">
        <v>678537</v>
      </c>
    </row>
    <row r="942" spans="1:14" x14ac:dyDescent="0.25">
      <c r="A942" t="s">
        <v>1736</v>
      </c>
      <c r="B942" t="s">
        <v>11</v>
      </c>
      <c r="C942">
        <v>33</v>
      </c>
      <c r="D942" t="s">
        <v>46</v>
      </c>
      <c r="E942" t="s">
        <v>29</v>
      </c>
      <c r="F942" t="s">
        <v>30</v>
      </c>
      <c r="G942">
        <v>3750902</v>
      </c>
      <c r="H942">
        <v>18.29</v>
      </c>
      <c r="I942">
        <v>41.25</v>
      </c>
      <c r="J942" s="1">
        <v>43591</v>
      </c>
      <c r="K942">
        <v>177</v>
      </c>
      <c r="L942">
        <v>7</v>
      </c>
      <c r="M942">
        <v>375090.2</v>
      </c>
      <c r="N942">
        <v>2625631.4</v>
      </c>
    </row>
    <row r="943" spans="1:14" x14ac:dyDescent="0.25">
      <c r="A943" t="s">
        <v>1738</v>
      </c>
      <c r="B943" t="s">
        <v>11</v>
      </c>
      <c r="C943">
        <v>34</v>
      </c>
      <c r="D943" t="s">
        <v>46</v>
      </c>
      <c r="E943" t="s">
        <v>23</v>
      </c>
      <c r="F943" t="s">
        <v>20</v>
      </c>
      <c r="G943">
        <v>3347615</v>
      </c>
      <c r="H943">
        <v>10.34</v>
      </c>
      <c r="I943">
        <v>24.86</v>
      </c>
      <c r="J943" s="1">
        <v>44089</v>
      </c>
      <c r="K943">
        <v>293</v>
      </c>
      <c r="L943">
        <v>5</v>
      </c>
      <c r="M943">
        <v>334761.5</v>
      </c>
      <c r="N943">
        <v>1673807.5</v>
      </c>
    </row>
    <row r="944" spans="1:14" x14ac:dyDescent="0.25">
      <c r="A944" t="s">
        <v>1740</v>
      </c>
      <c r="B944" t="s">
        <v>17</v>
      </c>
      <c r="C944">
        <v>24</v>
      </c>
      <c r="D944" t="s">
        <v>28</v>
      </c>
      <c r="E944" t="s">
        <v>23</v>
      </c>
      <c r="F944" t="s">
        <v>20</v>
      </c>
      <c r="G944">
        <v>1293183</v>
      </c>
      <c r="H944">
        <v>15.19</v>
      </c>
      <c r="I944">
        <v>18.41</v>
      </c>
      <c r="J944" s="1">
        <v>43300</v>
      </c>
      <c r="K944">
        <v>114</v>
      </c>
      <c r="L944">
        <v>8</v>
      </c>
      <c r="M944">
        <v>129318.3</v>
      </c>
      <c r="N944">
        <v>1034546.4</v>
      </c>
    </row>
    <row r="945" spans="1:14" x14ac:dyDescent="0.25">
      <c r="A945" t="s">
        <v>1742</v>
      </c>
      <c r="B945" t="s">
        <v>11</v>
      </c>
      <c r="C945">
        <v>30</v>
      </c>
      <c r="D945" t="s">
        <v>28</v>
      </c>
      <c r="E945" t="s">
        <v>57</v>
      </c>
      <c r="F945" t="s">
        <v>30</v>
      </c>
      <c r="G945">
        <v>1136573</v>
      </c>
      <c r="H945">
        <v>32.44</v>
      </c>
      <c r="I945">
        <v>12.27</v>
      </c>
      <c r="J945" s="1">
        <v>45557</v>
      </c>
      <c r="K945">
        <v>303</v>
      </c>
      <c r="L945">
        <v>1</v>
      </c>
      <c r="M945">
        <v>113657.3</v>
      </c>
      <c r="N945">
        <v>113657.3</v>
      </c>
    </row>
    <row r="946" spans="1:14" x14ac:dyDescent="0.25">
      <c r="A946" t="s">
        <v>1744</v>
      </c>
      <c r="B946" t="s">
        <v>11</v>
      </c>
      <c r="C946">
        <v>55</v>
      </c>
      <c r="D946" t="s">
        <v>28</v>
      </c>
      <c r="E946" t="s">
        <v>23</v>
      </c>
      <c r="F946" t="s">
        <v>41</v>
      </c>
      <c r="G946">
        <v>1939255</v>
      </c>
      <c r="H946">
        <v>9.1300000000000008</v>
      </c>
      <c r="I946">
        <v>5.71</v>
      </c>
      <c r="J946" s="1">
        <v>45565</v>
      </c>
      <c r="K946">
        <v>229</v>
      </c>
      <c r="L946">
        <v>1</v>
      </c>
      <c r="M946">
        <v>193925.5</v>
      </c>
      <c r="N946">
        <v>193925.5</v>
      </c>
    </row>
    <row r="947" spans="1:14" x14ac:dyDescent="0.25">
      <c r="A947" t="s">
        <v>1745</v>
      </c>
      <c r="B947" t="s">
        <v>11</v>
      </c>
      <c r="C947">
        <v>59</v>
      </c>
      <c r="D947" t="s">
        <v>18</v>
      </c>
      <c r="E947" t="s">
        <v>50</v>
      </c>
      <c r="F947" t="s">
        <v>35</v>
      </c>
      <c r="G947">
        <v>701896</v>
      </c>
      <c r="H947">
        <v>32.24</v>
      </c>
      <c r="I947">
        <v>22.28</v>
      </c>
      <c r="J947" s="1">
        <v>45300</v>
      </c>
      <c r="K947">
        <v>55</v>
      </c>
      <c r="L947">
        <v>2</v>
      </c>
      <c r="M947">
        <v>70189.600000000006</v>
      </c>
      <c r="N947">
        <v>140379.20000000001</v>
      </c>
    </row>
    <row r="948" spans="1:14" x14ac:dyDescent="0.25">
      <c r="A948" t="s">
        <v>1746</v>
      </c>
      <c r="B948" t="s">
        <v>17</v>
      </c>
      <c r="C948">
        <v>26</v>
      </c>
      <c r="D948" t="s">
        <v>18</v>
      </c>
      <c r="E948" t="s">
        <v>57</v>
      </c>
      <c r="F948" t="s">
        <v>47</v>
      </c>
      <c r="G948">
        <v>2801858</v>
      </c>
      <c r="H948">
        <v>14.24</v>
      </c>
      <c r="I948">
        <v>27.68</v>
      </c>
      <c r="J948" s="1">
        <v>44886</v>
      </c>
      <c r="K948">
        <v>327</v>
      </c>
      <c r="L948">
        <v>3</v>
      </c>
      <c r="M948">
        <v>280185.8</v>
      </c>
      <c r="N948">
        <v>840557.39999999991</v>
      </c>
    </row>
    <row r="949" spans="1:14" x14ac:dyDescent="0.25">
      <c r="A949" t="s">
        <v>1747</v>
      </c>
      <c r="B949" t="s">
        <v>11</v>
      </c>
      <c r="C949">
        <v>61</v>
      </c>
      <c r="D949" t="s">
        <v>28</v>
      </c>
      <c r="E949" t="s">
        <v>50</v>
      </c>
      <c r="F949" t="s">
        <v>47</v>
      </c>
      <c r="G949">
        <v>4555328</v>
      </c>
      <c r="H949">
        <v>8.15</v>
      </c>
      <c r="I949">
        <v>16.13</v>
      </c>
      <c r="J949" s="1">
        <v>44218</v>
      </c>
      <c r="K949">
        <v>130</v>
      </c>
      <c r="L949">
        <v>5</v>
      </c>
      <c r="M949">
        <v>455532.80000000005</v>
      </c>
      <c r="N949">
        <v>2277664</v>
      </c>
    </row>
    <row r="950" spans="1:14" x14ac:dyDescent="0.25">
      <c r="A950" t="s">
        <v>1748</v>
      </c>
      <c r="B950" t="s">
        <v>17</v>
      </c>
      <c r="C950">
        <v>38</v>
      </c>
      <c r="D950" t="s">
        <v>18</v>
      </c>
      <c r="E950" t="s">
        <v>29</v>
      </c>
      <c r="F950" t="s">
        <v>20</v>
      </c>
      <c r="G950">
        <v>854805</v>
      </c>
      <c r="H950">
        <v>23.49</v>
      </c>
      <c r="I950">
        <v>40.25</v>
      </c>
      <c r="J950" s="1">
        <v>44949</v>
      </c>
      <c r="K950">
        <v>269</v>
      </c>
      <c r="L950">
        <v>3</v>
      </c>
      <c r="M950">
        <v>85480.5</v>
      </c>
      <c r="N950">
        <v>256441.5</v>
      </c>
    </row>
    <row r="951" spans="1:14" x14ac:dyDescent="0.25">
      <c r="A951" t="s">
        <v>1750</v>
      </c>
      <c r="B951" t="s">
        <v>17</v>
      </c>
      <c r="C951">
        <v>29</v>
      </c>
      <c r="D951" t="s">
        <v>38</v>
      </c>
      <c r="E951" t="s">
        <v>23</v>
      </c>
      <c r="F951" t="s">
        <v>20</v>
      </c>
      <c r="G951">
        <v>1898496</v>
      </c>
      <c r="H951">
        <v>21.49</v>
      </c>
      <c r="I951">
        <v>-9.5299999999999994</v>
      </c>
      <c r="J951" s="1">
        <v>45310</v>
      </c>
      <c r="K951">
        <v>152</v>
      </c>
      <c r="L951">
        <v>2</v>
      </c>
      <c r="M951">
        <v>189849.60000000001</v>
      </c>
      <c r="N951">
        <v>379699.20000000001</v>
      </c>
    </row>
    <row r="952" spans="1:14" x14ac:dyDescent="0.25">
      <c r="A952" t="s">
        <v>1752</v>
      </c>
      <c r="B952" t="s">
        <v>11</v>
      </c>
      <c r="C952">
        <v>26</v>
      </c>
      <c r="D952" t="s">
        <v>18</v>
      </c>
      <c r="E952" t="s">
        <v>19</v>
      </c>
      <c r="F952" t="s">
        <v>30</v>
      </c>
      <c r="G952">
        <v>2834511</v>
      </c>
      <c r="H952">
        <v>7.9</v>
      </c>
      <c r="I952">
        <v>-4.97</v>
      </c>
      <c r="J952" s="1">
        <v>44832</v>
      </c>
      <c r="K952">
        <v>159</v>
      </c>
      <c r="L952">
        <v>3</v>
      </c>
      <c r="M952">
        <v>283451.10000000003</v>
      </c>
      <c r="N952">
        <v>850353.3</v>
      </c>
    </row>
    <row r="953" spans="1:14" x14ac:dyDescent="0.25">
      <c r="A953" t="s">
        <v>1754</v>
      </c>
      <c r="B953" t="s">
        <v>17</v>
      </c>
      <c r="C953">
        <v>61</v>
      </c>
      <c r="D953" t="s">
        <v>28</v>
      </c>
      <c r="E953" t="s">
        <v>19</v>
      </c>
      <c r="F953" t="s">
        <v>20</v>
      </c>
      <c r="G953">
        <v>3971811</v>
      </c>
      <c r="H953">
        <v>13.78</v>
      </c>
      <c r="I953">
        <v>7</v>
      </c>
      <c r="J953" s="1">
        <v>45576</v>
      </c>
      <c r="K953">
        <v>89</v>
      </c>
      <c r="L953">
        <v>1</v>
      </c>
      <c r="M953">
        <v>397181.10000000003</v>
      </c>
      <c r="N953">
        <v>397181.10000000003</v>
      </c>
    </row>
    <row r="954" spans="1:14" x14ac:dyDescent="0.25">
      <c r="A954" t="s">
        <v>1756</v>
      </c>
      <c r="B954" t="s">
        <v>17</v>
      </c>
      <c r="C954">
        <v>39</v>
      </c>
      <c r="D954" t="s">
        <v>38</v>
      </c>
      <c r="E954" t="s">
        <v>57</v>
      </c>
      <c r="F954" t="s">
        <v>30</v>
      </c>
      <c r="G954">
        <v>1658197</v>
      </c>
      <c r="H954">
        <v>26.63</v>
      </c>
      <c r="I954">
        <v>32.92</v>
      </c>
      <c r="J954" s="1">
        <v>44983</v>
      </c>
      <c r="K954">
        <v>43</v>
      </c>
      <c r="L954">
        <v>3</v>
      </c>
      <c r="M954">
        <v>165819.70000000001</v>
      </c>
      <c r="N954">
        <v>497459.10000000003</v>
      </c>
    </row>
    <row r="955" spans="1:14" x14ac:dyDescent="0.25">
      <c r="A955" t="s">
        <v>1758</v>
      </c>
      <c r="B955" t="s">
        <v>17</v>
      </c>
      <c r="C955">
        <v>24</v>
      </c>
      <c r="D955" t="s">
        <v>12</v>
      </c>
      <c r="E955" t="s">
        <v>50</v>
      </c>
      <c r="F955" t="s">
        <v>20</v>
      </c>
      <c r="G955">
        <v>1719615</v>
      </c>
      <c r="H955">
        <v>33.61</v>
      </c>
      <c r="I955">
        <v>33</v>
      </c>
      <c r="J955" s="1">
        <v>44386</v>
      </c>
      <c r="K955">
        <v>105</v>
      </c>
      <c r="L955">
        <v>5</v>
      </c>
      <c r="M955">
        <v>171961.5</v>
      </c>
      <c r="N955">
        <v>859807.5</v>
      </c>
    </row>
    <row r="956" spans="1:14" x14ac:dyDescent="0.25">
      <c r="A956" t="s">
        <v>1759</v>
      </c>
      <c r="B956" t="s">
        <v>17</v>
      </c>
      <c r="C956">
        <v>30</v>
      </c>
      <c r="D956" t="s">
        <v>12</v>
      </c>
      <c r="E956" t="s">
        <v>19</v>
      </c>
      <c r="F956" t="s">
        <v>35</v>
      </c>
      <c r="G956">
        <v>1718983</v>
      </c>
      <c r="H956">
        <v>17.420000000000002</v>
      </c>
      <c r="I956">
        <v>15.97</v>
      </c>
      <c r="J956" s="1">
        <v>45055</v>
      </c>
      <c r="K956">
        <v>32</v>
      </c>
      <c r="L956">
        <v>3</v>
      </c>
      <c r="M956">
        <v>171898.30000000002</v>
      </c>
      <c r="N956">
        <v>515694.9</v>
      </c>
    </row>
    <row r="957" spans="1:14" x14ac:dyDescent="0.25">
      <c r="A957" t="s">
        <v>1761</v>
      </c>
      <c r="B957" t="s">
        <v>11</v>
      </c>
      <c r="C957">
        <v>25</v>
      </c>
      <c r="D957" t="s">
        <v>46</v>
      </c>
      <c r="E957" t="s">
        <v>23</v>
      </c>
      <c r="F957" t="s">
        <v>41</v>
      </c>
      <c r="G957">
        <v>1834231</v>
      </c>
      <c r="H957">
        <v>33.32</v>
      </c>
      <c r="I957">
        <v>6.44</v>
      </c>
      <c r="J957" s="1">
        <v>44574</v>
      </c>
      <c r="K957">
        <v>255</v>
      </c>
      <c r="L957">
        <v>4</v>
      </c>
      <c r="M957">
        <v>183423.1</v>
      </c>
      <c r="N957">
        <v>733692.4</v>
      </c>
    </row>
    <row r="958" spans="1:14" x14ac:dyDescent="0.25">
      <c r="A958" t="s">
        <v>1763</v>
      </c>
      <c r="B958" t="s">
        <v>17</v>
      </c>
      <c r="C958">
        <v>35</v>
      </c>
      <c r="D958" t="s">
        <v>18</v>
      </c>
      <c r="E958" t="s">
        <v>23</v>
      </c>
      <c r="F958" t="s">
        <v>14</v>
      </c>
      <c r="G958">
        <v>2601036</v>
      </c>
      <c r="H958">
        <v>16.920000000000002</v>
      </c>
      <c r="I958">
        <v>29.35</v>
      </c>
      <c r="J958" s="1">
        <v>44414</v>
      </c>
      <c r="K958">
        <v>185</v>
      </c>
      <c r="L958">
        <v>4</v>
      </c>
      <c r="M958">
        <v>260103.6</v>
      </c>
      <c r="N958">
        <v>1040414.4</v>
      </c>
    </row>
    <row r="959" spans="1:14" x14ac:dyDescent="0.25">
      <c r="A959" t="s">
        <v>1765</v>
      </c>
      <c r="B959" t="s">
        <v>11</v>
      </c>
      <c r="C959">
        <v>31</v>
      </c>
      <c r="D959" t="s">
        <v>38</v>
      </c>
      <c r="E959" t="s">
        <v>50</v>
      </c>
      <c r="F959" t="s">
        <v>14</v>
      </c>
      <c r="G959">
        <v>3779896</v>
      </c>
      <c r="H959">
        <v>22.09</v>
      </c>
      <c r="I959">
        <v>36.56</v>
      </c>
      <c r="J959" s="1">
        <v>44966</v>
      </c>
      <c r="K959">
        <v>223</v>
      </c>
      <c r="L959">
        <v>3</v>
      </c>
      <c r="M959">
        <v>377989.60000000003</v>
      </c>
      <c r="N959">
        <v>1133968.8</v>
      </c>
    </row>
    <row r="960" spans="1:14" x14ac:dyDescent="0.25">
      <c r="A960" t="s">
        <v>1767</v>
      </c>
      <c r="B960" t="s">
        <v>11</v>
      </c>
      <c r="C960">
        <v>48</v>
      </c>
      <c r="D960" t="s">
        <v>12</v>
      </c>
      <c r="E960" t="s">
        <v>57</v>
      </c>
      <c r="F960" t="s">
        <v>47</v>
      </c>
      <c r="G960">
        <v>3554764</v>
      </c>
      <c r="H960">
        <v>22.38</v>
      </c>
      <c r="I960">
        <v>-5.93</v>
      </c>
      <c r="J960" s="1">
        <v>44294</v>
      </c>
      <c r="K960">
        <v>351</v>
      </c>
      <c r="L960">
        <v>5</v>
      </c>
      <c r="M960">
        <v>355476.4</v>
      </c>
      <c r="N960">
        <v>1777382</v>
      </c>
    </row>
    <row r="961" spans="1:14" x14ac:dyDescent="0.25">
      <c r="A961" t="s">
        <v>1768</v>
      </c>
      <c r="B961" t="s">
        <v>11</v>
      </c>
      <c r="C961">
        <v>23</v>
      </c>
      <c r="D961" t="s">
        <v>18</v>
      </c>
      <c r="E961" t="s">
        <v>19</v>
      </c>
      <c r="F961" t="s">
        <v>35</v>
      </c>
      <c r="G961">
        <v>4197884</v>
      </c>
      <c r="H961">
        <v>17.899999999999999</v>
      </c>
      <c r="I961">
        <v>31.55</v>
      </c>
      <c r="J961" s="1">
        <v>44850</v>
      </c>
      <c r="K961">
        <v>323</v>
      </c>
      <c r="L961">
        <v>3</v>
      </c>
      <c r="M961">
        <v>419788.4</v>
      </c>
      <c r="N961">
        <v>1259365.2000000002</v>
      </c>
    </row>
    <row r="962" spans="1:14" x14ac:dyDescent="0.25">
      <c r="A962" t="s">
        <v>1769</v>
      </c>
      <c r="B962" t="s">
        <v>17</v>
      </c>
      <c r="C962">
        <v>50</v>
      </c>
      <c r="D962" t="s">
        <v>18</v>
      </c>
      <c r="E962" t="s">
        <v>13</v>
      </c>
      <c r="F962" t="s">
        <v>20</v>
      </c>
      <c r="G962">
        <v>1365914</v>
      </c>
      <c r="H962">
        <v>24.55</v>
      </c>
      <c r="I962">
        <v>5.73</v>
      </c>
      <c r="J962" s="1">
        <v>43732</v>
      </c>
      <c r="K962">
        <v>177</v>
      </c>
      <c r="L962">
        <v>6</v>
      </c>
      <c r="M962">
        <v>136591.4</v>
      </c>
      <c r="N962">
        <v>819548.39999999991</v>
      </c>
    </row>
    <row r="963" spans="1:14" x14ac:dyDescent="0.25">
      <c r="A963" t="s">
        <v>1771</v>
      </c>
      <c r="B963" t="s">
        <v>11</v>
      </c>
      <c r="C963">
        <v>31</v>
      </c>
      <c r="D963" t="s">
        <v>12</v>
      </c>
      <c r="E963" t="s">
        <v>57</v>
      </c>
      <c r="F963" t="s">
        <v>41</v>
      </c>
      <c r="G963">
        <v>1410060</v>
      </c>
      <c r="H963">
        <v>28.07</v>
      </c>
      <c r="I963">
        <v>11.04</v>
      </c>
      <c r="J963" s="1">
        <v>43729</v>
      </c>
      <c r="K963">
        <v>245</v>
      </c>
      <c r="L963">
        <v>6</v>
      </c>
      <c r="M963">
        <v>141006</v>
      </c>
      <c r="N963">
        <v>846036</v>
      </c>
    </row>
    <row r="964" spans="1:14" x14ac:dyDescent="0.25">
      <c r="A964" t="s">
        <v>1773</v>
      </c>
      <c r="B964" t="s">
        <v>11</v>
      </c>
      <c r="C964">
        <v>48</v>
      </c>
      <c r="D964" t="s">
        <v>12</v>
      </c>
      <c r="E964" t="s">
        <v>29</v>
      </c>
      <c r="F964" t="s">
        <v>14</v>
      </c>
      <c r="G964">
        <v>3110499</v>
      </c>
      <c r="H964">
        <v>16.95</v>
      </c>
      <c r="I964">
        <v>31.83</v>
      </c>
      <c r="J964" s="1">
        <v>45306</v>
      </c>
      <c r="K964">
        <v>28</v>
      </c>
      <c r="L964">
        <v>2</v>
      </c>
      <c r="M964">
        <v>311049.90000000002</v>
      </c>
      <c r="N964">
        <v>622099.80000000005</v>
      </c>
    </row>
    <row r="965" spans="1:14" x14ac:dyDescent="0.25">
      <c r="A965" t="s">
        <v>1774</v>
      </c>
      <c r="B965" t="s">
        <v>11</v>
      </c>
      <c r="C965">
        <v>54</v>
      </c>
      <c r="D965" t="s">
        <v>12</v>
      </c>
      <c r="E965" t="s">
        <v>50</v>
      </c>
      <c r="F965" t="s">
        <v>41</v>
      </c>
      <c r="G965">
        <v>3031254</v>
      </c>
      <c r="H965">
        <v>13.01</v>
      </c>
      <c r="I965">
        <v>-4.8099999999999996</v>
      </c>
      <c r="J965" s="1">
        <v>44046</v>
      </c>
      <c r="K965">
        <v>97</v>
      </c>
      <c r="L965">
        <v>5</v>
      </c>
      <c r="M965">
        <v>303125.40000000002</v>
      </c>
      <c r="N965">
        <v>1515627</v>
      </c>
    </row>
    <row r="966" spans="1:14" x14ac:dyDescent="0.25">
      <c r="A966" t="s">
        <v>1776</v>
      </c>
      <c r="B966" t="s">
        <v>17</v>
      </c>
      <c r="C966">
        <v>27</v>
      </c>
      <c r="D966" t="s">
        <v>28</v>
      </c>
      <c r="E966" t="s">
        <v>57</v>
      </c>
      <c r="F966" t="s">
        <v>30</v>
      </c>
      <c r="G966">
        <v>4785649</v>
      </c>
      <c r="H966">
        <v>29.28</v>
      </c>
      <c r="I966">
        <v>0.56999999999999995</v>
      </c>
      <c r="J966" s="1">
        <v>45462</v>
      </c>
      <c r="K966">
        <v>310</v>
      </c>
      <c r="L966">
        <v>2</v>
      </c>
      <c r="M966">
        <v>478564.9</v>
      </c>
      <c r="N966">
        <v>957129.8</v>
      </c>
    </row>
    <row r="967" spans="1:14" x14ac:dyDescent="0.25">
      <c r="A967" t="s">
        <v>1778</v>
      </c>
      <c r="B967" t="s">
        <v>17</v>
      </c>
      <c r="C967">
        <v>45</v>
      </c>
      <c r="D967" t="s">
        <v>18</v>
      </c>
      <c r="E967" t="s">
        <v>29</v>
      </c>
      <c r="F967" t="s">
        <v>30</v>
      </c>
      <c r="G967">
        <v>2403456</v>
      </c>
      <c r="H967">
        <v>27.02</v>
      </c>
      <c r="I967">
        <v>21.25</v>
      </c>
      <c r="J967" s="1">
        <v>44507</v>
      </c>
      <c r="K967">
        <v>141</v>
      </c>
      <c r="L967">
        <v>4</v>
      </c>
      <c r="M967">
        <v>240345.60000000001</v>
      </c>
      <c r="N967">
        <v>961382.40000000002</v>
      </c>
    </row>
    <row r="968" spans="1:14" x14ac:dyDescent="0.25">
      <c r="A968" t="s">
        <v>1780</v>
      </c>
      <c r="B968" t="s">
        <v>11</v>
      </c>
      <c r="C968">
        <v>23</v>
      </c>
      <c r="D968" t="s">
        <v>28</v>
      </c>
      <c r="E968" t="s">
        <v>57</v>
      </c>
      <c r="F968" t="s">
        <v>41</v>
      </c>
      <c r="G968">
        <v>4430412</v>
      </c>
      <c r="H968">
        <v>13.62</v>
      </c>
      <c r="I968">
        <v>26.49</v>
      </c>
      <c r="J968" s="1">
        <v>45399</v>
      </c>
      <c r="K968">
        <v>243</v>
      </c>
      <c r="L968">
        <v>2</v>
      </c>
      <c r="M968">
        <v>443041.2</v>
      </c>
      <c r="N968">
        <v>886082.4</v>
      </c>
    </row>
    <row r="969" spans="1:14" x14ac:dyDescent="0.25">
      <c r="A969" t="s">
        <v>1781</v>
      </c>
      <c r="B969" t="s">
        <v>11</v>
      </c>
      <c r="C969">
        <v>51</v>
      </c>
      <c r="D969" t="s">
        <v>12</v>
      </c>
      <c r="E969" t="s">
        <v>57</v>
      </c>
      <c r="F969" t="s">
        <v>30</v>
      </c>
      <c r="G969">
        <v>2090942</v>
      </c>
      <c r="H969">
        <v>34.770000000000003</v>
      </c>
      <c r="I969">
        <v>-4.29</v>
      </c>
      <c r="J969" s="1">
        <v>44517</v>
      </c>
      <c r="K969">
        <v>129</v>
      </c>
      <c r="L969">
        <v>4</v>
      </c>
      <c r="M969">
        <v>209094.2</v>
      </c>
      <c r="N969">
        <v>836376.8</v>
      </c>
    </row>
    <row r="970" spans="1:14" x14ac:dyDescent="0.25">
      <c r="A970" t="s">
        <v>1783</v>
      </c>
      <c r="B970" t="s">
        <v>11</v>
      </c>
      <c r="C970">
        <v>26</v>
      </c>
      <c r="D970" t="s">
        <v>18</v>
      </c>
      <c r="E970" t="s">
        <v>29</v>
      </c>
      <c r="F970" t="s">
        <v>41</v>
      </c>
      <c r="G970">
        <v>4703453</v>
      </c>
      <c r="H970">
        <v>24.15</v>
      </c>
      <c r="I970">
        <v>-0.94</v>
      </c>
      <c r="J970" s="1">
        <v>44744</v>
      </c>
      <c r="K970">
        <v>23</v>
      </c>
      <c r="L970">
        <v>4</v>
      </c>
      <c r="M970">
        <v>470345.30000000005</v>
      </c>
      <c r="N970">
        <v>1881381.2000000002</v>
      </c>
    </row>
    <row r="971" spans="1:14" x14ac:dyDescent="0.25">
      <c r="A971" t="s">
        <v>1784</v>
      </c>
      <c r="B971" t="s">
        <v>11</v>
      </c>
      <c r="C971">
        <v>28</v>
      </c>
      <c r="D971" t="s">
        <v>46</v>
      </c>
      <c r="E971" t="s">
        <v>13</v>
      </c>
      <c r="F971" t="s">
        <v>14</v>
      </c>
      <c r="G971">
        <v>1944590</v>
      </c>
      <c r="H971">
        <v>6.84</v>
      </c>
      <c r="I971">
        <v>34.54</v>
      </c>
      <c r="J971" s="1">
        <v>44217</v>
      </c>
      <c r="K971">
        <v>295</v>
      </c>
      <c r="L971">
        <v>5</v>
      </c>
      <c r="M971">
        <v>194459</v>
      </c>
      <c r="N971">
        <v>972295</v>
      </c>
    </row>
    <row r="972" spans="1:14" x14ac:dyDescent="0.25">
      <c r="A972" t="s">
        <v>1786</v>
      </c>
      <c r="B972" t="s">
        <v>17</v>
      </c>
      <c r="C972">
        <v>30</v>
      </c>
      <c r="D972" t="s">
        <v>46</v>
      </c>
      <c r="E972" t="s">
        <v>50</v>
      </c>
      <c r="F972" t="s">
        <v>35</v>
      </c>
      <c r="G972">
        <v>3665680</v>
      </c>
      <c r="H972">
        <v>29.78</v>
      </c>
      <c r="I972">
        <v>44.83</v>
      </c>
      <c r="J972" s="1">
        <v>45340</v>
      </c>
      <c r="K972">
        <v>12</v>
      </c>
      <c r="L972">
        <v>2</v>
      </c>
      <c r="M972">
        <v>366568</v>
      </c>
      <c r="N972">
        <v>733136</v>
      </c>
    </row>
    <row r="973" spans="1:14" x14ac:dyDescent="0.25">
      <c r="A973" t="s">
        <v>1787</v>
      </c>
      <c r="B973" t="s">
        <v>17</v>
      </c>
      <c r="C973">
        <v>27</v>
      </c>
      <c r="D973" t="s">
        <v>46</v>
      </c>
      <c r="E973" t="s">
        <v>19</v>
      </c>
      <c r="F973" t="s">
        <v>47</v>
      </c>
      <c r="G973">
        <v>4239353</v>
      </c>
      <c r="H973">
        <v>7.1</v>
      </c>
      <c r="I973">
        <v>31.75</v>
      </c>
      <c r="J973" s="1">
        <v>44923</v>
      </c>
      <c r="K973">
        <v>309</v>
      </c>
      <c r="L973">
        <v>3</v>
      </c>
      <c r="M973">
        <v>423935.30000000005</v>
      </c>
      <c r="N973">
        <v>1271805.9000000001</v>
      </c>
    </row>
    <row r="974" spans="1:14" x14ac:dyDescent="0.25">
      <c r="A974" t="s">
        <v>1788</v>
      </c>
      <c r="B974" t="s">
        <v>17</v>
      </c>
      <c r="C974">
        <v>61</v>
      </c>
      <c r="D974" t="s">
        <v>38</v>
      </c>
      <c r="E974" t="s">
        <v>23</v>
      </c>
      <c r="F974" t="s">
        <v>30</v>
      </c>
      <c r="G974">
        <v>4599920</v>
      </c>
      <c r="H974">
        <v>9.23</v>
      </c>
      <c r="I974">
        <v>5.91</v>
      </c>
      <c r="J974" s="1">
        <v>44649</v>
      </c>
      <c r="K974">
        <v>69</v>
      </c>
      <c r="L974">
        <v>4</v>
      </c>
      <c r="M974">
        <v>459992</v>
      </c>
      <c r="N974">
        <v>1839968</v>
      </c>
    </row>
    <row r="975" spans="1:14" x14ac:dyDescent="0.25">
      <c r="A975" t="s">
        <v>1790</v>
      </c>
      <c r="B975" t="s">
        <v>17</v>
      </c>
      <c r="C975">
        <v>49</v>
      </c>
      <c r="D975" t="s">
        <v>38</v>
      </c>
      <c r="E975" t="s">
        <v>19</v>
      </c>
      <c r="F975" t="s">
        <v>35</v>
      </c>
      <c r="G975">
        <v>2015113</v>
      </c>
      <c r="H975">
        <v>8.1999999999999993</v>
      </c>
      <c r="I975">
        <v>40.57</v>
      </c>
      <c r="J975" s="1">
        <v>45583</v>
      </c>
      <c r="K975">
        <v>364</v>
      </c>
      <c r="L975">
        <v>1</v>
      </c>
      <c r="M975">
        <v>201511.30000000002</v>
      </c>
      <c r="N975">
        <v>201511.30000000002</v>
      </c>
    </row>
    <row r="976" spans="1:14" x14ac:dyDescent="0.25">
      <c r="A976" t="s">
        <v>1791</v>
      </c>
      <c r="B976" t="s">
        <v>17</v>
      </c>
      <c r="C976">
        <v>34</v>
      </c>
      <c r="D976" t="s">
        <v>18</v>
      </c>
      <c r="E976" t="s">
        <v>19</v>
      </c>
      <c r="F976" t="s">
        <v>35</v>
      </c>
      <c r="G976">
        <v>1868624</v>
      </c>
      <c r="H976">
        <v>15.98</v>
      </c>
      <c r="I976">
        <v>8.69</v>
      </c>
      <c r="J976" s="1">
        <v>43894</v>
      </c>
      <c r="K976">
        <v>339</v>
      </c>
      <c r="L976">
        <v>6</v>
      </c>
      <c r="M976">
        <v>186862.40000000002</v>
      </c>
      <c r="N976">
        <v>1121174.4000000001</v>
      </c>
    </row>
    <row r="977" spans="1:14" x14ac:dyDescent="0.25">
      <c r="A977" t="s">
        <v>1792</v>
      </c>
      <c r="B977" t="s">
        <v>11</v>
      </c>
      <c r="C977">
        <v>50</v>
      </c>
      <c r="D977" t="s">
        <v>46</v>
      </c>
      <c r="E977" t="s">
        <v>29</v>
      </c>
      <c r="F977" t="s">
        <v>41</v>
      </c>
      <c r="G977">
        <v>2288223</v>
      </c>
      <c r="H977">
        <v>8.1999999999999993</v>
      </c>
      <c r="I977">
        <v>25.27</v>
      </c>
      <c r="J977" s="1">
        <v>43699</v>
      </c>
      <c r="K977">
        <v>169</v>
      </c>
      <c r="L977">
        <v>6</v>
      </c>
      <c r="M977">
        <v>228822.30000000002</v>
      </c>
      <c r="N977">
        <v>1372933.8</v>
      </c>
    </row>
    <row r="978" spans="1:14" x14ac:dyDescent="0.25">
      <c r="A978" t="s">
        <v>1794</v>
      </c>
      <c r="B978" t="s">
        <v>17</v>
      </c>
      <c r="C978">
        <v>44</v>
      </c>
      <c r="D978" t="s">
        <v>12</v>
      </c>
      <c r="E978" t="s">
        <v>19</v>
      </c>
      <c r="F978" t="s">
        <v>41</v>
      </c>
      <c r="G978">
        <v>3718739</v>
      </c>
      <c r="H978">
        <v>19.010000000000002</v>
      </c>
      <c r="I978">
        <v>9.85</v>
      </c>
      <c r="J978" s="1">
        <v>44720</v>
      </c>
      <c r="K978">
        <v>309</v>
      </c>
      <c r="L978">
        <v>4</v>
      </c>
      <c r="M978">
        <v>371873.9</v>
      </c>
      <c r="N978">
        <v>1487495.6</v>
      </c>
    </row>
    <row r="979" spans="1:14" x14ac:dyDescent="0.25">
      <c r="A979" t="s">
        <v>1796</v>
      </c>
      <c r="B979" t="s">
        <v>17</v>
      </c>
      <c r="C979">
        <v>30</v>
      </c>
      <c r="D979" t="s">
        <v>38</v>
      </c>
      <c r="E979" t="s">
        <v>50</v>
      </c>
      <c r="F979" t="s">
        <v>30</v>
      </c>
      <c r="G979">
        <v>2234729</v>
      </c>
      <c r="H979">
        <v>14.65</v>
      </c>
      <c r="I979">
        <v>19.7</v>
      </c>
      <c r="J979" s="1">
        <v>43316</v>
      </c>
      <c r="K979">
        <v>57</v>
      </c>
      <c r="L979">
        <v>7</v>
      </c>
      <c r="M979">
        <v>223472.90000000002</v>
      </c>
      <c r="N979">
        <v>1564310.3000000003</v>
      </c>
    </row>
    <row r="980" spans="1:14" x14ac:dyDescent="0.25">
      <c r="A980" t="s">
        <v>1798</v>
      </c>
      <c r="B980" t="s">
        <v>11</v>
      </c>
      <c r="C980">
        <v>58</v>
      </c>
      <c r="D980" t="s">
        <v>46</v>
      </c>
      <c r="E980" t="s">
        <v>23</v>
      </c>
      <c r="F980" t="s">
        <v>30</v>
      </c>
      <c r="G980">
        <v>3812762</v>
      </c>
      <c r="H980">
        <v>22.39</v>
      </c>
      <c r="I980">
        <v>41.71</v>
      </c>
      <c r="J980" s="1">
        <v>45220</v>
      </c>
      <c r="K980">
        <v>20</v>
      </c>
      <c r="L980">
        <v>2</v>
      </c>
      <c r="M980">
        <v>381276.2</v>
      </c>
      <c r="N980">
        <v>762552.4</v>
      </c>
    </row>
    <row r="981" spans="1:14" x14ac:dyDescent="0.25">
      <c r="A981" t="s">
        <v>1799</v>
      </c>
      <c r="B981" t="s">
        <v>11</v>
      </c>
      <c r="C981">
        <v>32</v>
      </c>
      <c r="D981" t="s">
        <v>28</v>
      </c>
      <c r="E981" t="s">
        <v>57</v>
      </c>
      <c r="F981" t="s">
        <v>14</v>
      </c>
      <c r="G981">
        <v>3449917</v>
      </c>
      <c r="H981">
        <v>27.68</v>
      </c>
      <c r="I981">
        <v>1.38</v>
      </c>
      <c r="J981" s="1">
        <v>43524</v>
      </c>
      <c r="K981">
        <v>88</v>
      </c>
      <c r="L981">
        <v>7</v>
      </c>
      <c r="M981">
        <v>344991.7</v>
      </c>
      <c r="N981">
        <v>2414941.9</v>
      </c>
    </row>
    <row r="982" spans="1:14" x14ac:dyDescent="0.25">
      <c r="A982" t="s">
        <v>1801</v>
      </c>
      <c r="B982" t="s">
        <v>17</v>
      </c>
      <c r="C982">
        <v>25</v>
      </c>
      <c r="D982" t="s">
        <v>12</v>
      </c>
      <c r="E982" t="s">
        <v>29</v>
      </c>
      <c r="F982" t="s">
        <v>14</v>
      </c>
      <c r="G982">
        <v>1227506</v>
      </c>
      <c r="H982">
        <v>33.26</v>
      </c>
      <c r="I982">
        <v>30.16</v>
      </c>
      <c r="J982" s="1">
        <v>44858</v>
      </c>
      <c r="K982">
        <v>62</v>
      </c>
      <c r="L982">
        <v>3</v>
      </c>
      <c r="M982">
        <v>122750.6</v>
      </c>
      <c r="N982">
        <v>368251.80000000005</v>
      </c>
    </row>
    <row r="983" spans="1:14" x14ac:dyDescent="0.25">
      <c r="A983" t="s">
        <v>1802</v>
      </c>
      <c r="B983" t="s">
        <v>17</v>
      </c>
      <c r="C983">
        <v>25</v>
      </c>
      <c r="D983" t="s">
        <v>12</v>
      </c>
      <c r="E983" t="s">
        <v>50</v>
      </c>
      <c r="F983" t="s">
        <v>30</v>
      </c>
      <c r="G983">
        <v>1094431</v>
      </c>
      <c r="H983">
        <v>25.51</v>
      </c>
      <c r="I983">
        <v>16.96</v>
      </c>
      <c r="J983" s="1">
        <v>43813</v>
      </c>
      <c r="K983">
        <v>262</v>
      </c>
      <c r="L983">
        <v>6</v>
      </c>
      <c r="M983">
        <v>109443.1</v>
      </c>
      <c r="N983">
        <v>656658.60000000009</v>
      </c>
    </row>
    <row r="984" spans="1:14" x14ac:dyDescent="0.25">
      <c r="A984" t="s">
        <v>1803</v>
      </c>
      <c r="B984" t="s">
        <v>11</v>
      </c>
      <c r="C984">
        <v>43</v>
      </c>
      <c r="D984" t="s">
        <v>18</v>
      </c>
      <c r="E984" t="s">
        <v>57</v>
      </c>
      <c r="F984" t="s">
        <v>20</v>
      </c>
      <c r="G984">
        <v>351987</v>
      </c>
      <c r="H984">
        <v>6.2</v>
      </c>
      <c r="I984">
        <v>39.65</v>
      </c>
      <c r="J984" s="1">
        <v>44763</v>
      </c>
      <c r="K984">
        <v>80</v>
      </c>
      <c r="L984">
        <v>3</v>
      </c>
      <c r="M984">
        <v>35198.700000000004</v>
      </c>
      <c r="N984">
        <v>105596.1</v>
      </c>
    </row>
    <row r="985" spans="1:14" x14ac:dyDescent="0.25">
      <c r="A985" t="s">
        <v>1805</v>
      </c>
      <c r="B985" t="s">
        <v>17</v>
      </c>
      <c r="C985">
        <v>42</v>
      </c>
      <c r="D985" t="s">
        <v>12</v>
      </c>
      <c r="E985" t="s">
        <v>50</v>
      </c>
      <c r="F985" t="s">
        <v>35</v>
      </c>
      <c r="G985">
        <v>3974184</v>
      </c>
      <c r="H985">
        <v>19.16</v>
      </c>
      <c r="I985">
        <v>33.450000000000003</v>
      </c>
      <c r="J985" s="1">
        <v>44891</v>
      </c>
      <c r="K985">
        <v>288</v>
      </c>
      <c r="L985">
        <v>3</v>
      </c>
      <c r="M985">
        <v>397418.4</v>
      </c>
      <c r="N985">
        <v>1192255.2000000002</v>
      </c>
    </row>
    <row r="986" spans="1:14" x14ac:dyDescent="0.25">
      <c r="A986" t="s">
        <v>1807</v>
      </c>
      <c r="B986" t="s">
        <v>11</v>
      </c>
      <c r="C986">
        <v>26</v>
      </c>
      <c r="D986" t="s">
        <v>46</v>
      </c>
      <c r="E986" t="s">
        <v>50</v>
      </c>
      <c r="F986" t="s">
        <v>20</v>
      </c>
      <c r="G986">
        <v>3470711</v>
      </c>
      <c r="H986">
        <v>21.18</v>
      </c>
      <c r="I986">
        <v>17.579999999999998</v>
      </c>
      <c r="J986" s="1">
        <v>45307</v>
      </c>
      <c r="K986">
        <v>289</v>
      </c>
      <c r="L986">
        <v>2</v>
      </c>
      <c r="M986">
        <v>347071.10000000003</v>
      </c>
      <c r="N986">
        <v>694142.20000000007</v>
      </c>
    </row>
    <row r="987" spans="1:14" x14ac:dyDescent="0.25">
      <c r="A987" t="s">
        <v>1809</v>
      </c>
      <c r="B987" t="s">
        <v>17</v>
      </c>
      <c r="C987">
        <v>26</v>
      </c>
      <c r="D987" t="s">
        <v>12</v>
      </c>
      <c r="E987" t="s">
        <v>29</v>
      </c>
      <c r="F987" t="s">
        <v>30</v>
      </c>
      <c r="G987">
        <v>4233806</v>
      </c>
      <c r="H987">
        <v>6</v>
      </c>
      <c r="I987">
        <v>3.6</v>
      </c>
      <c r="J987" s="1">
        <v>44417</v>
      </c>
      <c r="K987">
        <v>287</v>
      </c>
      <c r="L987">
        <v>4</v>
      </c>
      <c r="M987">
        <v>423380.60000000003</v>
      </c>
      <c r="N987">
        <v>1693522.4000000001</v>
      </c>
    </row>
    <row r="988" spans="1:14" x14ac:dyDescent="0.25">
      <c r="A988" t="s">
        <v>1810</v>
      </c>
      <c r="B988" t="s">
        <v>11</v>
      </c>
      <c r="C988">
        <v>34</v>
      </c>
      <c r="D988" t="s">
        <v>12</v>
      </c>
      <c r="E988" t="s">
        <v>29</v>
      </c>
      <c r="F988" t="s">
        <v>35</v>
      </c>
      <c r="G988">
        <v>3981794</v>
      </c>
      <c r="H988">
        <v>13.1</v>
      </c>
      <c r="I988">
        <v>-0.28999999999999998</v>
      </c>
      <c r="J988" s="1">
        <v>43284</v>
      </c>
      <c r="K988">
        <v>164</v>
      </c>
      <c r="L988">
        <v>8</v>
      </c>
      <c r="M988">
        <v>398179.4</v>
      </c>
      <c r="N988">
        <v>3185435.2</v>
      </c>
    </row>
    <row r="989" spans="1:14" x14ac:dyDescent="0.25">
      <c r="A989" t="s">
        <v>1811</v>
      </c>
      <c r="B989" t="s">
        <v>17</v>
      </c>
      <c r="C989">
        <v>42</v>
      </c>
      <c r="D989" t="s">
        <v>18</v>
      </c>
      <c r="E989" t="s">
        <v>50</v>
      </c>
      <c r="F989" t="s">
        <v>41</v>
      </c>
      <c r="G989">
        <v>1431071</v>
      </c>
      <c r="H989">
        <v>30.32</v>
      </c>
      <c r="I989">
        <v>30.69</v>
      </c>
      <c r="J989" s="1">
        <v>43776</v>
      </c>
      <c r="K989">
        <v>30</v>
      </c>
      <c r="L989">
        <v>6</v>
      </c>
      <c r="M989">
        <v>143107.1</v>
      </c>
      <c r="N989">
        <v>858642.60000000009</v>
      </c>
    </row>
    <row r="990" spans="1:14" x14ac:dyDescent="0.25">
      <c r="A990" t="s">
        <v>1812</v>
      </c>
      <c r="B990" t="s">
        <v>17</v>
      </c>
      <c r="C990">
        <v>42</v>
      </c>
      <c r="D990" t="s">
        <v>46</v>
      </c>
      <c r="E990" t="s">
        <v>19</v>
      </c>
      <c r="F990" t="s">
        <v>14</v>
      </c>
      <c r="G990">
        <v>1950677</v>
      </c>
      <c r="H990">
        <v>22.15</v>
      </c>
      <c r="I990">
        <v>-4.07</v>
      </c>
      <c r="J990" s="1">
        <v>44750</v>
      </c>
      <c r="K990">
        <v>14</v>
      </c>
      <c r="L990">
        <v>4</v>
      </c>
      <c r="M990">
        <v>195067.7</v>
      </c>
      <c r="N990">
        <v>780270.8</v>
      </c>
    </row>
    <row r="991" spans="1:14" x14ac:dyDescent="0.25">
      <c r="A991" t="s">
        <v>1813</v>
      </c>
      <c r="B991" t="s">
        <v>11</v>
      </c>
      <c r="C991">
        <v>59</v>
      </c>
      <c r="D991" t="s">
        <v>12</v>
      </c>
      <c r="E991" t="s">
        <v>57</v>
      </c>
      <c r="F991" t="s">
        <v>14</v>
      </c>
      <c r="G991">
        <v>1894159</v>
      </c>
      <c r="H991">
        <v>34.1</v>
      </c>
      <c r="I991">
        <v>21.6</v>
      </c>
      <c r="J991" s="1">
        <v>44899</v>
      </c>
      <c r="K991">
        <v>178</v>
      </c>
      <c r="L991">
        <v>3</v>
      </c>
      <c r="M991">
        <v>189415.90000000002</v>
      </c>
      <c r="N991">
        <v>568247.70000000007</v>
      </c>
    </row>
    <row r="992" spans="1:14" x14ac:dyDescent="0.25">
      <c r="A992" t="s">
        <v>1814</v>
      </c>
      <c r="B992" t="s">
        <v>17</v>
      </c>
      <c r="C992">
        <v>57</v>
      </c>
      <c r="D992" t="s">
        <v>12</v>
      </c>
      <c r="E992" t="s">
        <v>23</v>
      </c>
      <c r="F992" t="s">
        <v>14</v>
      </c>
      <c r="G992">
        <v>3273246</v>
      </c>
      <c r="H992">
        <v>29.67</v>
      </c>
      <c r="I992">
        <v>-2.64</v>
      </c>
      <c r="J992" s="1">
        <v>44950</v>
      </c>
      <c r="K992">
        <v>265</v>
      </c>
      <c r="L992">
        <v>3</v>
      </c>
      <c r="M992">
        <v>327324.60000000003</v>
      </c>
      <c r="N992">
        <v>981973.8</v>
      </c>
    </row>
    <row r="993" spans="1:14" x14ac:dyDescent="0.25">
      <c r="A993" t="s">
        <v>1815</v>
      </c>
      <c r="B993" t="s">
        <v>11</v>
      </c>
      <c r="C993">
        <v>45</v>
      </c>
      <c r="D993" t="s">
        <v>38</v>
      </c>
      <c r="E993" t="s">
        <v>29</v>
      </c>
      <c r="F993" t="s">
        <v>35</v>
      </c>
      <c r="G993">
        <v>2280456</v>
      </c>
      <c r="H993">
        <v>33.01</v>
      </c>
      <c r="I993">
        <v>28.42</v>
      </c>
      <c r="J993" s="1">
        <v>43220</v>
      </c>
      <c r="K993">
        <v>77</v>
      </c>
      <c r="L993">
        <v>8</v>
      </c>
      <c r="M993">
        <v>228045.6</v>
      </c>
      <c r="N993">
        <v>1824364.8</v>
      </c>
    </row>
    <row r="994" spans="1:14" x14ac:dyDescent="0.25">
      <c r="A994" t="s">
        <v>1817</v>
      </c>
      <c r="B994" t="s">
        <v>11</v>
      </c>
      <c r="C994">
        <v>40</v>
      </c>
      <c r="D994" t="s">
        <v>18</v>
      </c>
      <c r="E994" t="s">
        <v>50</v>
      </c>
      <c r="F994" t="s">
        <v>35</v>
      </c>
      <c r="G994">
        <v>3205002</v>
      </c>
      <c r="H994">
        <v>18.12</v>
      </c>
      <c r="I994">
        <v>7.34</v>
      </c>
      <c r="J994" s="1">
        <v>43270</v>
      </c>
      <c r="K994">
        <v>179</v>
      </c>
      <c r="L994">
        <v>8</v>
      </c>
      <c r="M994">
        <v>320500.2</v>
      </c>
      <c r="N994">
        <v>2564001.6</v>
      </c>
    </row>
    <row r="995" spans="1:14" x14ac:dyDescent="0.25">
      <c r="A995" t="s">
        <v>1819</v>
      </c>
      <c r="B995" t="s">
        <v>17</v>
      </c>
      <c r="C995">
        <v>50</v>
      </c>
      <c r="D995" t="s">
        <v>18</v>
      </c>
      <c r="E995" t="s">
        <v>57</v>
      </c>
      <c r="F995" t="s">
        <v>30</v>
      </c>
      <c r="G995">
        <v>461838</v>
      </c>
      <c r="H995">
        <v>5.17</v>
      </c>
      <c r="I995">
        <v>4.7699999999999996</v>
      </c>
      <c r="J995" s="1">
        <v>45505</v>
      </c>
      <c r="K995">
        <v>109</v>
      </c>
      <c r="L995">
        <v>1</v>
      </c>
      <c r="M995">
        <v>46183.8</v>
      </c>
      <c r="N995">
        <v>46183.8</v>
      </c>
    </row>
    <row r="996" spans="1:14" x14ac:dyDescent="0.25">
      <c r="A996" t="s">
        <v>1821</v>
      </c>
      <c r="B996" t="s">
        <v>11</v>
      </c>
      <c r="C996">
        <v>40</v>
      </c>
      <c r="D996" t="s">
        <v>12</v>
      </c>
      <c r="E996" t="s">
        <v>29</v>
      </c>
      <c r="F996" t="s">
        <v>35</v>
      </c>
      <c r="G996">
        <v>3088690</v>
      </c>
      <c r="H996">
        <v>31.26</v>
      </c>
      <c r="I996">
        <v>9.75</v>
      </c>
      <c r="J996" s="1">
        <v>44690</v>
      </c>
      <c r="K996">
        <v>289</v>
      </c>
      <c r="L996">
        <v>4</v>
      </c>
      <c r="M996">
        <v>308869</v>
      </c>
      <c r="N996">
        <v>1235476</v>
      </c>
    </row>
    <row r="997" spans="1:14" x14ac:dyDescent="0.25">
      <c r="A997" t="s">
        <v>1823</v>
      </c>
      <c r="B997" t="s">
        <v>11</v>
      </c>
      <c r="C997">
        <v>23</v>
      </c>
      <c r="D997" t="s">
        <v>46</v>
      </c>
      <c r="E997" t="s">
        <v>13</v>
      </c>
      <c r="F997" t="s">
        <v>47</v>
      </c>
      <c r="G997">
        <v>2778015</v>
      </c>
      <c r="H997">
        <v>19.309999999999999</v>
      </c>
      <c r="I997">
        <v>0.6</v>
      </c>
      <c r="J997" s="1">
        <v>43879</v>
      </c>
      <c r="K997">
        <v>95</v>
      </c>
      <c r="L997">
        <v>6</v>
      </c>
      <c r="M997">
        <v>277801.5</v>
      </c>
      <c r="N997">
        <v>1666809</v>
      </c>
    </row>
    <row r="998" spans="1:14" x14ac:dyDescent="0.25">
      <c r="A998" t="s">
        <v>1824</v>
      </c>
      <c r="B998" t="s">
        <v>17</v>
      </c>
      <c r="C998">
        <v>27</v>
      </c>
      <c r="D998" t="s">
        <v>38</v>
      </c>
      <c r="E998" t="s">
        <v>50</v>
      </c>
      <c r="F998" t="s">
        <v>20</v>
      </c>
      <c r="G998">
        <v>1365112</v>
      </c>
      <c r="H998">
        <v>18.66</v>
      </c>
      <c r="I998">
        <v>2.75</v>
      </c>
      <c r="J998" s="1">
        <v>44458</v>
      </c>
      <c r="K998">
        <v>294</v>
      </c>
      <c r="L998">
        <v>4</v>
      </c>
      <c r="M998">
        <v>136511.20000000001</v>
      </c>
      <c r="N998">
        <v>546044.80000000005</v>
      </c>
    </row>
    <row r="999" spans="1:14" x14ac:dyDescent="0.25">
      <c r="A999" t="s">
        <v>1826</v>
      </c>
      <c r="B999" t="s">
        <v>17</v>
      </c>
      <c r="C999">
        <v>24</v>
      </c>
      <c r="D999" t="s">
        <v>18</v>
      </c>
      <c r="E999" t="s">
        <v>13</v>
      </c>
      <c r="F999" t="s">
        <v>30</v>
      </c>
      <c r="G999">
        <v>3425699</v>
      </c>
      <c r="H999">
        <v>27.43</v>
      </c>
      <c r="I999">
        <v>2.3199999999999998</v>
      </c>
      <c r="J999" s="1">
        <v>44539</v>
      </c>
      <c r="K999">
        <v>238</v>
      </c>
      <c r="L999">
        <v>4</v>
      </c>
      <c r="M999">
        <v>342569.9</v>
      </c>
      <c r="N999">
        <v>1370279.6</v>
      </c>
    </row>
    <row r="1000" spans="1:14" x14ac:dyDescent="0.25">
      <c r="A1000" t="s">
        <v>1828</v>
      </c>
      <c r="B1000" t="s">
        <v>17</v>
      </c>
      <c r="C1000">
        <v>47</v>
      </c>
      <c r="D1000" t="s">
        <v>46</v>
      </c>
      <c r="E1000" t="s">
        <v>57</v>
      </c>
      <c r="F1000" t="s">
        <v>14</v>
      </c>
      <c r="G1000">
        <v>4818952</v>
      </c>
      <c r="H1000">
        <v>13.61</v>
      </c>
      <c r="I1000">
        <v>-4.5599999999999996</v>
      </c>
      <c r="J1000" s="1">
        <v>45418</v>
      </c>
      <c r="K1000">
        <v>126</v>
      </c>
      <c r="L1000">
        <v>2</v>
      </c>
      <c r="M1000">
        <v>481895.2</v>
      </c>
      <c r="N1000">
        <v>963790.4</v>
      </c>
    </row>
    <row r="1001" spans="1:14" x14ac:dyDescent="0.25">
      <c r="A1001" t="s">
        <v>1829</v>
      </c>
      <c r="B1001" t="s">
        <v>11</v>
      </c>
      <c r="C1001">
        <v>63</v>
      </c>
      <c r="D1001" t="s">
        <v>28</v>
      </c>
      <c r="E1001" t="s">
        <v>50</v>
      </c>
      <c r="F1001" t="s">
        <v>35</v>
      </c>
      <c r="G1001">
        <v>3051370</v>
      </c>
      <c r="H1001">
        <v>13.65</v>
      </c>
      <c r="I1001">
        <v>40.840000000000003</v>
      </c>
      <c r="J1001" s="1">
        <v>43974</v>
      </c>
      <c r="K1001">
        <v>158</v>
      </c>
      <c r="L1001">
        <v>6</v>
      </c>
      <c r="M1001">
        <v>305137</v>
      </c>
      <c r="N1001">
        <v>1830822</v>
      </c>
    </row>
    <row r="1002" spans="1:14" x14ac:dyDescent="0.25">
      <c r="A1002" t="s">
        <v>1831</v>
      </c>
      <c r="F1002" t="s">
        <v>1839</v>
      </c>
      <c r="G1002">
        <v>2542016533</v>
      </c>
      <c r="H1002">
        <v>20.442479999999996</v>
      </c>
      <c r="J1002" s="1">
        <v>1000</v>
      </c>
      <c r="K1002">
        <v>15</v>
      </c>
      <c r="L1002">
        <v>123</v>
      </c>
      <c r="M1002">
        <v>254201653.30000001</v>
      </c>
      <c r="N1002">
        <v>31266803355.900002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34BEF-1F31-40B4-A3A4-7FA825AF0524}">
  <dimension ref="A1:N1002"/>
  <sheetViews>
    <sheetView topLeftCell="J1" workbookViewId="0">
      <selection activeCell="Q5" sqref="Q5"/>
    </sheetView>
  </sheetViews>
  <sheetFormatPr defaultRowHeight="15" x14ac:dyDescent="0.25"/>
  <cols>
    <col min="1" max="1" width="13.42578125" bestFit="1" customWidth="1"/>
    <col min="2" max="2" width="10" bestFit="1" customWidth="1"/>
    <col min="3" max="3" width="6.7109375" bestFit="1" customWidth="1"/>
    <col min="4" max="4" width="18.85546875" bestFit="1" customWidth="1"/>
    <col min="5" max="5" width="16.140625" bestFit="1" customWidth="1"/>
    <col min="6" max="6" width="12.7109375" bestFit="1" customWidth="1"/>
    <col min="7" max="7" width="21.85546875" bestFit="1" customWidth="1"/>
    <col min="8" max="8" width="21.28515625" bestFit="1" customWidth="1"/>
    <col min="9" max="9" width="18.5703125" bestFit="1" customWidth="1"/>
    <col min="10" max="10" width="18.7109375" bestFit="1" customWidth="1"/>
    <col min="11" max="11" width="12.85546875" bestFit="1" customWidth="1"/>
    <col min="12" max="12" width="17.140625" bestFit="1" customWidth="1"/>
    <col min="13" max="13" width="25.85546875" bestFit="1" customWidth="1"/>
    <col min="14" max="14" width="20.140625" bestFit="1" customWidth="1"/>
  </cols>
  <sheetData>
    <row r="1" spans="1:14" x14ac:dyDescent="0.25">
      <c r="A1" t="s">
        <v>0</v>
      </c>
      <c r="B1" t="s">
        <v>1</v>
      </c>
      <c r="C1" t="s">
        <v>2</v>
      </c>
      <c r="D1" t="s">
        <v>3</v>
      </c>
      <c r="E1" t="s">
        <v>4</v>
      </c>
      <c r="F1" t="s">
        <v>5</v>
      </c>
      <c r="G1" t="s">
        <v>6</v>
      </c>
      <c r="H1" t="s">
        <v>7</v>
      </c>
      <c r="I1" t="s">
        <v>8</v>
      </c>
      <c r="J1" t="s">
        <v>9</v>
      </c>
      <c r="K1" t="s">
        <v>1835</v>
      </c>
      <c r="L1" t="s">
        <v>1836</v>
      </c>
      <c r="M1" t="s">
        <v>1837</v>
      </c>
      <c r="N1" t="s">
        <v>1838</v>
      </c>
    </row>
    <row r="2" spans="1:14" x14ac:dyDescent="0.25">
      <c r="A2" t="s">
        <v>10</v>
      </c>
      <c r="B2" t="s">
        <v>11</v>
      </c>
      <c r="C2">
        <v>34</v>
      </c>
      <c r="D2" t="s">
        <v>12</v>
      </c>
      <c r="E2" t="s">
        <v>13</v>
      </c>
      <c r="F2" t="s">
        <v>14</v>
      </c>
      <c r="G2">
        <v>347717</v>
      </c>
      <c r="H2">
        <v>8.42</v>
      </c>
      <c r="I2">
        <v>24.97</v>
      </c>
      <c r="J2" s="1">
        <v>45067</v>
      </c>
      <c r="K2">
        <v>88</v>
      </c>
      <c r="L2">
        <v>5.4794520547945212E-4</v>
      </c>
      <c r="M2">
        <v>190.52986301369864</v>
      </c>
      <c r="N2">
        <v>16766.627945205481</v>
      </c>
    </row>
    <row r="3" spans="1:14" x14ac:dyDescent="0.25">
      <c r="A3" t="s">
        <v>16</v>
      </c>
      <c r="B3" t="s">
        <v>17</v>
      </c>
      <c r="C3">
        <v>30</v>
      </c>
      <c r="D3" t="s">
        <v>18</v>
      </c>
      <c r="E3" t="s">
        <v>19</v>
      </c>
      <c r="F3" t="s">
        <v>20</v>
      </c>
      <c r="G3">
        <v>3409611</v>
      </c>
      <c r="H3">
        <v>33.56</v>
      </c>
      <c r="I3">
        <v>-1.8</v>
      </c>
      <c r="J3" s="1">
        <v>43746</v>
      </c>
      <c r="K3">
        <v>286</v>
      </c>
      <c r="L3">
        <v>5.4794520547945212E-4</v>
      </c>
      <c r="M3">
        <v>1868.2800000000002</v>
      </c>
      <c r="N3">
        <v>534328.08000000007</v>
      </c>
    </row>
    <row r="4" spans="1:14" x14ac:dyDescent="0.25">
      <c r="A4" t="s">
        <v>22</v>
      </c>
      <c r="B4" t="s">
        <v>11</v>
      </c>
      <c r="C4">
        <v>36</v>
      </c>
      <c r="D4" t="s">
        <v>18</v>
      </c>
      <c r="E4" t="s">
        <v>23</v>
      </c>
      <c r="F4" t="s">
        <v>14</v>
      </c>
      <c r="G4">
        <v>4665064</v>
      </c>
      <c r="H4">
        <v>27.02</v>
      </c>
      <c r="I4">
        <v>14.85</v>
      </c>
      <c r="J4" s="1">
        <v>43142</v>
      </c>
      <c r="K4">
        <v>192</v>
      </c>
      <c r="L4">
        <v>5.4794520547945212E-4</v>
      </c>
      <c r="M4">
        <v>2556.1994520547946</v>
      </c>
      <c r="N4">
        <v>490790.2947945206</v>
      </c>
    </row>
    <row r="5" spans="1:14" x14ac:dyDescent="0.25">
      <c r="A5" t="s">
        <v>25</v>
      </c>
      <c r="B5" t="s">
        <v>17</v>
      </c>
      <c r="C5">
        <v>34</v>
      </c>
      <c r="D5" t="s">
        <v>18</v>
      </c>
      <c r="E5" t="s">
        <v>19</v>
      </c>
      <c r="F5" t="s">
        <v>20</v>
      </c>
      <c r="G5">
        <v>4043271</v>
      </c>
      <c r="H5">
        <v>17.190000000000001</v>
      </c>
      <c r="I5">
        <v>31.51</v>
      </c>
      <c r="J5" s="1">
        <v>44671</v>
      </c>
      <c r="K5">
        <v>137</v>
      </c>
      <c r="L5">
        <v>5.4794520547945212E-4</v>
      </c>
      <c r="M5">
        <v>2215.4909589041099</v>
      </c>
      <c r="N5">
        <v>303522.26136986306</v>
      </c>
    </row>
    <row r="6" spans="1:14" x14ac:dyDescent="0.25">
      <c r="A6" t="s">
        <v>27</v>
      </c>
      <c r="B6" t="s">
        <v>11</v>
      </c>
      <c r="C6">
        <v>22</v>
      </c>
      <c r="D6" t="s">
        <v>28</v>
      </c>
      <c r="E6" t="s">
        <v>29</v>
      </c>
      <c r="F6" t="s">
        <v>30</v>
      </c>
      <c r="G6">
        <v>1954049</v>
      </c>
      <c r="H6">
        <v>10.77</v>
      </c>
      <c r="I6">
        <v>-0.26</v>
      </c>
      <c r="J6" s="1">
        <v>43893</v>
      </c>
      <c r="K6">
        <v>31</v>
      </c>
      <c r="L6">
        <v>5.4794520547945212E-4</v>
      </c>
      <c r="M6">
        <v>1070.711780821918</v>
      </c>
      <c r="N6">
        <v>33192.065205479455</v>
      </c>
    </row>
    <row r="7" spans="1:14" x14ac:dyDescent="0.25">
      <c r="A7" t="s">
        <v>32</v>
      </c>
      <c r="B7" t="s">
        <v>11</v>
      </c>
      <c r="C7">
        <v>43</v>
      </c>
      <c r="D7" t="s">
        <v>28</v>
      </c>
      <c r="E7" t="s">
        <v>23</v>
      </c>
      <c r="F7" t="s">
        <v>14</v>
      </c>
      <c r="G7">
        <v>2839982</v>
      </c>
      <c r="H7">
        <v>26.98</v>
      </c>
      <c r="I7">
        <v>-5.53</v>
      </c>
      <c r="J7" s="1">
        <v>43668</v>
      </c>
      <c r="K7">
        <v>148</v>
      </c>
      <c r="L7">
        <v>5.4794520547945212E-4</v>
      </c>
      <c r="M7">
        <v>1556.1545205479454</v>
      </c>
      <c r="N7">
        <v>230310.86904109592</v>
      </c>
    </row>
    <row r="8" spans="1:14" x14ac:dyDescent="0.25">
      <c r="A8" t="s">
        <v>34</v>
      </c>
      <c r="B8" t="s">
        <v>11</v>
      </c>
      <c r="C8">
        <v>33</v>
      </c>
      <c r="D8" t="s">
        <v>28</v>
      </c>
      <c r="E8" t="s">
        <v>23</v>
      </c>
      <c r="F8" t="s">
        <v>35</v>
      </c>
      <c r="G8">
        <v>2013638</v>
      </c>
      <c r="H8">
        <v>17.829999999999998</v>
      </c>
      <c r="I8">
        <v>26.44</v>
      </c>
      <c r="J8" s="1">
        <v>43730</v>
      </c>
      <c r="K8">
        <v>189</v>
      </c>
      <c r="L8">
        <v>5.4794520547945212E-4</v>
      </c>
      <c r="M8">
        <v>1103.3632876712329</v>
      </c>
      <c r="N8">
        <v>208535.66136986302</v>
      </c>
    </row>
    <row r="9" spans="1:14" x14ac:dyDescent="0.25">
      <c r="A9" t="s">
        <v>37</v>
      </c>
      <c r="B9" t="s">
        <v>11</v>
      </c>
      <c r="C9">
        <v>62</v>
      </c>
      <c r="D9" t="s">
        <v>38</v>
      </c>
      <c r="E9" t="s">
        <v>29</v>
      </c>
      <c r="F9" t="s">
        <v>35</v>
      </c>
      <c r="G9">
        <v>326813</v>
      </c>
      <c r="H9">
        <v>19.95</v>
      </c>
      <c r="I9">
        <v>10.25</v>
      </c>
      <c r="J9" s="1">
        <v>45186</v>
      </c>
      <c r="K9">
        <v>148</v>
      </c>
      <c r="L9">
        <v>5.4794520547945212E-4</v>
      </c>
      <c r="M9">
        <v>179.07561643835618</v>
      </c>
      <c r="N9">
        <v>26503.191232876714</v>
      </c>
    </row>
    <row r="10" spans="1:14" x14ac:dyDescent="0.25">
      <c r="A10" t="s">
        <v>40</v>
      </c>
      <c r="B10" t="s">
        <v>11</v>
      </c>
      <c r="C10">
        <v>21</v>
      </c>
      <c r="D10" t="s">
        <v>12</v>
      </c>
      <c r="E10" t="s">
        <v>29</v>
      </c>
      <c r="F10" t="s">
        <v>41</v>
      </c>
      <c r="G10">
        <v>3203500</v>
      </c>
      <c r="H10">
        <v>27.34</v>
      </c>
      <c r="I10">
        <v>4.21</v>
      </c>
      <c r="J10" s="1">
        <v>44842</v>
      </c>
      <c r="K10">
        <v>34</v>
      </c>
      <c r="L10">
        <v>5.4794520547945212E-4</v>
      </c>
      <c r="M10">
        <v>1755.3424657534249</v>
      </c>
      <c r="N10">
        <v>59681.643835616444</v>
      </c>
    </row>
    <row r="11" spans="1:14" x14ac:dyDescent="0.25">
      <c r="A11" t="s">
        <v>43</v>
      </c>
      <c r="B11" t="s">
        <v>17</v>
      </c>
      <c r="C11">
        <v>56</v>
      </c>
      <c r="D11" t="s">
        <v>28</v>
      </c>
      <c r="E11" t="s">
        <v>19</v>
      </c>
      <c r="F11" t="s">
        <v>35</v>
      </c>
      <c r="G11">
        <v>257550</v>
      </c>
      <c r="H11">
        <v>7.28</v>
      </c>
      <c r="I11">
        <v>40.03</v>
      </c>
      <c r="J11" s="1">
        <v>43776</v>
      </c>
      <c r="K11">
        <v>350</v>
      </c>
      <c r="L11">
        <v>5.4794520547945212E-4</v>
      </c>
      <c r="M11">
        <v>141.1232876712329</v>
      </c>
      <c r="N11">
        <v>49393.150684931519</v>
      </c>
    </row>
    <row r="12" spans="1:14" x14ac:dyDescent="0.25">
      <c r="A12" t="s">
        <v>45</v>
      </c>
      <c r="B12" t="s">
        <v>17</v>
      </c>
      <c r="C12">
        <v>21</v>
      </c>
      <c r="D12" t="s">
        <v>46</v>
      </c>
      <c r="E12" t="s">
        <v>23</v>
      </c>
      <c r="F12" t="s">
        <v>47</v>
      </c>
      <c r="G12">
        <v>4383630</v>
      </c>
      <c r="H12">
        <v>7.43</v>
      </c>
      <c r="I12">
        <v>4.57</v>
      </c>
      <c r="J12" s="1">
        <v>44560</v>
      </c>
      <c r="K12">
        <v>275</v>
      </c>
      <c r="L12">
        <v>5.4794520547945212E-4</v>
      </c>
      <c r="M12">
        <v>2401.9890410958906</v>
      </c>
      <c r="N12">
        <v>660546.98630136997</v>
      </c>
    </row>
    <row r="13" spans="1:14" x14ac:dyDescent="0.25">
      <c r="A13" t="s">
        <v>49</v>
      </c>
      <c r="B13" t="s">
        <v>17</v>
      </c>
      <c r="C13">
        <v>21</v>
      </c>
      <c r="D13" t="s">
        <v>38</v>
      </c>
      <c r="E13" t="s">
        <v>50</v>
      </c>
      <c r="F13" t="s">
        <v>20</v>
      </c>
      <c r="G13">
        <v>3568731</v>
      </c>
      <c r="H13">
        <v>19.57</v>
      </c>
      <c r="I13">
        <v>10.58</v>
      </c>
      <c r="J13" s="1">
        <v>43118</v>
      </c>
      <c r="K13">
        <v>142</v>
      </c>
      <c r="L13">
        <v>5.4794520547945212E-4</v>
      </c>
      <c r="M13">
        <v>1955.4690410958906</v>
      </c>
      <c r="N13">
        <v>277676.60383561644</v>
      </c>
    </row>
    <row r="14" spans="1:14" x14ac:dyDescent="0.25">
      <c r="A14" t="s">
        <v>52</v>
      </c>
      <c r="B14" t="s">
        <v>11</v>
      </c>
      <c r="C14">
        <v>53</v>
      </c>
      <c r="D14" t="s">
        <v>12</v>
      </c>
      <c r="E14" t="s">
        <v>29</v>
      </c>
      <c r="F14" t="s">
        <v>30</v>
      </c>
      <c r="G14">
        <v>4968252</v>
      </c>
      <c r="H14">
        <v>26.85</v>
      </c>
      <c r="I14">
        <v>-6.38</v>
      </c>
      <c r="J14" s="1">
        <v>43452</v>
      </c>
      <c r="K14">
        <v>118</v>
      </c>
      <c r="L14">
        <v>5.4794520547945212E-4</v>
      </c>
      <c r="M14">
        <v>2722.3298630136992</v>
      </c>
      <c r="N14">
        <v>321234.9238356165</v>
      </c>
    </row>
    <row r="15" spans="1:14" x14ac:dyDescent="0.25">
      <c r="A15" t="s">
        <v>54</v>
      </c>
      <c r="B15" t="s">
        <v>11</v>
      </c>
      <c r="C15">
        <v>25</v>
      </c>
      <c r="D15" t="s">
        <v>38</v>
      </c>
      <c r="E15" t="s">
        <v>23</v>
      </c>
      <c r="F15" t="s">
        <v>20</v>
      </c>
      <c r="G15">
        <v>702461</v>
      </c>
      <c r="H15">
        <v>27.56</v>
      </c>
      <c r="I15">
        <v>25.39</v>
      </c>
      <c r="J15" s="1">
        <v>45329</v>
      </c>
      <c r="K15">
        <v>259</v>
      </c>
      <c r="L15">
        <v>5.4794520547945212E-4</v>
      </c>
      <c r="M15">
        <v>384.91013698630144</v>
      </c>
      <c r="N15">
        <v>99691.72547945207</v>
      </c>
    </row>
    <row r="16" spans="1:14" x14ac:dyDescent="0.25">
      <c r="A16" t="s">
        <v>56</v>
      </c>
      <c r="B16" t="s">
        <v>17</v>
      </c>
      <c r="C16">
        <v>44</v>
      </c>
      <c r="D16" t="s">
        <v>28</v>
      </c>
      <c r="E16" t="s">
        <v>57</v>
      </c>
      <c r="F16" t="s">
        <v>20</v>
      </c>
      <c r="G16">
        <v>2171807</v>
      </c>
      <c r="H16">
        <v>24.41</v>
      </c>
      <c r="I16">
        <v>28.98</v>
      </c>
      <c r="J16" s="1">
        <v>43392</v>
      </c>
      <c r="K16">
        <v>286</v>
      </c>
      <c r="L16">
        <v>5.4794520547945212E-4</v>
      </c>
      <c r="M16">
        <v>1190.0312328767125</v>
      </c>
      <c r="N16">
        <v>340348.93260273978</v>
      </c>
    </row>
    <row r="17" spans="1:14" x14ac:dyDescent="0.25">
      <c r="A17" t="s">
        <v>59</v>
      </c>
      <c r="B17" t="s">
        <v>11</v>
      </c>
      <c r="C17">
        <v>51</v>
      </c>
      <c r="D17" t="s">
        <v>12</v>
      </c>
      <c r="E17" t="s">
        <v>19</v>
      </c>
      <c r="F17" t="s">
        <v>30</v>
      </c>
      <c r="G17">
        <v>4642025</v>
      </c>
      <c r="H17">
        <v>5.86</v>
      </c>
      <c r="I17">
        <v>18.760000000000002</v>
      </c>
      <c r="J17" s="1">
        <v>45115</v>
      </c>
      <c r="K17">
        <v>88</v>
      </c>
      <c r="L17">
        <v>5.4794520547945212E-4</v>
      </c>
      <c r="M17">
        <v>2543.5753424657537</v>
      </c>
      <c r="N17">
        <v>223834.63013698632</v>
      </c>
    </row>
    <row r="18" spans="1:14" x14ac:dyDescent="0.25">
      <c r="A18" t="s">
        <v>61</v>
      </c>
      <c r="B18" t="s">
        <v>17</v>
      </c>
      <c r="C18">
        <v>22</v>
      </c>
      <c r="D18" t="s">
        <v>46</v>
      </c>
      <c r="E18" t="s">
        <v>19</v>
      </c>
      <c r="F18" t="s">
        <v>30</v>
      </c>
      <c r="G18">
        <v>1323904</v>
      </c>
      <c r="H18">
        <v>28.48</v>
      </c>
      <c r="I18">
        <v>1.67</v>
      </c>
      <c r="J18" s="1">
        <v>43153</v>
      </c>
      <c r="K18">
        <v>130</v>
      </c>
      <c r="L18">
        <v>5.4794520547945212E-4</v>
      </c>
      <c r="M18">
        <v>725.42684931506858</v>
      </c>
      <c r="N18">
        <v>94305.490410958912</v>
      </c>
    </row>
    <row r="19" spans="1:14" x14ac:dyDescent="0.25">
      <c r="A19" t="s">
        <v>63</v>
      </c>
      <c r="B19" t="s">
        <v>17</v>
      </c>
      <c r="C19">
        <v>62</v>
      </c>
      <c r="D19" t="s">
        <v>28</v>
      </c>
      <c r="E19" t="s">
        <v>19</v>
      </c>
      <c r="F19" t="s">
        <v>41</v>
      </c>
      <c r="G19">
        <v>4727975</v>
      </c>
      <c r="H19">
        <v>7.74</v>
      </c>
      <c r="I19">
        <v>35.299999999999997</v>
      </c>
      <c r="J19" s="1">
        <v>44105</v>
      </c>
      <c r="K19">
        <v>350</v>
      </c>
      <c r="L19">
        <v>5.4794520547945212E-4</v>
      </c>
      <c r="M19">
        <v>2590.6712328767126</v>
      </c>
      <c r="N19">
        <v>906734.93150684936</v>
      </c>
    </row>
    <row r="20" spans="1:14" x14ac:dyDescent="0.25">
      <c r="A20" t="s">
        <v>65</v>
      </c>
      <c r="B20" t="s">
        <v>17</v>
      </c>
      <c r="C20">
        <v>63</v>
      </c>
      <c r="D20" t="s">
        <v>38</v>
      </c>
      <c r="E20" t="s">
        <v>50</v>
      </c>
      <c r="F20" t="s">
        <v>41</v>
      </c>
      <c r="G20">
        <v>1211110</v>
      </c>
      <c r="H20">
        <v>12.68</v>
      </c>
      <c r="I20">
        <v>37.53</v>
      </c>
      <c r="J20" s="1">
        <v>44704</v>
      </c>
      <c r="K20">
        <v>180</v>
      </c>
      <c r="L20">
        <v>5.4794520547945212E-4</v>
      </c>
      <c r="M20">
        <v>663.62191780821922</v>
      </c>
      <c r="N20">
        <v>119451.94520547945</v>
      </c>
    </row>
    <row r="21" spans="1:14" x14ac:dyDescent="0.25">
      <c r="A21" t="s">
        <v>67</v>
      </c>
      <c r="B21" t="s">
        <v>17</v>
      </c>
      <c r="C21">
        <v>65</v>
      </c>
      <c r="D21" t="s">
        <v>46</v>
      </c>
      <c r="E21" t="s">
        <v>57</v>
      </c>
      <c r="F21" t="s">
        <v>14</v>
      </c>
      <c r="G21">
        <v>2957269</v>
      </c>
      <c r="H21">
        <v>19.559999999999999</v>
      </c>
      <c r="I21">
        <v>-7.21</v>
      </c>
      <c r="J21" s="1">
        <v>44313</v>
      </c>
      <c r="K21">
        <v>352</v>
      </c>
      <c r="L21">
        <v>5.4794520547945212E-4</v>
      </c>
      <c r="M21">
        <v>1620.421369863014</v>
      </c>
      <c r="N21">
        <v>570388.3221917809</v>
      </c>
    </row>
    <row r="22" spans="1:14" x14ac:dyDescent="0.25">
      <c r="A22" t="s">
        <v>69</v>
      </c>
      <c r="B22" t="s">
        <v>17</v>
      </c>
      <c r="C22">
        <v>37</v>
      </c>
      <c r="D22" t="s">
        <v>18</v>
      </c>
      <c r="E22" t="s">
        <v>23</v>
      </c>
      <c r="F22" t="s">
        <v>14</v>
      </c>
      <c r="G22">
        <v>4045550</v>
      </c>
      <c r="H22">
        <v>33</v>
      </c>
      <c r="I22">
        <v>21.19</v>
      </c>
      <c r="J22" s="1">
        <v>43545</v>
      </c>
      <c r="K22">
        <v>258</v>
      </c>
      <c r="L22">
        <v>5.4794520547945212E-4</v>
      </c>
      <c r="M22">
        <v>2216.7397260273974</v>
      </c>
      <c r="N22">
        <v>571918.84931506857</v>
      </c>
    </row>
    <row r="23" spans="1:14" x14ac:dyDescent="0.25">
      <c r="A23" t="s">
        <v>71</v>
      </c>
      <c r="B23" t="s">
        <v>17</v>
      </c>
      <c r="C23">
        <v>60</v>
      </c>
      <c r="D23" t="s">
        <v>12</v>
      </c>
      <c r="E23" t="s">
        <v>57</v>
      </c>
      <c r="F23" t="s">
        <v>35</v>
      </c>
      <c r="G23">
        <v>3808223</v>
      </c>
      <c r="H23">
        <v>29.94</v>
      </c>
      <c r="I23">
        <v>16.350000000000001</v>
      </c>
      <c r="J23" s="1">
        <v>44923</v>
      </c>
      <c r="K23">
        <v>323</v>
      </c>
      <c r="L23">
        <v>5.4794520547945212E-4</v>
      </c>
      <c r="M23">
        <v>2086.6975342465757</v>
      </c>
      <c r="N23">
        <v>674003.30356164393</v>
      </c>
    </row>
    <row r="24" spans="1:14" x14ac:dyDescent="0.25">
      <c r="A24" t="s">
        <v>73</v>
      </c>
      <c r="B24" t="s">
        <v>17</v>
      </c>
      <c r="C24">
        <v>51</v>
      </c>
      <c r="D24" t="s">
        <v>12</v>
      </c>
      <c r="E24" t="s">
        <v>50</v>
      </c>
      <c r="F24" t="s">
        <v>47</v>
      </c>
      <c r="G24">
        <v>4591221</v>
      </c>
      <c r="H24">
        <v>18.829999999999998</v>
      </c>
      <c r="I24">
        <v>8.35</v>
      </c>
      <c r="J24" s="1">
        <v>44638</v>
      </c>
      <c r="K24">
        <v>335</v>
      </c>
      <c r="L24">
        <v>5.4794520547945212E-4</v>
      </c>
      <c r="M24">
        <v>2515.7375342465757</v>
      </c>
      <c r="N24">
        <v>842772.07397260284</v>
      </c>
    </row>
    <row r="25" spans="1:14" x14ac:dyDescent="0.25">
      <c r="A25" t="s">
        <v>75</v>
      </c>
      <c r="B25" t="s">
        <v>17</v>
      </c>
      <c r="C25">
        <v>22</v>
      </c>
      <c r="D25" t="s">
        <v>46</v>
      </c>
      <c r="E25" t="s">
        <v>23</v>
      </c>
      <c r="F25" t="s">
        <v>35</v>
      </c>
      <c r="G25">
        <v>3334089</v>
      </c>
      <c r="H25">
        <v>13.96</v>
      </c>
      <c r="I25">
        <v>25.86</v>
      </c>
      <c r="J25" s="1">
        <v>44492</v>
      </c>
      <c r="K25">
        <v>37</v>
      </c>
      <c r="L25">
        <v>5.4794520547945212E-4</v>
      </c>
      <c r="M25">
        <v>1826.898082191781</v>
      </c>
      <c r="N25">
        <v>67595.229041095896</v>
      </c>
    </row>
    <row r="26" spans="1:14" x14ac:dyDescent="0.25">
      <c r="A26" t="s">
        <v>77</v>
      </c>
      <c r="B26" t="s">
        <v>17</v>
      </c>
      <c r="C26">
        <v>23</v>
      </c>
      <c r="D26" t="s">
        <v>12</v>
      </c>
      <c r="E26" t="s">
        <v>57</v>
      </c>
      <c r="F26" t="s">
        <v>47</v>
      </c>
      <c r="G26">
        <v>4336001</v>
      </c>
      <c r="H26">
        <v>19.54</v>
      </c>
      <c r="I26">
        <v>23.32</v>
      </c>
      <c r="J26" s="1">
        <v>45454</v>
      </c>
      <c r="K26">
        <v>273</v>
      </c>
      <c r="L26">
        <v>5.4794520547945212E-4</v>
      </c>
      <c r="M26">
        <v>2375.89095890411</v>
      </c>
      <c r="N26">
        <v>648618.23178082204</v>
      </c>
    </row>
    <row r="27" spans="1:14" x14ac:dyDescent="0.25">
      <c r="A27" t="s">
        <v>79</v>
      </c>
      <c r="B27" t="s">
        <v>11</v>
      </c>
      <c r="C27">
        <v>26</v>
      </c>
      <c r="D27" t="s">
        <v>18</v>
      </c>
      <c r="E27" t="s">
        <v>23</v>
      </c>
      <c r="F27" t="s">
        <v>30</v>
      </c>
      <c r="G27">
        <v>1690118</v>
      </c>
      <c r="H27">
        <v>32.26</v>
      </c>
      <c r="I27">
        <v>2.77</v>
      </c>
      <c r="J27" s="1">
        <v>43525</v>
      </c>
      <c r="K27">
        <v>188</v>
      </c>
      <c r="L27">
        <v>5.4794520547945212E-4</v>
      </c>
      <c r="M27">
        <v>926.09205479452066</v>
      </c>
      <c r="N27">
        <v>174105.30630136988</v>
      </c>
    </row>
    <row r="28" spans="1:14" x14ac:dyDescent="0.25">
      <c r="A28" t="s">
        <v>81</v>
      </c>
      <c r="B28" t="s">
        <v>17</v>
      </c>
      <c r="C28">
        <v>22</v>
      </c>
      <c r="D28" t="s">
        <v>46</v>
      </c>
      <c r="E28" t="s">
        <v>23</v>
      </c>
      <c r="F28" t="s">
        <v>41</v>
      </c>
      <c r="G28">
        <v>371419</v>
      </c>
      <c r="H28">
        <v>13.44</v>
      </c>
      <c r="I28">
        <v>32.19</v>
      </c>
      <c r="J28" s="1">
        <v>45054</v>
      </c>
      <c r="K28">
        <v>9</v>
      </c>
      <c r="L28">
        <v>5.4794520547945212E-4</v>
      </c>
      <c r="M28">
        <v>203.51726027397262</v>
      </c>
      <c r="N28">
        <v>1831.6553424657536</v>
      </c>
    </row>
    <row r="29" spans="1:14" x14ac:dyDescent="0.25">
      <c r="A29" t="s">
        <v>83</v>
      </c>
      <c r="B29" t="s">
        <v>17</v>
      </c>
      <c r="C29">
        <v>49</v>
      </c>
      <c r="D29" t="s">
        <v>12</v>
      </c>
      <c r="E29" t="s">
        <v>13</v>
      </c>
      <c r="F29" t="s">
        <v>41</v>
      </c>
      <c r="G29">
        <v>1864407</v>
      </c>
      <c r="H29">
        <v>17.920000000000002</v>
      </c>
      <c r="I29">
        <v>5.7</v>
      </c>
      <c r="J29" s="1">
        <v>45564</v>
      </c>
      <c r="K29">
        <v>33</v>
      </c>
      <c r="L29">
        <v>5.4794520547945212E-4</v>
      </c>
      <c r="M29">
        <v>1021.5928767123289</v>
      </c>
      <c r="N29">
        <v>33712.564931506851</v>
      </c>
    </row>
    <row r="30" spans="1:14" x14ac:dyDescent="0.25">
      <c r="A30" t="s">
        <v>85</v>
      </c>
      <c r="B30" t="s">
        <v>11</v>
      </c>
      <c r="C30">
        <v>64</v>
      </c>
      <c r="D30" t="s">
        <v>46</v>
      </c>
      <c r="E30" t="s">
        <v>13</v>
      </c>
      <c r="F30" t="s">
        <v>41</v>
      </c>
      <c r="G30">
        <v>3849343</v>
      </c>
      <c r="H30">
        <v>7.83</v>
      </c>
      <c r="I30">
        <v>0.47</v>
      </c>
      <c r="J30" s="1">
        <v>43622</v>
      </c>
      <c r="K30">
        <v>242</v>
      </c>
      <c r="L30">
        <v>5.4794520547945212E-4</v>
      </c>
      <c r="M30">
        <v>2109.2290410958908</v>
      </c>
      <c r="N30">
        <v>510433.42794520559</v>
      </c>
    </row>
    <row r="31" spans="1:14" x14ac:dyDescent="0.25">
      <c r="A31" t="s">
        <v>87</v>
      </c>
      <c r="B31" t="s">
        <v>17</v>
      </c>
      <c r="C31">
        <v>62</v>
      </c>
      <c r="D31" t="s">
        <v>12</v>
      </c>
      <c r="E31" t="s">
        <v>23</v>
      </c>
      <c r="F31" t="s">
        <v>30</v>
      </c>
      <c r="G31">
        <v>478608</v>
      </c>
      <c r="H31">
        <v>30.31</v>
      </c>
      <c r="I31">
        <v>35.46</v>
      </c>
      <c r="J31" s="1">
        <v>43611</v>
      </c>
      <c r="K31">
        <v>224</v>
      </c>
      <c r="L31">
        <v>5.4794520547945212E-4</v>
      </c>
      <c r="M31">
        <v>262.25095890410961</v>
      </c>
      <c r="N31">
        <v>58744.214794520551</v>
      </c>
    </row>
    <row r="32" spans="1:14" x14ac:dyDescent="0.25">
      <c r="A32" t="s">
        <v>89</v>
      </c>
      <c r="B32" t="s">
        <v>11</v>
      </c>
      <c r="C32">
        <v>38</v>
      </c>
      <c r="D32" t="s">
        <v>38</v>
      </c>
      <c r="E32" t="s">
        <v>13</v>
      </c>
      <c r="F32" t="s">
        <v>47</v>
      </c>
      <c r="G32">
        <v>1491629</v>
      </c>
      <c r="H32">
        <v>17.54</v>
      </c>
      <c r="I32">
        <v>4.53</v>
      </c>
      <c r="J32" s="1">
        <v>44156</v>
      </c>
      <c r="K32">
        <v>324</v>
      </c>
      <c r="L32">
        <v>5.4794520547945212E-4</v>
      </c>
      <c r="M32">
        <v>817.33095890410971</v>
      </c>
      <c r="N32">
        <v>264815.23068493156</v>
      </c>
    </row>
    <row r="33" spans="1:14" x14ac:dyDescent="0.25">
      <c r="A33" t="s">
        <v>91</v>
      </c>
      <c r="B33" t="s">
        <v>11</v>
      </c>
      <c r="C33">
        <v>56</v>
      </c>
      <c r="D33" t="s">
        <v>12</v>
      </c>
      <c r="E33" t="s">
        <v>19</v>
      </c>
      <c r="F33" t="s">
        <v>47</v>
      </c>
      <c r="G33">
        <v>1252552</v>
      </c>
      <c r="H33">
        <v>17.73</v>
      </c>
      <c r="I33">
        <v>-4.96</v>
      </c>
      <c r="J33" s="1">
        <v>44230</v>
      </c>
      <c r="K33">
        <v>57</v>
      </c>
      <c r="L33">
        <v>5.4794520547945212E-4</v>
      </c>
      <c r="M33">
        <v>686.32986301369874</v>
      </c>
      <c r="N33">
        <v>39120.802191780829</v>
      </c>
    </row>
    <row r="34" spans="1:14" x14ac:dyDescent="0.25">
      <c r="A34" t="s">
        <v>93</v>
      </c>
      <c r="B34" t="s">
        <v>17</v>
      </c>
      <c r="C34">
        <v>62</v>
      </c>
      <c r="D34" t="s">
        <v>18</v>
      </c>
      <c r="E34" t="s">
        <v>57</v>
      </c>
      <c r="F34" t="s">
        <v>14</v>
      </c>
      <c r="G34">
        <v>2837100</v>
      </c>
      <c r="H34">
        <v>27.84</v>
      </c>
      <c r="I34">
        <v>24.49</v>
      </c>
      <c r="J34" s="1">
        <v>43537</v>
      </c>
      <c r="K34">
        <v>16</v>
      </c>
      <c r="L34">
        <v>5.4794520547945212E-4</v>
      </c>
      <c r="M34">
        <v>1554.5753424657537</v>
      </c>
      <c r="N34">
        <v>24873.205479452059</v>
      </c>
    </row>
    <row r="35" spans="1:14" x14ac:dyDescent="0.25">
      <c r="A35" t="s">
        <v>95</v>
      </c>
      <c r="B35" t="s">
        <v>11</v>
      </c>
      <c r="C35">
        <v>59</v>
      </c>
      <c r="D35" t="s">
        <v>46</v>
      </c>
      <c r="E35" t="s">
        <v>13</v>
      </c>
      <c r="F35" t="s">
        <v>41</v>
      </c>
      <c r="G35">
        <v>4614435</v>
      </c>
      <c r="H35">
        <v>6.74</v>
      </c>
      <c r="I35">
        <v>8.9499999999999993</v>
      </c>
      <c r="J35" s="1">
        <v>44633</v>
      </c>
      <c r="K35">
        <v>193</v>
      </c>
      <c r="L35">
        <v>5.4794520547945212E-4</v>
      </c>
      <c r="M35">
        <v>2528.4575342465755</v>
      </c>
      <c r="N35">
        <v>487992.30410958908</v>
      </c>
    </row>
    <row r="36" spans="1:14" x14ac:dyDescent="0.25">
      <c r="A36" t="s">
        <v>97</v>
      </c>
      <c r="B36" t="s">
        <v>17</v>
      </c>
      <c r="C36">
        <v>45</v>
      </c>
      <c r="D36" t="s">
        <v>38</v>
      </c>
      <c r="E36" t="s">
        <v>50</v>
      </c>
      <c r="F36" t="s">
        <v>47</v>
      </c>
      <c r="G36">
        <v>922255</v>
      </c>
      <c r="H36">
        <v>21.03</v>
      </c>
      <c r="I36">
        <v>-0.98</v>
      </c>
      <c r="J36" s="1">
        <v>44294</v>
      </c>
      <c r="K36">
        <v>229</v>
      </c>
      <c r="L36">
        <v>5.4794520547945212E-4</v>
      </c>
      <c r="M36">
        <v>505.34520547945209</v>
      </c>
      <c r="N36">
        <v>115724.05205479453</v>
      </c>
    </row>
    <row r="37" spans="1:14" x14ac:dyDescent="0.25">
      <c r="A37" t="s">
        <v>99</v>
      </c>
      <c r="B37" t="s">
        <v>17</v>
      </c>
      <c r="C37">
        <v>58</v>
      </c>
      <c r="D37" t="s">
        <v>46</v>
      </c>
      <c r="E37" t="s">
        <v>13</v>
      </c>
      <c r="F37" t="s">
        <v>41</v>
      </c>
      <c r="G37">
        <v>2844015</v>
      </c>
      <c r="H37">
        <v>28.24</v>
      </c>
      <c r="I37">
        <v>-7.03</v>
      </c>
      <c r="J37" s="1">
        <v>44038</v>
      </c>
      <c r="K37">
        <v>192</v>
      </c>
      <c r="L37">
        <v>5.4794520547945212E-4</v>
      </c>
      <c r="M37">
        <v>1558.364383561644</v>
      </c>
      <c r="N37">
        <v>299205.96164383565</v>
      </c>
    </row>
    <row r="38" spans="1:14" x14ac:dyDescent="0.25">
      <c r="A38" t="s">
        <v>101</v>
      </c>
      <c r="B38" t="s">
        <v>11</v>
      </c>
      <c r="C38">
        <v>56</v>
      </c>
      <c r="D38" t="s">
        <v>46</v>
      </c>
      <c r="E38" t="s">
        <v>50</v>
      </c>
      <c r="F38" t="s">
        <v>14</v>
      </c>
      <c r="G38">
        <v>1471699</v>
      </c>
      <c r="H38">
        <v>19.52</v>
      </c>
      <c r="I38">
        <v>0.11</v>
      </c>
      <c r="J38" s="1">
        <v>43367</v>
      </c>
      <c r="K38">
        <v>251</v>
      </c>
      <c r="L38">
        <v>5.4794520547945212E-4</v>
      </c>
      <c r="M38">
        <v>806.41041095890421</v>
      </c>
      <c r="N38">
        <v>202409.01315068494</v>
      </c>
    </row>
    <row r="39" spans="1:14" x14ac:dyDescent="0.25">
      <c r="A39" t="s">
        <v>103</v>
      </c>
      <c r="B39" t="s">
        <v>17</v>
      </c>
      <c r="C39">
        <v>58</v>
      </c>
      <c r="D39" t="s">
        <v>28</v>
      </c>
      <c r="E39" t="s">
        <v>23</v>
      </c>
      <c r="F39" t="s">
        <v>47</v>
      </c>
      <c r="G39">
        <v>4687548</v>
      </c>
      <c r="H39">
        <v>28.94</v>
      </c>
      <c r="I39">
        <v>-6.55</v>
      </c>
      <c r="J39" s="1">
        <v>44247</v>
      </c>
      <c r="K39">
        <v>303</v>
      </c>
      <c r="L39">
        <v>5.4794520547945212E-4</v>
      </c>
      <c r="M39">
        <v>2568.5194520547948</v>
      </c>
      <c r="N39">
        <v>778261.39397260279</v>
      </c>
    </row>
    <row r="40" spans="1:14" x14ac:dyDescent="0.25">
      <c r="A40" t="s">
        <v>105</v>
      </c>
      <c r="B40" t="s">
        <v>11</v>
      </c>
      <c r="C40">
        <v>46</v>
      </c>
      <c r="D40" t="s">
        <v>38</v>
      </c>
      <c r="E40" t="s">
        <v>29</v>
      </c>
      <c r="F40" t="s">
        <v>35</v>
      </c>
      <c r="G40">
        <v>3453688</v>
      </c>
      <c r="H40">
        <v>32.89</v>
      </c>
      <c r="I40">
        <v>4.54</v>
      </c>
      <c r="J40" s="1">
        <v>43859</v>
      </c>
      <c r="K40">
        <v>96</v>
      </c>
      <c r="L40">
        <v>5.4794520547945212E-4</v>
      </c>
      <c r="M40">
        <v>1892.431780821918</v>
      </c>
      <c r="N40">
        <v>181673.45095890411</v>
      </c>
    </row>
    <row r="41" spans="1:14" x14ac:dyDescent="0.25">
      <c r="A41" t="s">
        <v>107</v>
      </c>
      <c r="B41" t="s">
        <v>11</v>
      </c>
      <c r="C41">
        <v>61</v>
      </c>
      <c r="D41" t="s">
        <v>38</v>
      </c>
      <c r="E41" t="s">
        <v>29</v>
      </c>
      <c r="F41" t="s">
        <v>35</v>
      </c>
      <c r="G41">
        <v>4903718</v>
      </c>
      <c r="H41">
        <v>31.63</v>
      </c>
      <c r="I41">
        <v>-9.5500000000000007</v>
      </c>
      <c r="J41" s="1">
        <v>44786</v>
      </c>
      <c r="K41">
        <v>273</v>
      </c>
      <c r="L41">
        <v>5.4794520547945212E-4</v>
      </c>
      <c r="M41">
        <v>2686.9687671232882</v>
      </c>
      <c r="N41">
        <v>733542.47342465771</v>
      </c>
    </row>
    <row r="42" spans="1:14" x14ac:dyDescent="0.25">
      <c r="A42" t="s">
        <v>109</v>
      </c>
      <c r="B42" t="s">
        <v>17</v>
      </c>
      <c r="C42">
        <v>32</v>
      </c>
      <c r="D42" t="s">
        <v>38</v>
      </c>
      <c r="E42" t="s">
        <v>29</v>
      </c>
      <c r="F42" t="s">
        <v>20</v>
      </c>
      <c r="G42">
        <v>4200577</v>
      </c>
      <c r="H42">
        <v>10.46</v>
      </c>
      <c r="I42">
        <v>-0.2</v>
      </c>
      <c r="J42" s="1">
        <v>43622</v>
      </c>
      <c r="K42">
        <v>307</v>
      </c>
      <c r="L42">
        <v>5.4794520547945212E-4</v>
      </c>
      <c r="M42">
        <v>2301.6860273972607</v>
      </c>
      <c r="N42">
        <v>706617.61041095899</v>
      </c>
    </row>
    <row r="43" spans="1:14" x14ac:dyDescent="0.25">
      <c r="A43" t="s">
        <v>110</v>
      </c>
      <c r="B43" t="s">
        <v>11</v>
      </c>
      <c r="C43">
        <v>39</v>
      </c>
      <c r="D43" t="s">
        <v>46</v>
      </c>
      <c r="E43" t="s">
        <v>29</v>
      </c>
      <c r="F43" t="s">
        <v>47</v>
      </c>
      <c r="G43">
        <v>159311</v>
      </c>
      <c r="H43">
        <v>32.58</v>
      </c>
      <c r="I43">
        <v>32.35</v>
      </c>
      <c r="J43" s="1">
        <v>43987</v>
      </c>
      <c r="K43">
        <v>77</v>
      </c>
      <c r="L43">
        <v>5.4794520547945212E-4</v>
      </c>
      <c r="M43">
        <v>87.293698630137001</v>
      </c>
      <c r="N43">
        <v>6721.6147945205494</v>
      </c>
    </row>
    <row r="44" spans="1:14" x14ac:dyDescent="0.25">
      <c r="A44" t="s">
        <v>112</v>
      </c>
      <c r="B44" t="s">
        <v>17</v>
      </c>
      <c r="C44">
        <v>31</v>
      </c>
      <c r="D44" t="s">
        <v>28</v>
      </c>
      <c r="E44" t="s">
        <v>13</v>
      </c>
      <c r="F44" t="s">
        <v>20</v>
      </c>
      <c r="G44">
        <v>2338909</v>
      </c>
      <c r="H44">
        <v>17.23</v>
      </c>
      <c r="I44">
        <v>40.51</v>
      </c>
      <c r="J44" s="1">
        <v>43996</v>
      </c>
      <c r="K44">
        <v>210</v>
      </c>
      <c r="L44">
        <v>5.4794520547945212E-4</v>
      </c>
      <c r="M44">
        <v>1281.59397260274</v>
      </c>
      <c r="N44">
        <v>269134.73424657539</v>
      </c>
    </row>
    <row r="45" spans="1:14" x14ac:dyDescent="0.25">
      <c r="A45" t="s">
        <v>114</v>
      </c>
      <c r="B45" t="s">
        <v>11</v>
      </c>
      <c r="C45">
        <v>51</v>
      </c>
      <c r="D45" t="s">
        <v>28</v>
      </c>
      <c r="E45" t="s">
        <v>57</v>
      </c>
      <c r="F45" t="s">
        <v>35</v>
      </c>
      <c r="G45">
        <v>3994063</v>
      </c>
      <c r="H45">
        <v>6.32</v>
      </c>
      <c r="I45">
        <v>-1.92</v>
      </c>
      <c r="J45" s="1">
        <v>43396</v>
      </c>
      <c r="K45">
        <v>328</v>
      </c>
      <c r="L45">
        <v>5.4794520547945212E-4</v>
      </c>
      <c r="M45">
        <v>2188.5276712328769</v>
      </c>
      <c r="N45">
        <v>717837.07616438356</v>
      </c>
    </row>
    <row r="46" spans="1:14" x14ac:dyDescent="0.25">
      <c r="A46" t="s">
        <v>116</v>
      </c>
      <c r="B46" t="s">
        <v>17</v>
      </c>
      <c r="C46">
        <v>60</v>
      </c>
      <c r="D46" t="s">
        <v>12</v>
      </c>
      <c r="E46" t="s">
        <v>57</v>
      </c>
      <c r="F46" t="s">
        <v>41</v>
      </c>
      <c r="G46">
        <v>2724747</v>
      </c>
      <c r="H46">
        <v>9.73</v>
      </c>
      <c r="I46">
        <v>27.83</v>
      </c>
      <c r="J46" s="1">
        <v>44240</v>
      </c>
      <c r="K46">
        <v>46</v>
      </c>
      <c r="L46">
        <v>5.4794520547945212E-4</v>
      </c>
      <c r="M46">
        <v>1493.0120547945207</v>
      </c>
      <c r="N46">
        <v>68678.554520547958</v>
      </c>
    </row>
    <row r="47" spans="1:14" x14ac:dyDescent="0.25">
      <c r="A47" t="s">
        <v>118</v>
      </c>
      <c r="B47" t="s">
        <v>11</v>
      </c>
      <c r="C47">
        <v>59</v>
      </c>
      <c r="D47" t="s">
        <v>18</v>
      </c>
      <c r="E47" t="s">
        <v>29</v>
      </c>
      <c r="F47" t="s">
        <v>35</v>
      </c>
      <c r="G47">
        <v>4011666</v>
      </c>
      <c r="H47">
        <v>30.94</v>
      </c>
      <c r="I47">
        <v>20.65</v>
      </c>
      <c r="J47" s="1">
        <v>45036</v>
      </c>
      <c r="K47">
        <v>342</v>
      </c>
      <c r="L47">
        <v>5.4794520547945212E-4</v>
      </c>
      <c r="M47">
        <v>2198.1731506849319</v>
      </c>
      <c r="N47">
        <v>751775.21753424674</v>
      </c>
    </row>
    <row r="48" spans="1:14" x14ac:dyDescent="0.25">
      <c r="A48" t="s">
        <v>120</v>
      </c>
      <c r="B48" t="s">
        <v>11</v>
      </c>
      <c r="C48">
        <v>65</v>
      </c>
      <c r="D48" t="s">
        <v>28</v>
      </c>
      <c r="E48" t="s">
        <v>19</v>
      </c>
      <c r="F48" t="s">
        <v>41</v>
      </c>
      <c r="G48">
        <v>3090675</v>
      </c>
      <c r="H48">
        <v>22.66</v>
      </c>
      <c r="I48">
        <v>32.31</v>
      </c>
      <c r="J48" s="1">
        <v>45271</v>
      </c>
      <c r="K48">
        <v>110</v>
      </c>
      <c r="L48">
        <v>5.4794520547945212E-4</v>
      </c>
      <c r="M48">
        <v>1693.5205479452056</v>
      </c>
      <c r="N48">
        <v>186287.26027397261</v>
      </c>
    </row>
    <row r="49" spans="1:14" x14ac:dyDescent="0.25">
      <c r="A49" t="s">
        <v>122</v>
      </c>
      <c r="B49" t="s">
        <v>17</v>
      </c>
      <c r="C49">
        <v>25</v>
      </c>
      <c r="D49" t="s">
        <v>12</v>
      </c>
      <c r="E49" t="s">
        <v>57</v>
      </c>
      <c r="F49" t="s">
        <v>20</v>
      </c>
      <c r="G49">
        <v>4649690</v>
      </c>
      <c r="H49">
        <v>8.5399999999999991</v>
      </c>
      <c r="I49">
        <v>36.54</v>
      </c>
      <c r="J49" s="1">
        <v>44018</v>
      </c>
      <c r="K49">
        <v>336</v>
      </c>
      <c r="L49">
        <v>5.4794520547945212E-4</v>
      </c>
      <c r="M49">
        <v>2547.775342465754</v>
      </c>
      <c r="N49">
        <v>856052.51506849332</v>
      </c>
    </row>
    <row r="50" spans="1:14" x14ac:dyDescent="0.25">
      <c r="A50" t="s">
        <v>124</v>
      </c>
      <c r="B50" t="s">
        <v>11</v>
      </c>
      <c r="C50">
        <v>51</v>
      </c>
      <c r="D50" t="s">
        <v>12</v>
      </c>
      <c r="E50" t="s">
        <v>50</v>
      </c>
      <c r="F50" t="s">
        <v>47</v>
      </c>
      <c r="G50">
        <v>2033509</v>
      </c>
      <c r="H50">
        <v>11.56</v>
      </c>
      <c r="I50">
        <v>36.92</v>
      </c>
      <c r="J50" s="1">
        <v>45234</v>
      </c>
      <c r="K50">
        <v>148</v>
      </c>
      <c r="L50">
        <v>5.4794520547945212E-4</v>
      </c>
      <c r="M50">
        <v>1114.2515068493153</v>
      </c>
      <c r="N50">
        <v>164909.22301369868</v>
      </c>
    </row>
    <row r="51" spans="1:14" x14ac:dyDescent="0.25">
      <c r="A51" t="s">
        <v>126</v>
      </c>
      <c r="B51" t="s">
        <v>11</v>
      </c>
      <c r="C51">
        <v>49</v>
      </c>
      <c r="D51" t="s">
        <v>46</v>
      </c>
      <c r="E51" t="s">
        <v>23</v>
      </c>
      <c r="F51" t="s">
        <v>41</v>
      </c>
      <c r="G51">
        <v>2583484</v>
      </c>
      <c r="H51">
        <v>13.83</v>
      </c>
      <c r="I51">
        <v>34.81</v>
      </c>
      <c r="J51" s="1">
        <v>43895</v>
      </c>
      <c r="K51">
        <v>22</v>
      </c>
      <c r="L51">
        <v>5.4794520547945212E-4</v>
      </c>
      <c r="M51">
        <v>1415.6076712328768</v>
      </c>
      <c r="N51">
        <v>31143.368767123291</v>
      </c>
    </row>
    <row r="52" spans="1:14" x14ac:dyDescent="0.25">
      <c r="A52" t="s">
        <v>128</v>
      </c>
      <c r="B52" t="s">
        <v>11</v>
      </c>
      <c r="C52">
        <v>50</v>
      </c>
      <c r="D52" t="s">
        <v>12</v>
      </c>
      <c r="E52" t="s">
        <v>13</v>
      </c>
      <c r="F52" t="s">
        <v>20</v>
      </c>
      <c r="G52">
        <v>4573125</v>
      </c>
      <c r="H52">
        <v>11.49</v>
      </c>
      <c r="I52">
        <v>40.71</v>
      </c>
      <c r="J52" s="1">
        <v>43360</v>
      </c>
      <c r="K52">
        <v>109</v>
      </c>
      <c r="L52">
        <v>5.4794520547945212E-4</v>
      </c>
      <c r="M52">
        <v>2505.8219178082195</v>
      </c>
      <c r="N52">
        <v>273134.58904109593</v>
      </c>
    </row>
    <row r="53" spans="1:14" x14ac:dyDescent="0.25">
      <c r="A53" t="s">
        <v>130</v>
      </c>
      <c r="B53" t="s">
        <v>17</v>
      </c>
      <c r="C53">
        <v>25</v>
      </c>
      <c r="D53" t="s">
        <v>28</v>
      </c>
      <c r="E53" t="s">
        <v>57</v>
      </c>
      <c r="F53" t="s">
        <v>30</v>
      </c>
      <c r="G53">
        <v>538827</v>
      </c>
      <c r="H53">
        <v>32.17</v>
      </c>
      <c r="I53">
        <v>16.75</v>
      </c>
      <c r="J53" s="1">
        <v>44993</v>
      </c>
      <c r="K53">
        <v>168</v>
      </c>
      <c r="L53">
        <v>5.4794520547945212E-4</v>
      </c>
      <c r="M53">
        <v>295.24767123287677</v>
      </c>
      <c r="N53">
        <v>49601.608767123296</v>
      </c>
    </row>
    <row r="54" spans="1:14" x14ac:dyDescent="0.25">
      <c r="A54" t="s">
        <v>132</v>
      </c>
      <c r="B54" t="s">
        <v>11</v>
      </c>
      <c r="C54">
        <v>49</v>
      </c>
      <c r="D54" t="s">
        <v>46</v>
      </c>
      <c r="E54" t="s">
        <v>13</v>
      </c>
      <c r="F54" t="s">
        <v>41</v>
      </c>
      <c r="G54">
        <v>4010554</v>
      </c>
      <c r="H54">
        <v>9.36</v>
      </c>
      <c r="I54">
        <v>-0.02</v>
      </c>
      <c r="J54" s="1">
        <v>43734</v>
      </c>
      <c r="K54">
        <v>251</v>
      </c>
      <c r="L54">
        <v>5.4794520547945212E-4</v>
      </c>
      <c r="M54">
        <v>2197.5638356164386</v>
      </c>
      <c r="N54">
        <v>551588.52273972612</v>
      </c>
    </row>
    <row r="55" spans="1:14" x14ac:dyDescent="0.25">
      <c r="A55" t="s">
        <v>134</v>
      </c>
      <c r="B55" t="s">
        <v>11</v>
      </c>
      <c r="C55">
        <v>41</v>
      </c>
      <c r="D55" t="s">
        <v>18</v>
      </c>
      <c r="E55" t="s">
        <v>13</v>
      </c>
      <c r="F55" t="s">
        <v>30</v>
      </c>
      <c r="G55">
        <v>1230298</v>
      </c>
      <c r="H55">
        <v>17.22</v>
      </c>
      <c r="I55">
        <v>29.25</v>
      </c>
      <c r="J55" s="1">
        <v>43851</v>
      </c>
      <c r="K55">
        <v>64</v>
      </c>
      <c r="L55">
        <v>5.4794520547945212E-4</v>
      </c>
      <c r="M55">
        <v>674.13589041095895</v>
      </c>
      <c r="N55">
        <v>43144.696986301373</v>
      </c>
    </row>
    <row r="56" spans="1:14" x14ac:dyDescent="0.25">
      <c r="A56" t="s">
        <v>136</v>
      </c>
      <c r="B56" t="s">
        <v>11</v>
      </c>
      <c r="C56">
        <v>42</v>
      </c>
      <c r="D56" t="s">
        <v>28</v>
      </c>
      <c r="E56" t="s">
        <v>57</v>
      </c>
      <c r="F56" t="s">
        <v>35</v>
      </c>
      <c r="G56">
        <v>1370157</v>
      </c>
      <c r="H56">
        <v>34.619999999999997</v>
      </c>
      <c r="I56">
        <v>21.87</v>
      </c>
      <c r="J56" s="1">
        <v>44513</v>
      </c>
      <c r="K56">
        <v>286</v>
      </c>
      <c r="L56">
        <v>5.4794520547945212E-4</v>
      </c>
      <c r="M56">
        <v>750.77095890410965</v>
      </c>
      <c r="N56">
        <v>214720.49424657537</v>
      </c>
    </row>
    <row r="57" spans="1:14" x14ac:dyDescent="0.25">
      <c r="A57" t="s">
        <v>138</v>
      </c>
      <c r="B57" t="s">
        <v>11</v>
      </c>
      <c r="C57">
        <v>57</v>
      </c>
      <c r="D57" t="s">
        <v>12</v>
      </c>
      <c r="E57" t="s">
        <v>19</v>
      </c>
      <c r="F57" t="s">
        <v>14</v>
      </c>
      <c r="G57">
        <v>829336</v>
      </c>
      <c r="H57">
        <v>20.54</v>
      </c>
      <c r="I57">
        <v>4.93</v>
      </c>
      <c r="J57" s="1">
        <v>45486</v>
      </c>
      <c r="K57">
        <v>181</v>
      </c>
      <c r="L57">
        <v>5.4794520547945212E-4</v>
      </c>
      <c r="M57">
        <v>454.4306849315069</v>
      </c>
      <c r="N57">
        <v>82251.953972602743</v>
      </c>
    </row>
    <row r="58" spans="1:14" x14ac:dyDescent="0.25">
      <c r="A58" t="s">
        <v>140</v>
      </c>
      <c r="B58" t="s">
        <v>11</v>
      </c>
      <c r="C58">
        <v>56</v>
      </c>
      <c r="D58" t="s">
        <v>38</v>
      </c>
      <c r="E58" t="s">
        <v>50</v>
      </c>
      <c r="F58" t="s">
        <v>14</v>
      </c>
      <c r="G58">
        <v>3596642</v>
      </c>
      <c r="H58">
        <v>19.86</v>
      </c>
      <c r="I58">
        <v>42.19</v>
      </c>
      <c r="J58" s="1">
        <v>44364</v>
      </c>
      <c r="K58">
        <v>271</v>
      </c>
      <c r="L58">
        <v>5.4794520547945212E-4</v>
      </c>
      <c r="M58">
        <v>1970.7627397260276</v>
      </c>
      <c r="N58">
        <v>534076.70246575342</v>
      </c>
    </row>
    <row r="59" spans="1:14" x14ac:dyDescent="0.25">
      <c r="A59" t="s">
        <v>142</v>
      </c>
      <c r="B59" t="s">
        <v>11</v>
      </c>
      <c r="C59">
        <v>61</v>
      </c>
      <c r="D59" t="s">
        <v>18</v>
      </c>
      <c r="E59" t="s">
        <v>13</v>
      </c>
      <c r="F59" t="s">
        <v>14</v>
      </c>
      <c r="G59">
        <v>2610729</v>
      </c>
      <c r="H59">
        <v>26.23</v>
      </c>
      <c r="I59">
        <v>15.15</v>
      </c>
      <c r="J59" s="1">
        <v>45276</v>
      </c>
      <c r="K59">
        <v>34</v>
      </c>
      <c r="L59">
        <v>5.4794520547945212E-4</v>
      </c>
      <c r="M59">
        <v>1430.5364383561646</v>
      </c>
      <c r="N59">
        <v>48638.238904109596</v>
      </c>
    </row>
    <row r="60" spans="1:14" x14ac:dyDescent="0.25">
      <c r="A60" t="s">
        <v>144</v>
      </c>
      <c r="B60" t="s">
        <v>11</v>
      </c>
      <c r="C60">
        <v>46</v>
      </c>
      <c r="D60" t="s">
        <v>18</v>
      </c>
      <c r="E60" t="s">
        <v>29</v>
      </c>
      <c r="F60" t="s">
        <v>20</v>
      </c>
      <c r="G60">
        <v>322367</v>
      </c>
      <c r="H60">
        <v>14.47</v>
      </c>
      <c r="I60">
        <v>4.59</v>
      </c>
      <c r="J60" s="1">
        <v>43497</v>
      </c>
      <c r="K60">
        <v>290</v>
      </c>
      <c r="L60">
        <v>5.4794520547945212E-4</v>
      </c>
      <c r="M60">
        <v>176.63945205479453</v>
      </c>
      <c r="N60">
        <v>51225.441095890412</v>
      </c>
    </row>
    <row r="61" spans="1:14" x14ac:dyDescent="0.25">
      <c r="A61" t="s">
        <v>146</v>
      </c>
      <c r="B61" t="s">
        <v>17</v>
      </c>
      <c r="C61">
        <v>47</v>
      </c>
      <c r="D61" t="s">
        <v>46</v>
      </c>
      <c r="E61" t="s">
        <v>23</v>
      </c>
      <c r="F61" t="s">
        <v>35</v>
      </c>
      <c r="G61">
        <v>2216627</v>
      </c>
      <c r="H61">
        <v>9.1999999999999993</v>
      </c>
      <c r="I61">
        <v>24.56</v>
      </c>
      <c r="J61" s="1">
        <v>43309</v>
      </c>
      <c r="K61">
        <v>139</v>
      </c>
      <c r="L61">
        <v>5.4794520547945212E-4</v>
      </c>
      <c r="M61">
        <v>1214.5901369863016</v>
      </c>
      <c r="N61">
        <v>168828.02904109593</v>
      </c>
    </row>
    <row r="62" spans="1:14" x14ac:dyDescent="0.25">
      <c r="A62" t="s">
        <v>148</v>
      </c>
      <c r="B62" t="s">
        <v>17</v>
      </c>
      <c r="C62">
        <v>29</v>
      </c>
      <c r="D62" t="s">
        <v>12</v>
      </c>
      <c r="E62" t="s">
        <v>50</v>
      </c>
      <c r="F62" t="s">
        <v>20</v>
      </c>
      <c r="G62">
        <v>4831265</v>
      </c>
      <c r="H62">
        <v>20.65</v>
      </c>
      <c r="I62">
        <v>-8.3800000000000008</v>
      </c>
      <c r="J62" s="1">
        <v>44197</v>
      </c>
      <c r="K62">
        <v>323</v>
      </c>
      <c r="L62">
        <v>5.4794520547945212E-4</v>
      </c>
      <c r="M62">
        <v>2647.2684931506851</v>
      </c>
      <c r="N62">
        <v>855067.72328767134</v>
      </c>
    </row>
    <row r="63" spans="1:14" x14ac:dyDescent="0.25">
      <c r="A63" t="s">
        <v>150</v>
      </c>
      <c r="B63" t="s">
        <v>17</v>
      </c>
      <c r="C63">
        <v>51</v>
      </c>
      <c r="D63" t="s">
        <v>38</v>
      </c>
      <c r="E63" t="s">
        <v>23</v>
      </c>
      <c r="F63" t="s">
        <v>47</v>
      </c>
      <c r="G63">
        <v>1304969</v>
      </c>
      <c r="H63">
        <v>32.159999999999997</v>
      </c>
      <c r="I63">
        <v>5.99</v>
      </c>
      <c r="J63" s="1">
        <v>44801</v>
      </c>
      <c r="K63">
        <v>292</v>
      </c>
      <c r="L63">
        <v>5.4794520547945212E-4</v>
      </c>
      <c r="M63">
        <v>715.05150684931516</v>
      </c>
      <c r="N63">
        <v>208795.04000000004</v>
      </c>
    </row>
    <row r="64" spans="1:14" x14ac:dyDescent="0.25">
      <c r="A64" t="s">
        <v>152</v>
      </c>
      <c r="B64" t="s">
        <v>17</v>
      </c>
      <c r="C64">
        <v>56</v>
      </c>
      <c r="D64" t="s">
        <v>38</v>
      </c>
      <c r="E64" t="s">
        <v>29</v>
      </c>
      <c r="F64" t="s">
        <v>41</v>
      </c>
      <c r="G64">
        <v>2249420</v>
      </c>
      <c r="H64">
        <v>10.33</v>
      </c>
      <c r="I64">
        <v>-8.77</v>
      </c>
      <c r="J64" s="1">
        <v>43351</v>
      </c>
      <c r="K64">
        <v>124</v>
      </c>
      <c r="L64">
        <v>5.4794520547945212E-4</v>
      </c>
      <c r="M64">
        <v>1232.5589041095891</v>
      </c>
      <c r="N64">
        <v>152837.30410958905</v>
      </c>
    </row>
    <row r="65" spans="1:14" x14ac:dyDescent="0.25">
      <c r="A65" t="s">
        <v>154</v>
      </c>
      <c r="B65" t="s">
        <v>11</v>
      </c>
      <c r="C65">
        <v>36</v>
      </c>
      <c r="D65" t="s">
        <v>38</v>
      </c>
      <c r="E65" t="s">
        <v>19</v>
      </c>
      <c r="F65" t="s">
        <v>35</v>
      </c>
      <c r="G65">
        <v>1622417</v>
      </c>
      <c r="H65">
        <v>16.89</v>
      </c>
      <c r="I65">
        <v>6.19</v>
      </c>
      <c r="J65" s="1">
        <v>44273</v>
      </c>
      <c r="K65">
        <v>55</v>
      </c>
      <c r="L65">
        <v>5.4794520547945212E-4</v>
      </c>
      <c r="M65">
        <v>888.99561643835625</v>
      </c>
      <c r="N65">
        <v>48894.758904109593</v>
      </c>
    </row>
    <row r="66" spans="1:14" x14ac:dyDescent="0.25">
      <c r="A66" t="s">
        <v>156</v>
      </c>
      <c r="B66" t="s">
        <v>11</v>
      </c>
      <c r="C66">
        <v>30</v>
      </c>
      <c r="D66" t="s">
        <v>12</v>
      </c>
      <c r="E66" t="s">
        <v>29</v>
      </c>
      <c r="F66" t="s">
        <v>20</v>
      </c>
      <c r="G66">
        <v>3817993</v>
      </c>
      <c r="H66">
        <v>10.82</v>
      </c>
      <c r="I66">
        <v>-6.46</v>
      </c>
      <c r="J66" s="1">
        <v>43500</v>
      </c>
      <c r="K66">
        <v>341</v>
      </c>
      <c r="L66">
        <v>5.4794520547945212E-4</v>
      </c>
      <c r="M66">
        <v>2092.0509589041098</v>
      </c>
      <c r="N66">
        <v>713389.3769863015</v>
      </c>
    </row>
    <row r="67" spans="1:14" x14ac:dyDescent="0.25">
      <c r="A67" t="s">
        <v>158</v>
      </c>
      <c r="B67" t="s">
        <v>11</v>
      </c>
      <c r="C67">
        <v>47</v>
      </c>
      <c r="D67" t="s">
        <v>12</v>
      </c>
      <c r="E67" t="s">
        <v>50</v>
      </c>
      <c r="F67" t="s">
        <v>30</v>
      </c>
      <c r="G67">
        <v>3814896</v>
      </c>
      <c r="H67">
        <v>25.51</v>
      </c>
      <c r="I67">
        <v>-7.96</v>
      </c>
      <c r="J67" s="1">
        <v>44694</v>
      </c>
      <c r="K67">
        <v>161</v>
      </c>
      <c r="L67">
        <v>5.4794520547945212E-4</v>
      </c>
      <c r="M67">
        <v>2090.3539726027402</v>
      </c>
      <c r="N67">
        <v>336546.98958904116</v>
      </c>
    </row>
    <row r="68" spans="1:14" x14ac:dyDescent="0.25">
      <c r="A68" t="s">
        <v>160</v>
      </c>
      <c r="B68" t="s">
        <v>11</v>
      </c>
      <c r="C68">
        <v>61</v>
      </c>
      <c r="D68" t="s">
        <v>38</v>
      </c>
      <c r="E68" t="s">
        <v>50</v>
      </c>
      <c r="F68" t="s">
        <v>41</v>
      </c>
      <c r="G68">
        <v>650198</v>
      </c>
      <c r="H68">
        <v>27.54</v>
      </c>
      <c r="I68">
        <v>22.64</v>
      </c>
      <c r="J68" s="1">
        <v>45433</v>
      </c>
      <c r="K68">
        <v>358</v>
      </c>
      <c r="L68">
        <v>5.4794520547945212E-4</v>
      </c>
      <c r="M68">
        <v>356.27287671232881</v>
      </c>
      <c r="N68">
        <v>127545.68986301371</v>
      </c>
    </row>
    <row r="69" spans="1:14" x14ac:dyDescent="0.25">
      <c r="A69" t="s">
        <v>162</v>
      </c>
      <c r="B69" t="s">
        <v>11</v>
      </c>
      <c r="C69">
        <v>39</v>
      </c>
      <c r="D69" t="s">
        <v>38</v>
      </c>
      <c r="E69" t="s">
        <v>23</v>
      </c>
      <c r="F69" t="s">
        <v>30</v>
      </c>
      <c r="G69">
        <v>3070542</v>
      </c>
      <c r="H69">
        <v>16.559999999999999</v>
      </c>
      <c r="I69">
        <v>31.4</v>
      </c>
      <c r="J69" s="1">
        <v>45423</v>
      </c>
      <c r="K69">
        <v>120</v>
      </c>
      <c r="L69">
        <v>5.4794520547945212E-4</v>
      </c>
      <c r="M69">
        <v>1682.488767123288</v>
      </c>
      <c r="N69">
        <v>201898.65205479457</v>
      </c>
    </row>
    <row r="70" spans="1:14" x14ac:dyDescent="0.25">
      <c r="A70" t="s">
        <v>164</v>
      </c>
      <c r="B70" t="s">
        <v>11</v>
      </c>
      <c r="C70">
        <v>52</v>
      </c>
      <c r="D70" t="s">
        <v>18</v>
      </c>
      <c r="E70" t="s">
        <v>23</v>
      </c>
      <c r="F70" t="s">
        <v>41</v>
      </c>
      <c r="G70">
        <v>4820709</v>
      </c>
      <c r="H70">
        <v>12.48</v>
      </c>
      <c r="I70">
        <v>17.97</v>
      </c>
      <c r="J70" s="1">
        <v>44294</v>
      </c>
      <c r="K70">
        <v>110</v>
      </c>
      <c r="L70">
        <v>5.4794520547945212E-4</v>
      </c>
      <c r="M70">
        <v>2641.4843835616443</v>
      </c>
      <c r="N70">
        <v>290563.28219178086</v>
      </c>
    </row>
    <row r="71" spans="1:14" x14ac:dyDescent="0.25">
      <c r="A71" t="s">
        <v>165</v>
      </c>
      <c r="B71" t="s">
        <v>17</v>
      </c>
      <c r="C71">
        <v>65</v>
      </c>
      <c r="D71" t="s">
        <v>38</v>
      </c>
      <c r="E71" t="s">
        <v>13</v>
      </c>
      <c r="F71" t="s">
        <v>30</v>
      </c>
      <c r="G71">
        <v>2411477</v>
      </c>
      <c r="H71">
        <v>25</v>
      </c>
      <c r="I71">
        <v>5.77</v>
      </c>
      <c r="J71" s="1">
        <v>44852</v>
      </c>
      <c r="K71">
        <v>243</v>
      </c>
      <c r="L71">
        <v>5.4794520547945212E-4</v>
      </c>
      <c r="M71">
        <v>1321.3572602739728</v>
      </c>
      <c r="N71">
        <v>321089.81424657541</v>
      </c>
    </row>
    <row r="72" spans="1:14" x14ac:dyDescent="0.25">
      <c r="A72" t="s">
        <v>167</v>
      </c>
      <c r="B72" t="s">
        <v>17</v>
      </c>
      <c r="C72">
        <v>39</v>
      </c>
      <c r="D72" t="s">
        <v>38</v>
      </c>
      <c r="E72" t="s">
        <v>29</v>
      </c>
      <c r="F72" t="s">
        <v>20</v>
      </c>
      <c r="G72">
        <v>1350073</v>
      </c>
      <c r="H72">
        <v>34.29</v>
      </c>
      <c r="I72">
        <v>-5.44</v>
      </c>
      <c r="J72" s="1">
        <v>45348</v>
      </c>
      <c r="K72">
        <v>127</v>
      </c>
      <c r="L72">
        <v>5.4794520547945212E-4</v>
      </c>
      <c r="M72">
        <v>739.76602739726036</v>
      </c>
      <c r="N72">
        <v>93950.285479452068</v>
      </c>
    </row>
    <row r="73" spans="1:14" x14ac:dyDescent="0.25">
      <c r="A73" t="s">
        <v>169</v>
      </c>
      <c r="B73" t="s">
        <v>11</v>
      </c>
      <c r="C73">
        <v>46</v>
      </c>
      <c r="D73" t="s">
        <v>28</v>
      </c>
      <c r="E73" t="s">
        <v>23</v>
      </c>
      <c r="F73" t="s">
        <v>14</v>
      </c>
      <c r="G73">
        <v>3695521</v>
      </c>
      <c r="H73">
        <v>7.06</v>
      </c>
      <c r="I73">
        <v>3.32</v>
      </c>
      <c r="J73" s="1">
        <v>44336</v>
      </c>
      <c r="K73">
        <v>30</v>
      </c>
      <c r="L73">
        <v>5.4794520547945212E-4</v>
      </c>
      <c r="M73">
        <v>2024.9430136986305</v>
      </c>
      <c r="N73">
        <v>60748.290410958914</v>
      </c>
    </row>
    <row r="74" spans="1:14" x14ac:dyDescent="0.25">
      <c r="A74" t="s">
        <v>171</v>
      </c>
      <c r="B74" t="s">
        <v>17</v>
      </c>
      <c r="C74">
        <v>46</v>
      </c>
      <c r="D74" t="s">
        <v>46</v>
      </c>
      <c r="E74" t="s">
        <v>23</v>
      </c>
      <c r="F74" t="s">
        <v>41</v>
      </c>
      <c r="G74">
        <v>1786322</v>
      </c>
      <c r="H74">
        <v>15.39</v>
      </c>
      <c r="I74">
        <v>42.2</v>
      </c>
      <c r="J74" s="1">
        <v>43458</v>
      </c>
      <c r="K74">
        <v>66</v>
      </c>
      <c r="L74">
        <v>5.4794520547945212E-4</v>
      </c>
      <c r="M74">
        <v>978.80657534246586</v>
      </c>
      <c r="N74">
        <v>64601.233972602749</v>
      </c>
    </row>
    <row r="75" spans="1:14" x14ac:dyDescent="0.25">
      <c r="A75" t="s">
        <v>173</v>
      </c>
      <c r="B75" t="s">
        <v>11</v>
      </c>
      <c r="C75">
        <v>21</v>
      </c>
      <c r="D75" t="s">
        <v>12</v>
      </c>
      <c r="E75" t="s">
        <v>19</v>
      </c>
      <c r="F75" t="s">
        <v>14</v>
      </c>
      <c r="G75">
        <v>3834745</v>
      </c>
      <c r="H75">
        <v>25.42</v>
      </c>
      <c r="I75">
        <v>-7.4</v>
      </c>
      <c r="J75" s="1">
        <v>44175</v>
      </c>
      <c r="K75">
        <v>228</v>
      </c>
      <c r="L75">
        <v>5.4794520547945212E-4</v>
      </c>
      <c r="M75">
        <v>2101.2301369863017</v>
      </c>
      <c r="N75">
        <v>479080.47123287676</v>
      </c>
    </row>
    <row r="76" spans="1:14" x14ac:dyDescent="0.25">
      <c r="A76" t="s">
        <v>175</v>
      </c>
      <c r="B76" t="s">
        <v>11</v>
      </c>
      <c r="C76">
        <v>54</v>
      </c>
      <c r="D76" t="s">
        <v>12</v>
      </c>
      <c r="E76" t="s">
        <v>23</v>
      </c>
      <c r="F76" t="s">
        <v>14</v>
      </c>
      <c r="G76">
        <v>1652043</v>
      </c>
      <c r="H76">
        <v>11.73</v>
      </c>
      <c r="I76">
        <v>30.18</v>
      </c>
      <c r="J76" s="1">
        <v>43970</v>
      </c>
      <c r="K76">
        <v>252</v>
      </c>
      <c r="L76">
        <v>5.4794520547945212E-4</v>
      </c>
      <c r="M76">
        <v>905.22904109589058</v>
      </c>
      <c r="N76">
        <v>228117.71835616443</v>
      </c>
    </row>
    <row r="77" spans="1:14" x14ac:dyDescent="0.25">
      <c r="A77" t="s">
        <v>177</v>
      </c>
      <c r="B77" t="s">
        <v>11</v>
      </c>
      <c r="C77">
        <v>48</v>
      </c>
      <c r="D77" t="s">
        <v>28</v>
      </c>
      <c r="E77" t="s">
        <v>19</v>
      </c>
      <c r="F77" t="s">
        <v>35</v>
      </c>
      <c r="G77">
        <v>3122025</v>
      </c>
      <c r="H77">
        <v>18.54</v>
      </c>
      <c r="I77">
        <v>-2.58</v>
      </c>
      <c r="J77" s="1">
        <v>44828</v>
      </c>
      <c r="K77">
        <v>54</v>
      </c>
      <c r="L77">
        <v>5.4794520547945212E-4</v>
      </c>
      <c r="M77">
        <v>1710.6986301369866</v>
      </c>
      <c r="N77">
        <v>92377.726027397279</v>
      </c>
    </row>
    <row r="78" spans="1:14" x14ac:dyDescent="0.25">
      <c r="A78" t="s">
        <v>179</v>
      </c>
      <c r="B78" t="s">
        <v>17</v>
      </c>
      <c r="C78">
        <v>52</v>
      </c>
      <c r="D78" t="s">
        <v>46</v>
      </c>
      <c r="E78" t="s">
        <v>13</v>
      </c>
      <c r="F78" t="s">
        <v>41</v>
      </c>
      <c r="G78">
        <v>4270793</v>
      </c>
      <c r="H78">
        <v>9.07</v>
      </c>
      <c r="I78">
        <v>31.13</v>
      </c>
      <c r="J78" s="1">
        <v>45478</v>
      </c>
      <c r="K78">
        <v>51</v>
      </c>
      <c r="L78">
        <v>5.4794520547945212E-4</v>
      </c>
      <c r="M78">
        <v>2340.160547945206</v>
      </c>
      <c r="N78">
        <v>119348.1879452055</v>
      </c>
    </row>
    <row r="79" spans="1:14" x14ac:dyDescent="0.25">
      <c r="A79" t="s">
        <v>181</v>
      </c>
      <c r="B79" t="s">
        <v>17</v>
      </c>
      <c r="C79">
        <v>63</v>
      </c>
      <c r="D79" t="s">
        <v>18</v>
      </c>
      <c r="E79" t="s">
        <v>23</v>
      </c>
      <c r="F79" t="s">
        <v>14</v>
      </c>
      <c r="G79">
        <v>4063475</v>
      </c>
      <c r="H79">
        <v>30.51</v>
      </c>
      <c r="I79">
        <v>-4.46</v>
      </c>
      <c r="J79" s="1">
        <v>44354</v>
      </c>
      <c r="K79">
        <v>245</v>
      </c>
      <c r="L79">
        <v>5.4794520547945212E-4</v>
      </c>
      <c r="M79">
        <v>2226.5616438356169</v>
      </c>
      <c r="N79">
        <v>545507.60273972619</v>
      </c>
    </row>
    <row r="80" spans="1:14" x14ac:dyDescent="0.25">
      <c r="A80" t="s">
        <v>183</v>
      </c>
      <c r="B80" t="s">
        <v>17</v>
      </c>
      <c r="C80">
        <v>60</v>
      </c>
      <c r="D80" t="s">
        <v>28</v>
      </c>
      <c r="E80" t="s">
        <v>57</v>
      </c>
      <c r="F80" t="s">
        <v>47</v>
      </c>
      <c r="G80">
        <v>1589934</v>
      </c>
      <c r="H80">
        <v>6.13</v>
      </c>
      <c r="I80">
        <v>36.5</v>
      </c>
      <c r="J80" s="1">
        <v>45552</v>
      </c>
      <c r="K80">
        <v>206</v>
      </c>
      <c r="L80">
        <v>5.4794520547945212E-4</v>
      </c>
      <c r="M80">
        <v>871.19671232876726</v>
      </c>
      <c r="N80">
        <v>179466.52273972606</v>
      </c>
    </row>
    <row r="81" spans="1:14" x14ac:dyDescent="0.25">
      <c r="A81" t="s">
        <v>185</v>
      </c>
      <c r="B81" t="s">
        <v>11</v>
      </c>
      <c r="C81">
        <v>63</v>
      </c>
      <c r="D81" t="s">
        <v>12</v>
      </c>
      <c r="E81" t="s">
        <v>23</v>
      </c>
      <c r="F81" t="s">
        <v>30</v>
      </c>
      <c r="G81">
        <v>2477026</v>
      </c>
      <c r="H81">
        <v>12.08</v>
      </c>
      <c r="I81">
        <v>5.36</v>
      </c>
      <c r="J81" s="1">
        <v>43141</v>
      </c>
      <c r="K81">
        <v>121</v>
      </c>
      <c r="L81">
        <v>5.4794520547945212E-4</v>
      </c>
      <c r="M81">
        <v>1357.2745205479455</v>
      </c>
      <c r="N81">
        <v>164230.21698630141</v>
      </c>
    </row>
    <row r="82" spans="1:14" x14ac:dyDescent="0.25">
      <c r="A82" t="s">
        <v>187</v>
      </c>
      <c r="B82" t="s">
        <v>17</v>
      </c>
      <c r="C82">
        <v>36</v>
      </c>
      <c r="D82" t="s">
        <v>38</v>
      </c>
      <c r="E82" t="s">
        <v>23</v>
      </c>
      <c r="F82" t="s">
        <v>20</v>
      </c>
      <c r="G82">
        <v>3119731</v>
      </c>
      <c r="H82">
        <v>25.35</v>
      </c>
      <c r="I82">
        <v>14.61</v>
      </c>
      <c r="J82" s="1">
        <v>44108</v>
      </c>
      <c r="K82">
        <v>124</v>
      </c>
      <c r="L82">
        <v>5.4794520547945212E-4</v>
      </c>
      <c r="M82">
        <v>1709.4416438356166</v>
      </c>
      <c r="N82">
        <v>211970.76383561647</v>
      </c>
    </row>
    <row r="83" spans="1:14" x14ac:dyDescent="0.25">
      <c r="A83" t="s">
        <v>189</v>
      </c>
      <c r="B83" t="s">
        <v>11</v>
      </c>
      <c r="C83">
        <v>42</v>
      </c>
      <c r="D83" t="s">
        <v>46</v>
      </c>
      <c r="E83" t="s">
        <v>13</v>
      </c>
      <c r="F83" t="s">
        <v>47</v>
      </c>
      <c r="G83">
        <v>2758892</v>
      </c>
      <c r="H83">
        <v>5.89</v>
      </c>
      <c r="I83">
        <v>36.659999999999997</v>
      </c>
      <c r="J83" s="1">
        <v>43200</v>
      </c>
      <c r="K83">
        <v>312</v>
      </c>
      <c r="L83">
        <v>5.4794520547945212E-4</v>
      </c>
      <c r="M83">
        <v>1511.7216438356165</v>
      </c>
      <c r="N83">
        <v>471657.15287671238</v>
      </c>
    </row>
    <row r="84" spans="1:14" x14ac:dyDescent="0.25">
      <c r="A84" t="s">
        <v>191</v>
      </c>
      <c r="B84" t="s">
        <v>17</v>
      </c>
      <c r="C84">
        <v>52</v>
      </c>
      <c r="D84" t="s">
        <v>28</v>
      </c>
      <c r="E84" t="s">
        <v>23</v>
      </c>
      <c r="F84" t="s">
        <v>47</v>
      </c>
      <c r="G84">
        <v>158107</v>
      </c>
      <c r="H84">
        <v>12.85</v>
      </c>
      <c r="I84">
        <v>-9.0399999999999991</v>
      </c>
      <c r="J84" s="1">
        <v>45053</v>
      </c>
      <c r="K84">
        <v>143</v>
      </c>
      <c r="L84">
        <v>5.4794520547945212E-4</v>
      </c>
      <c r="M84">
        <v>86.633972602739732</v>
      </c>
      <c r="N84">
        <v>12388.658082191781</v>
      </c>
    </row>
    <row r="85" spans="1:14" x14ac:dyDescent="0.25">
      <c r="A85" t="s">
        <v>193</v>
      </c>
      <c r="B85" t="s">
        <v>11</v>
      </c>
      <c r="C85">
        <v>59</v>
      </c>
      <c r="D85" t="s">
        <v>12</v>
      </c>
      <c r="E85" t="s">
        <v>57</v>
      </c>
      <c r="F85" t="s">
        <v>20</v>
      </c>
      <c r="G85">
        <v>371284</v>
      </c>
      <c r="H85">
        <v>22.3</v>
      </c>
      <c r="I85">
        <v>43.47</v>
      </c>
      <c r="J85" s="1">
        <v>43610</v>
      </c>
      <c r="K85">
        <v>82</v>
      </c>
      <c r="L85">
        <v>5.4794520547945212E-4</v>
      </c>
      <c r="M85">
        <v>203.44328767123289</v>
      </c>
      <c r="N85">
        <v>16682.349589041096</v>
      </c>
    </row>
    <row r="86" spans="1:14" x14ac:dyDescent="0.25">
      <c r="A86" t="s">
        <v>195</v>
      </c>
      <c r="B86" t="s">
        <v>11</v>
      </c>
      <c r="C86">
        <v>22</v>
      </c>
      <c r="D86" t="s">
        <v>28</v>
      </c>
      <c r="E86" t="s">
        <v>13</v>
      </c>
      <c r="F86" t="s">
        <v>14</v>
      </c>
      <c r="G86">
        <v>2174141</v>
      </c>
      <c r="H86">
        <v>29.74</v>
      </c>
      <c r="I86">
        <v>-4.6900000000000004</v>
      </c>
      <c r="J86" s="1">
        <v>44837</v>
      </c>
      <c r="K86">
        <v>215</v>
      </c>
      <c r="L86">
        <v>5.4794520547945212E-4</v>
      </c>
      <c r="M86">
        <v>1191.3101369863016</v>
      </c>
      <c r="N86">
        <v>256131.67945205484</v>
      </c>
    </row>
    <row r="87" spans="1:14" x14ac:dyDescent="0.25">
      <c r="A87" t="s">
        <v>197</v>
      </c>
      <c r="B87" t="s">
        <v>11</v>
      </c>
      <c r="C87">
        <v>24</v>
      </c>
      <c r="D87" t="s">
        <v>28</v>
      </c>
      <c r="E87" t="s">
        <v>23</v>
      </c>
      <c r="F87" t="s">
        <v>20</v>
      </c>
      <c r="G87">
        <v>1595114</v>
      </c>
      <c r="H87">
        <v>27.49</v>
      </c>
      <c r="I87">
        <v>10.29</v>
      </c>
      <c r="J87" s="1">
        <v>45494</v>
      </c>
      <c r="K87">
        <v>186</v>
      </c>
      <c r="L87">
        <v>5.4794520547945212E-4</v>
      </c>
      <c r="M87">
        <v>874.03506849315079</v>
      </c>
      <c r="N87">
        <v>162570.52273972606</v>
      </c>
    </row>
    <row r="88" spans="1:14" x14ac:dyDescent="0.25">
      <c r="A88" t="s">
        <v>199</v>
      </c>
      <c r="B88" t="s">
        <v>11</v>
      </c>
      <c r="C88">
        <v>34</v>
      </c>
      <c r="D88" t="s">
        <v>46</v>
      </c>
      <c r="E88" t="s">
        <v>57</v>
      </c>
      <c r="F88" t="s">
        <v>47</v>
      </c>
      <c r="G88">
        <v>4635752</v>
      </c>
      <c r="H88">
        <v>33.619999999999997</v>
      </c>
      <c r="I88">
        <v>1.63</v>
      </c>
      <c r="J88" s="1">
        <v>43821</v>
      </c>
      <c r="K88">
        <v>203</v>
      </c>
      <c r="L88">
        <v>5.4794520547945212E-4</v>
      </c>
      <c r="M88">
        <v>2540.138082191781</v>
      </c>
      <c r="N88">
        <v>515648.03068493155</v>
      </c>
    </row>
    <row r="89" spans="1:14" x14ac:dyDescent="0.25">
      <c r="A89" t="s">
        <v>201</v>
      </c>
      <c r="B89" t="s">
        <v>17</v>
      </c>
      <c r="C89">
        <v>47</v>
      </c>
      <c r="D89" t="s">
        <v>18</v>
      </c>
      <c r="E89" t="s">
        <v>13</v>
      </c>
      <c r="F89" t="s">
        <v>41</v>
      </c>
      <c r="G89">
        <v>3779544</v>
      </c>
      <c r="H89">
        <v>11.23</v>
      </c>
      <c r="I89">
        <v>-4.92</v>
      </c>
      <c r="J89" s="1">
        <v>43146</v>
      </c>
      <c r="K89">
        <v>65</v>
      </c>
      <c r="L89">
        <v>5.4794520547945212E-4</v>
      </c>
      <c r="M89">
        <v>2070.9830136986302</v>
      </c>
      <c r="N89">
        <v>134613.89589041096</v>
      </c>
    </row>
    <row r="90" spans="1:14" x14ac:dyDescent="0.25">
      <c r="A90" t="s">
        <v>203</v>
      </c>
      <c r="B90" t="s">
        <v>17</v>
      </c>
      <c r="C90">
        <v>45</v>
      </c>
      <c r="D90" t="s">
        <v>12</v>
      </c>
      <c r="E90" t="s">
        <v>57</v>
      </c>
      <c r="F90" t="s">
        <v>47</v>
      </c>
      <c r="G90">
        <v>2878354</v>
      </c>
      <c r="H90">
        <v>25.96</v>
      </c>
      <c r="I90">
        <v>7.63</v>
      </c>
      <c r="J90" s="1">
        <v>43494</v>
      </c>
      <c r="K90">
        <v>15</v>
      </c>
      <c r="L90">
        <v>5.4794520547945212E-4</v>
      </c>
      <c r="M90">
        <v>1577.1802739726029</v>
      </c>
      <c r="N90">
        <v>23657.704109589042</v>
      </c>
    </row>
    <row r="91" spans="1:14" x14ac:dyDescent="0.25">
      <c r="A91" t="s">
        <v>205</v>
      </c>
      <c r="B91" t="s">
        <v>17</v>
      </c>
      <c r="C91">
        <v>40</v>
      </c>
      <c r="D91" t="s">
        <v>18</v>
      </c>
      <c r="E91" t="s">
        <v>23</v>
      </c>
      <c r="F91" t="s">
        <v>41</v>
      </c>
      <c r="G91">
        <v>3188786</v>
      </c>
      <c r="H91">
        <v>21.74</v>
      </c>
      <c r="I91">
        <v>-7.54</v>
      </c>
      <c r="J91" s="1">
        <v>45030</v>
      </c>
      <c r="K91">
        <v>193</v>
      </c>
      <c r="L91">
        <v>5.4794520547945212E-4</v>
      </c>
      <c r="M91">
        <v>1747.2800000000002</v>
      </c>
      <c r="N91">
        <v>337225.04000000004</v>
      </c>
    </row>
    <row r="92" spans="1:14" x14ac:dyDescent="0.25">
      <c r="A92" t="s">
        <v>207</v>
      </c>
      <c r="B92" t="s">
        <v>17</v>
      </c>
      <c r="C92">
        <v>65</v>
      </c>
      <c r="D92" t="s">
        <v>46</v>
      </c>
      <c r="E92" t="s">
        <v>19</v>
      </c>
      <c r="F92" t="s">
        <v>30</v>
      </c>
      <c r="G92">
        <v>3883719</v>
      </c>
      <c r="H92">
        <v>12.07</v>
      </c>
      <c r="I92">
        <v>0.39</v>
      </c>
      <c r="J92" s="1">
        <v>44486</v>
      </c>
      <c r="K92">
        <v>362</v>
      </c>
      <c r="L92">
        <v>5.4794520547945212E-4</v>
      </c>
      <c r="M92">
        <v>2128.0652054794523</v>
      </c>
      <c r="N92">
        <v>770359.60438356176</v>
      </c>
    </row>
    <row r="93" spans="1:14" x14ac:dyDescent="0.25">
      <c r="A93" t="s">
        <v>209</v>
      </c>
      <c r="B93" t="s">
        <v>11</v>
      </c>
      <c r="C93">
        <v>54</v>
      </c>
      <c r="D93" t="s">
        <v>46</v>
      </c>
      <c r="E93" t="s">
        <v>50</v>
      </c>
      <c r="F93" t="s">
        <v>35</v>
      </c>
      <c r="G93">
        <v>4326814</v>
      </c>
      <c r="H93">
        <v>26.65</v>
      </c>
      <c r="I93">
        <v>24.44</v>
      </c>
      <c r="J93" s="1">
        <v>44406</v>
      </c>
      <c r="K93">
        <v>232</v>
      </c>
      <c r="L93">
        <v>5.4794520547945212E-4</v>
      </c>
      <c r="M93">
        <v>2370.8569863013699</v>
      </c>
      <c r="N93">
        <v>550038.82082191785</v>
      </c>
    </row>
    <row r="94" spans="1:14" x14ac:dyDescent="0.25">
      <c r="A94" t="s">
        <v>211</v>
      </c>
      <c r="B94" t="s">
        <v>11</v>
      </c>
      <c r="C94">
        <v>24</v>
      </c>
      <c r="D94" t="s">
        <v>28</v>
      </c>
      <c r="E94" t="s">
        <v>23</v>
      </c>
      <c r="F94" t="s">
        <v>35</v>
      </c>
      <c r="G94">
        <v>2858292</v>
      </c>
      <c r="H94">
        <v>29.62</v>
      </c>
      <c r="I94">
        <v>20.149999999999999</v>
      </c>
      <c r="J94" s="1">
        <v>43199</v>
      </c>
      <c r="K94">
        <v>286</v>
      </c>
      <c r="L94">
        <v>5.4794520547945212E-4</v>
      </c>
      <c r="M94">
        <v>1566.1873972602741</v>
      </c>
      <c r="N94">
        <v>447929.59561643837</v>
      </c>
    </row>
    <row r="95" spans="1:14" x14ac:dyDescent="0.25">
      <c r="A95" t="s">
        <v>213</v>
      </c>
      <c r="B95" t="s">
        <v>11</v>
      </c>
      <c r="C95">
        <v>25</v>
      </c>
      <c r="D95" t="s">
        <v>38</v>
      </c>
      <c r="E95" t="s">
        <v>57</v>
      </c>
      <c r="F95" t="s">
        <v>35</v>
      </c>
      <c r="G95">
        <v>1768834</v>
      </c>
      <c r="H95">
        <v>23.34</v>
      </c>
      <c r="I95">
        <v>42.16</v>
      </c>
      <c r="J95" s="1">
        <v>43313</v>
      </c>
      <c r="K95">
        <v>173</v>
      </c>
      <c r="L95">
        <v>5.4794520547945212E-4</v>
      </c>
      <c r="M95">
        <v>969.22410958904118</v>
      </c>
      <c r="N95">
        <v>167675.77095890412</v>
      </c>
    </row>
    <row r="96" spans="1:14" x14ac:dyDescent="0.25">
      <c r="A96" t="s">
        <v>215</v>
      </c>
      <c r="B96" t="s">
        <v>17</v>
      </c>
      <c r="C96">
        <v>30</v>
      </c>
      <c r="D96" t="s">
        <v>18</v>
      </c>
      <c r="E96" t="s">
        <v>23</v>
      </c>
      <c r="F96" t="s">
        <v>14</v>
      </c>
      <c r="G96">
        <v>1239995</v>
      </c>
      <c r="H96">
        <v>23.25</v>
      </c>
      <c r="I96">
        <v>4.95</v>
      </c>
      <c r="J96" s="1">
        <v>45358</v>
      </c>
      <c r="K96">
        <v>178</v>
      </c>
      <c r="L96">
        <v>5.4794520547945212E-4</v>
      </c>
      <c r="M96">
        <v>679.44931506849321</v>
      </c>
      <c r="N96">
        <v>120941.9780821918</v>
      </c>
    </row>
    <row r="97" spans="1:14" x14ac:dyDescent="0.25">
      <c r="A97" t="s">
        <v>217</v>
      </c>
      <c r="B97" t="s">
        <v>11</v>
      </c>
      <c r="C97">
        <v>58</v>
      </c>
      <c r="D97" t="s">
        <v>46</v>
      </c>
      <c r="E97" t="s">
        <v>19</v>
      </c>
      <c r="F97" t="s">
        <v>47</v>
      </c>
      <c r="G97">
        <v>4263709</v>
      </c>
      <c r="H97">
        <v>32.01</v>
      </c>
      <c r="I97">
        <v>30.05</v>
      </c>
      <c r="J97" s="1">
        <v>44214</v>
      </c>
      <c r="K97">
        <v>23</v>
      </c>
      <c r="L97">
        <v>5.4794520547945212E-4</v>
      </c>
      <c r="M97">
        <v>2336.2789041095893</v>
      </c>
      <c r="N97">
        <v>53734.414794520555</v>
      </c>
    </row>
    <row r="98" spans="1:14" x14ac:dyDescent="0.25">
      <c r="A98" t="s">
        <v>219</v>
      </c>
      <c r="B98" t="s">
        <v>17</v>
      </c>
      <c r="C98">
        <v>38</v>
      </c>
      <c r="D98" t="s">
        <v>46</v>
      </c>
      <c r="E98" t="s">
        <v>13</v>
      </c>
      <c r="F98" t="s">
        <v>41</v>
      </c>
      <c r="G98">
        <v>1392330</v>
      </c>
      <c r="H98">
        <v>20.95</v>
      </c>
      <c r="I98">
        <v>20.07</v>
      </c>
      <c r="J98" s="1">
        <v>44476</v>
      </c>
      <c r="K98">
        <v>231</v>
      </c>
      <c r="L98">
        <v>5.4794520547945212E-4</v>
      </c>
      <c r="M98">
        <v>762.92054794520561</v>
      </c>
      <c r="N98">
        <v>176234.64657534249</v>
      </c>
    </row>
    <row r="99" spans="1:14" x14ac:dyDescent="0.25">
      <c r="A99" t="s">
        <v>221</v>
      </c>
      <c r="B99" t="s">
        <v>11</v>
      </c>
      <c r="C99">
        <v>31</v>
      </c>
      <c r="D99" t="s">
        <v>28</v>
      </c>
      <c r="E99" t="s">
        <v>57</v>
      </c>
      <c r="F99" t="s">
        <v>30</v>
      </c>
      <c r="G99">
        <v>1166057</v>
      </c>
      <c r="H99">
        <v>17.62</v>
      </c>
      <c r="I99">
        <v>13.78</v>
      </c>
      <c r="J99" s="1">
        <v>44277</v>
      </c>
      <c r="K99">
        <v>121</v>
      </c>
      <c r="L99">
        <v>5.4794520547945212E-4</v>
      </c>
      <c r="M99">
        <v>638.93534246575348</v>
      </c>
      <c r="N99">
        <v>77311.176438356168</v>
      </c>
    </row>
    <row r="100" spans="1:14" x14ac:dyDescent="0.25">
      <c r="A100" t="s">
        <v>223</v>
      </c>
      <c r="B100" t="s">
        <v>11</v>
      </c>
      <c r="C100">
        <v>52</v>
      </c>
      <c r="D100" t="s">
        <v>38</v>
      </c>
      <c r="E100" t="s">
        <v>13</v>
      </c>
      <c r="F100" t="s">
        <v>20</v>
      </c>
      <c r="G100">
        <v>1206187</v>
      </c>
      <c r="H100">
        <v>20.260000000000002</v>
      </c>
      <c r="I100">
        <v>-4.68</v>
      </c>
      <c r="J100" s="1">
        <v>43673</v>
      </c>
      <c r="K100">
        <v>319</v>
      </c>
      <c r="L100">
        <v>5.4794520547945212E-4</v>
      </c>
      <c r="M100">
        <v>660.92438356164394</v>
      </c>
      <c r="N100">
        <v>210834.87835616441</v>
      </c>
    </row>
    <row r="101" spans="1:14" x14ac:dyDescent="0.25">
      <c r="A101" t="s">
        <v>225</v>
      </c>
      <c r="B101" t="s">
        <v>11</v>
      </c>
      <c r="C101">
        <v>26</v>
      </c>
      <c r="D101" t="s">
        <v>18</v>
      </c>
      <c r="E101" t="s">
        <v>13</v>
      </c>
      <c r="F101" t="s">
        <v>14</v>
      </c>
      <c r="G101">
        <v>1095723</v>
      </c>
      <c r="H101">
        <v>27.08</v>
      </c>
      <c r="I101">
        <v>34.82</v>
      </c>
      <c r="J101" s="1">
        <v>45543</v>
      </c>
      <c r="K101">
        <v>346</v>
      </c>
      <c r="L101">
        <v>5.4794520547945212E-4</v>
      </c>
      <c r="M101">
        <v>600.39616438356177</v>
      </c>
      <c r="N101">
        <v>207737.07287671237</v>
      </c>
    </row>
    <row r="102" spans="1:14" x14ac:dyDescent="0.25">
      <c r="A102" t="s">
        <v>227</v>
      </c>
      <c r="B102" t="s">
        <v>11</v>
      </c>
      <c r="C102">
        <v>62</v>
      </c>
      <c r="D102" t="s">
        <v>12</v>
      </c>
      <c r="E102" t="s">
        <v>50</v>
      </c>
      <c r="F102" t="s">
        <v>14</v>
      </c>
      <c r="G102">
        <v>787718</v>
      </c>
      <c r="H102">
        <v>16.32</v>
      </c>
      <c r="I102">
        <v>6.53</v>
      </c>
      <c r="J102" s="1">
        <v>44767</v>
      </c>
      <c r="K102">
        <v>233</v>
      </c>
      <c r="L102">
        <v>5.4794520547945212E-4</v>
      </c>
      <c r="M102">
        <v>431.62630136986309</v>
      </c>
      <c r="N102">
        <v>100568.92821917809</v>
      </c>
    </row>
    <row r="103" spans="1:14" x14ac:dyDescent="0.25">
      <c r="A103" t="s">
        <v>229</v>
      </c>
      <c r="B103" t="s">
        <v>17</v>
      </c>
      <c r="C103">
        <v>62</v>
      </c>
      <c r="D103" t="s">
        <v>18</v>
      </c>
      <c r="E103" t="s">
        <v>57</v>
      </c>
      <c r="F103" t="s">
        <v>20</v>
      </c>
      <c r="G103">
        <v>787301</v>
      </c>
      <c r="H103">
        <v>15.96</v>
      </c>
      <c r="I103">
        <v>11.97</v>
      </c>
      <c r="J103" s="1">
        <v>43946</v>
      </c>
      <c r="K103">
        <v>136</v>
      </c>
      <c r="L103">
        <v>5.4794520547945212E-4</v>
      </c>
      <c r="M103">
        <v>431.39780821917816</v>
      </c>
      <c r="N103">
        <v>58670.101917808228</v>
      </c>
    </row>
    <row r="104" spans="1:14" x14ac:dyDescent="0.25">
      <c r="A104" t="s">
        <v>231</v>
      </c>
      <c r="B104" t="s">
        <v>11</v>
      </c>
      <c r="C104">
        <v>62</v>
      </c>
      <c r="D104" t="s">
        <v>46</v>
      </c>
      <c r="E104" t="s">
        <v>50</v>
      </c>
      <c r="F104" t="s">
        <v>20</v>
      </c>
      <c r="G104">
        <v>2399347</v>
      </c>
      <c r="H104">
        <v>34.97</v>
      </c>
      <c r="I104">
        <v>-1.03</v>
      </c>
      <c r="J104" s="1">
        <v>43679</v>
      </c>
      <c r="K104">
        <v>274</v>
      </c>
      <c r="L104">
        <v>5.4794520547945212E-4</v>
      </c>
      <c r="M104">
        <v>1314.7106849315071</v>
      </c>
      <c r="N104">
        <v>360230.72767123295</v>
      </c>
    </row>
    <row r="105" spans="1:14" x14ac:dyDescent="0.25">
      <c r="A105" t="s">
        <v>233</v>
      </c>
      <c r="B105" t="s">
        <v>17</v>
      </c>
      <c r="C105">
        <v>24</v>
      </c>
      <c r="D105" t="s">
        <v>12</v>
      </c>
      <c r="E105" t="s">
        <v>19</v>
      </c>
      <c r="F105" t="s">
        <v>30</v>
      </c>
      <c r="G105">
        <v>1250053</v>
      </c>
      <c r="H105">
        <v>15.21</v>
      </c>
      <c r="I105">
        <v>31.6</v>
      </c>
      <c r="J105" s="1">
        <v>43527</v>
      </c>
      <c r="K105">
        <v>94</v>
      </c>
      <c r="L105">
        <v>5.4794520547945212E-4</v>
      </c>
      <c r="M105">
        <v>684.96054794520558</v>
      </c>
      <c r="N105">
        <v>64386.291506849324</v>
      </c>
    </row>
    <row r="106" spans="1:14" x14ac:dyDescent="0.25">
      <c r="A106" t="s">
        <v>235</v>
      </c>
      <c r="B106" t="s">
        <v>17</v>
      </c>
      <c r="C106">
        <v>27</v>
      </c>
      <c r="D106" t="s">
        <v>12</v>
      </c>
      <c r="E106" t="s">
        <v>50</v>
      </c>
      <c r="F106" t="s">
        <v>35</v>
      </c>
      <c r="G106">
        <v>4116454</v>
      </c>
      <c r="H106">
        <v>13.92</v>
      </c>
      <c r="I106">
        <v>18.79</v>
      </c>
      <c r="J106" s="1">
        <v>43716</v>
      </c>
      <c r="K106">
        <v>125</v>
      </c>
      <c r="L106">
        <v>5.4794520547945212E-4</v>
      </c>
      <c r="M106">
        <v>2255.5912328767126</v>
      </c>
      <c r="N106">
        <v>281948.90410958906</v>
      </c>
    </row>
    <row r="107" spans="1:14" x14ac:dyDescent="0.25">
      <c r="A107" t="s">
        <v>237</v>
      </c>
      <c r="B107" t="s">
        <v>17</v>
      </c>
      <c r="C107">
        <v>46</v>
      </c>
      <c r="D107" t="s">
        <v>46</v>
      </c>
      <c r="E107" t="s">
        <v>23</v>
      </c>
      <c r="F107" t="s">
        <v>20</v>
      </c>
      <c r="G107">
        <v>306798</v>
      </c>
      <c r="H107">
        <v>17.059999999999999</v>
      </c>
      <c r="I107">
        <v>25.09</v>
      </c>
      <c r="J107" s="1">
        <v>43838</v>
      </c>
      <c r="K107">
        <v>68</v>
      </c>
      <c r="L107">
        <v>5.4794520547945212E-4</v>
      </c>
      <c r="M107">
        <v>168.10849315068495</v>
      </c>
      <c r="N107">
        <v>11431.377534246576</v>
      </c>
    </row>
    <row r="108" spans="1:14" x14ac:dyDescent="0.25">
      <c r="A108" t="s">
        <v>239</v>
      </c>
      <c r="B108" t="s">
        <v>11</v>
      </c>
      <c r="C108">
        <v>24</v>
      </c>
      <c r="D108" t="s">
        <v>38</v>
      </c>
      <c r="E108" t="s">
        <v>50</v>
      </c>
      <c r="F108" t="s">
        <v>41</v>
      </c>
      <c r="G108">
        <v>970444</v>
      </c>
      <c r="H108">
        <v>31.23</v>
      </c>
      <c r="I108">
        <v>-1.61</v>
      </c>
      <c r="J108" s="1">
        <v>45261</v>
      </c>
      <c r="K108">
        <v>357</v>
      </c>
      <c r="L108">
        <v>5.4794520547945212E-4</v>
      </c>
      <c r="M108">
        <v>531.75013698630141</v>
      </c>
      <c r="N108">
        <v>189834.7989041096</v>
      </c>
    </row>
    <row r="109" spans="1:14" x14ac:dyDescent="0.25">
      <c r="A109" t="s">
        <v>241</v>
      </c>
      <c r="B109" t="s">
        <v>17</v>
      </c>
      <c r="C109">
        <v>64</v>
      </c>
      <c r="D109" t="s">
        <v>12</v>
      </c>
      <c r="E109" t="s">
        <v>29</v>
      </c>
      <c r="F109" t="s">
        <v>14</v>
      </c>
      <c r="G109">
        <v>971829</v>
      </c>
      <c r="H109">
        <v>7.25</v>
      </c>
      <c r="I109">
        <v>16.010000000000002</v>
      </c>
      <c r="J109" s="1">
        <v>44381</v>
      </c>
      <c r="K109">
        <v>131</v>
      </c>
      <c r="L109">
        <v>5.4794520547945212E-4</v>
      </c>
      <c r="M109">
        <v>532.50904109589044</v>
      </c>
      <c r="N109">
        <v>69758.684383561646</v>
      </c>
    </row>
    <row r="110" spans="1:14" x14ac:dyDescent="0.25">
      <c r="A110" t="s">
        <v>243</v>
      </c>
      <c r="B110" t="s">
        <v>11</v>
      </c>
      <c r="C110">
        <v>50</v>
      </c>
      <c r="D110" t="s">
        <v>18</v>
      </c>
      <c r="E110" t="s">
        <v>50</v>
      </c>
      <c r="F110" t="s">
        <v>35</v>
      </c>
      <c r="G110">
        <v>116654</v>
      </c>
      <c r="H110">
        <v>26.85</v>
      </c>
      <c r="I110">
        <v>-9.0500000000000007</v>
      </c>
      <c r="J110" s="1">
        <v>44055</v>
      </c>
      <c r="K110">
        <v>189</v>
      </c>
      <c r="L110">
        <v>5.4794520547945212E-4</v>
      </c>
      <c r="M110">
        <v>63.920000000000009</v>
      </c>
      <c r="N110">
        <v>12080.880000000001</v>
      </c>
    </row>
    <row r="111" spans="1:14" x14ac:dyDescent="0.25">
      <c r="A111" t="s">
        <v>245</v>
      </c>
      <c r="B111" t="s">
        <v>11</v>
      </c>
      <c r="C111">
        <v>46</v>
      </c>
      <c r="D111" t="s">
        <v>46</v>
      </c>
      <c r="E111" t="s">
        <v>13</v>
      </c>
      <c r="F111" t="s">
        <v>14</v>
      </c>
      <c r="G111">
        <v>1165057</v>
      </c>
      <c r="H111">
        <v>21.07</v>
      </c>
      <c r="I111">
        <v>24.74</v>
      </c>
      <c r="J111" s="1">
        <v>43146</v>
      </c>
      <c r="K111">
        <v>346</v>
      </c>
      <c r="L111">
        <v>5.4794520547945212E-4</v>
      </c>
      <c r="M111">
        <v>638.38739726027404</v>
      </c>
      <c r="N111">
        <v>220882.03945205483</v>
      </c>
    </row>
    <row r="112" spans="1:14" x14ac:dyDescent="0.25">
      <c r="A112" t="s">
        <v>246</v>
      </c>
      <c r="B112" t="s">
        <v>11</v>
      </c>
      <c r="C112">
        <v>43</v>
      </c>
      <c r="D112" t="s">
        <v>28</v>
      </c>
      <c r="E112" t="s">
        <v>19</v>
      </c>
      <c r="F112" t="s">
        <v>41</v>
      </c>
      <c r="G112">
        <v>4952131</v>
      </c>
      <c r="H112">
        <v>9.0399999999999991</v>
      </c>
      <c r="I112">
        <v>9.74</v>
      </c>
      <c r="J112" s="1">
        <v>44903</v>
      </c>
      <c r="K112">
        <v>293</v>
      </c>
      <c r="L112">
        <v>5.4794520547945212E-4</v>
      </c>
      <c r="M112">
        <v>2713.4964383561646</v>
      </c>
      <c r="N112">
        <v>795054.4564383562</v>
      </c>
    </row>
    <row r="113" spans="1:14" x14ac:dyDescent="0.25">
      <c r="A113" t="s">
        <v>248</v>
      </c>
      <c r="B113" t="s">
        <v>11</v>
      </c>
      <c r="C113">
        <v>31</v>
      </c>
      <c r="D113" t="s">
        <v>46</v>
      </c>
      <c r="E113" t="s">
        <v>13</v>
      </c>
      <c r="F113" t="s">
        <v>30</v>
      </c>
      <c r="G113">
        <v>1366651</v>
      </c>
      <c r="H113">
        <v>23.59</v>
      </c>
      <c r="I113">
        <v>19.03</v>
      </c>
      <c r="J113" s="1">
        <v>44466</v>
      </c>
      <c r="K113">
        <v>100</v>
      </c>
      <c r="L113">
        <v>5.4794520547945212E-4</v>
      </c>
      <c r="M113">
        <v>748.84986301369872</v>
      </c>
      <c r="N113">
        <v>74884.986301369878</v>
      </c>
    </row>
    <row r="114" spans="1:14" x14ac:dyDescent="0.25">
      <c r="A114" t="s">
        <v>250</v>
      </c>
      <c r="B114" t="s">
        <v>11</v>
      </c>
      <c r="C114">
        <v>53</v>
      </c>
      <c r="D114" t="s">
        <v>18</v>
      </c>
      <c r="E114" t="s">
        <v>19</v>
      </c>
      <c r="F114" t="s">
        <v>35</v>
      </c>
      <c r="G114">
        <v>3126036</v>
      </c>
      <c r="H114">
        <v>7.08</v>
      </c>
      <c r="I114">
        <v>-3.52</v>
      </c>
      <c r="J114" s="1">
        <v>45223</v>
      </c>
      <c r="K114">
        <v>19</v>
      </c>
      <c r="L114">
        <v>5.4794520547945212E-4</v>
      </c>
      <c r="M114">
        <v>1712.8964383561647</v>
      </c>
      <c r="N114">
        <v>32545.032328767131</v>
      </c>
    </row>
    <row r="115" spans="1:14" x14ac:dyDescent="0.25">
      <c r="A115" t="s">
        <v>252</v>
      </c>
      <c r="B115" t="s">
        <v>17</v>
      </c>
      <c r="C115">
        <v>60</v>
      </c>
      <c r="D115" t="s">
        <v>46</v>
      </c>
      <c r="E115" t="s">
        <v>23</v>
      </c>
      <c r="F115" t="s">
        <v>47</v>
      </c>
      <c r="G115">
        <v>2543132</v>
      </c>
      <c r="H115">
        <v>32.520000000000003</v>
      </c>
      <c r="I115">
        <v>1.99</v>
      </c>
      <c r="J115" s="1">
        <v>45004</v>
      </c>
      <c r="K115">
        <v>125</v>
      </c>
      <c r="L115">
        <v>5.4794520547945212E-4</v>
      </c>
      <c r="M115">
        <v>1393.49698630137</v>
      </c>
      <c r="N115">
        <v>174187.12328767125</v>
      </c>
    </row>
    <row r="116" spans="1:14" x14ac:dyDescent="0.25">
      <c r="A116" t="s">
        <v>254</v>
      </c>
      <c r="B116" t="s">
        <v>17</v>
      </c>
      <c r="C116">
        <v>49</v>
      </c>
      <c r="D116" t="s">
        <v>38</v>
      </c>
      <c r="E116" t="s">
        <v>29</v>
      </c>
      <c r="F116" t="s">
        <v>20</v>
      </c>
      <c r="G116">
        <v>418894</v>
      </c>
      <c r="H116">
        <v>33.49</v>
      </c>
      <c r="I116">
        <v>30.34</v>
      </c>
      <c r="J116" s="1">
        <v>44388</v>
      </c>
      <c r="K116">
        <v>111</v>
      </c>
      <c r="L116">
        <v>5.4794520547945212E-4</v>
      </c>
      <c r="M116">
        <v>229.53095890410961</v>
      </c>
      <c r="N116">
        <v>25477.936438356166</v>
      </c>
    </row>
    <row r="117" spans="1:14" x14ac:dyDescent="0.25">
      <c r="A117" t="s">
        <v>256</v>
      </c>
      <c r="B117" t="s">
        <v>17</v>
      </c>
      <c r="C117">
        <v>55</v>
      </c>
      <c r="D117" t="s">
        <v>38</v>
      </c>
      <c r="E117" t="s">
        <v>29</v>
      </c>
      <c r="F117" t="s">
        <v>14</v>
      </c>
      <c r="G117">
        <v>4246257</v>
      </c>
      <c r="H117">
        <v>7.13</v>
      </c>
      <c r="I117">
        <v>6.87</v>
      </c>
      <c r="J117" s="1">
        <v>43197</v>
      </c>
      <c r="K117">
        <v>329</v>
      </c>
      <c r="L117">
        <v>5.4794520547945212E-4</v>
      </c>
      <c r="M117">
        <v>2326.716164383562</v>
      </c>
      <c r="N117">
        <v>765489.61808219191</v>
      </c>
    </row>
    <row r="118" spans="1:14" x14ac:dyDescent="0.25">
      <c r="A118" t="s">
        <v>258</v>
      </c>
      <c r="B118" t="s">
        <v>17</v>
      </c>
      <c r="C118">
        <v>33</v>
      </c>
      <c r="D118" t="s">
        <v>12</v>
      </c>
      <c r="E118" t="s">
        <v>13</v>
      </c>
      <c r="F118" t="s">
        <v>41</v>
      </c>
      <c r="G118">
        <v>471277</v>
      </c>
      <c r="H118">
        <v>22.31</v>
      </c>
      <c r="I118">
        <v>4.05</v>
      </c>
      <c r="J118" s="1">
        <v>44967</v>
      </c>
      <c r="K118">
        <v>358</v>
      </c>
      <c r="L118">
        <v>5.4794520547945212E-4</v>
      </c>
      <c r="M118">
        <v>258.23397260273975</v>
      </c>
      <c r="N118">
        <v>92447.762191780828</v>
      </c>
    </row>
    <row r="119" spans="1:14" x14ac:dyDescent="0.25">
      <c r="A119" t="s">
        <v>260</v>
      </c>
      <c r="B119" t="s">
        <v>17</v>
      </c>
      <c r="C119">
        <v>45</v>
      </c>
      <c r="D119" t="s">
        <v>28</v>
      </c>
      <c r="E119" t="s">
        <v>13</v>
      </c>
      <c r="F119" t="s">
        <v>20</v>
      </c>
      <c r="G119">
        <v>2729193</v>
      </c>
      <c r="H119">
        <v>20.3</v>
      </c>
      <c r="I119">
        <v>34.409999999999997</v>
      </c>
      <c r="J119" s="1">
        <v>43218</v>
      </c>
      <c r="K119">
        <v>272</v>
      </c>
      <c r="L119">
        <v>5.4794520547945212E-4</v>
      </c>
      <c r="M119">
        <v>1495.4482191780824</v>
      </c>
      <c r="N119">
        <v>406761.91561643837</v>
      </c>
    </row>
    <row r="120" spans="1:14" x14ac:dyDescent="0.25">
      <c r="A120" t="s">
        <v>262</v>
      </c>
      <c r="B120" t="s">
        <v>11</v>
      </c>
      <c r="C120">
        <v>56</v>
      </c>
      <c r="D120" t="s">
        <v>38</v>
      </c>
      <c r="E120" t="s">
        <v>50</v>
      </c>
      <c r="F120" t="s">
        <v>20</v>
      </c>
      <c r="G120">
        <v>4233228</v>
      </c>
      <c r="H120">
        <v>8</v>
      </c>
      <c r="I120">
        <v>-7.9</v>
      </c>
      <c r="J120" s="1">
        <v>45098</v>
      </c>
      <c r="K120">
        <v>299</v>
      </c>
      <c r="L120">
        <v>5.4794520547945212E-4</v>
      </c>
      <c r="M120">
        <v>2319.5769863013702</v>
      </c>
      <c r="N120">
        <v>693553.51890410972</v>
      </c>
    </row>
    <row r="121" spans="1:14" x14ac:dyDescent="0.25">
      <c r="A121" t="s">
        <v>264</v>
      </c>
      <c r="B121" t="s">
        <v>11</v>
      </c>
      <c r="C121">
        <v>26</v>
      </c>
      <c r="D121" t="s">
        <v>12</v>
      </c>
      <c r="E121" t="s">
        <v>50</v>
      </c>
      <c r="F121" t="s">
        <v>14</v>
      </c>
      <c r="G121">
        <v>1181365</v>
      </c>
      <c r="H121">
        <v>15.27</v>
      </c>
      <c r="I121">
        <v>43.23</v>
      </c>
      <c r="J121" s="1">
        <v>44532</v>
      </c>
      <c r="K121">
        <v>281</v>
      </c>
      <c r="L121">
        <v>5.4794520547945212E-4</v>
      </c>
      <c r="M121">
        <v>647.32328767123295</v>
      </c>
      <c r="N121">
        <v>181897.84383561646</v>
      </c>
    </row>
    <row r="122" spans="1:14" x14ac:dyDescent="0.25">
      <c r="A122" t="s">
        <v>266</v>
      </c>
      <c r="B122" t="s">
        <v>11</v>
      </c>
      <c r="C122">
        <v>40</v>
      </c>
      <c r="D122" t="s">
        <v>18</v>
      </c>
      <c r="E122" t="s">
        <v>23</v>
      </c>
      <c r="F122" t="s">
        <v>35</v>
      </c>
      <c r="G122">
        <v>2072807</v>
      </c>
      <c r="H122">
        <v>17.190000000000001</v>
      </c>
      <c r="I122">
        <v>-8.1300000000000008</v>
      </c>
      <c r="J122" s="1">
        <v>45461</v>
      </c>
      <c r="K122">
        <v>12</v>
      </c>
      <c r="L122">
        <v>5.4794520547945212E-4</v>
      </c>
      <c r="M122">
        <v>1135.7846575342467</v>
      </c>
      <c r="N122">
        <v>13629.415890410961</v>
      </c>
    </row>
    <row r="123" spans="1:14" x14ac:dyDescent="0.25">
      <c r="A123" t="s">
        <v>268</v>
      </c>
      <c r="B123" t="s">
        <v>11</v>
      </c>
      <c r="C123">
        <v>51</v>
      </c>
      <c r="D123" t="s">
        <v>18</v>
      </c>
      <c r="E123" t="s">
        <v>13</v>
      </c>
      <c r="F123" t="s">
        <v>41</v>
      </c>
      <c r="G123">
        <v>2476536</v>
      </c>
      <c r="H123">
        <v>12.84</v>
      </c>
      <c r="I123">
        <v>39.369999999999997</v>
      </c>
      <c r="J123" s="1">
        <v>44759</v>
      </c>
      <c r="K123">
        <v>17</v>
      </c>
      <c r="L123">
        <v>5.4794520547945212E-4</v>
      </c>
      <c r="M123">
        <v>1357.0060273972604</v>
      </c>
      <c r="N123">
        <v>23069.102465753425</v>
      </c>
    </row>
    <row r="124" spans="1:14" x14ac:dyDescent="0.25">
      <c r="A124" t="s">
        <v>270</v>
      </c>
      <c r="B124" t="s">
        <v>11</v>
      </c>
      <c r="C124">
        <v>32</v>
      </c>
      <c r="D124" t="s">
        <v>38</v>
      </c>
      <c r="E124" t="s">
        <v>50</v>
      </c>
      <c r="F124" t="s">
        <v>30</v>
      </c>
      <c r="G124">
        <v>3828023</v>
      </c>
      <c r="H124">
        <v>15.28</v>
      </c>
      <c r="I124">
        <v>4.76</v>
      </c>
      <c r="J124" s="1">
        <v>45126</v>
      </c>
      <c r="K124">
        <v>338</v>
      </c>
      <c r="L124">
        <v>5.4794520547945212E-4</v>
      </c>
      <c r="M124">
        <v>2097.5468493150688</v>
      </c>
      <c r="N124">
        <v>708970.83506849327</v>
      </c>
    </row>
    <row r="125" spans="1:14" x14ac:dyDescent="0.25">
      <c r="A125" t="s">
        <v>272</v>
      </c>
      <c r="B125" t="s">
        <v>17</v>
      </c>
      <c r="C125">
        <v>29</v>
      </c>
      <c r="D125" t="s">
        <v>18</v>
      </c>
      <c r="E125" t="s">
        <v>57</v>
      </c>
      <c r="F125" t="s">
        <v>47</v>
      </c>
      <c r="G125">
        <v>528100</v>
      </c>
      <c r="H125">
        <v>10.42</v>
      </c>
      <c r="I125">
        <v>18.75</v>
      </c>
      <c r="J125" s="1">
        <v>45108</v>
      </c>
      <c r="K125">
        <v>299</v>
      </c>
      <c r="L125">
        <v>5.4794520547945212E-4</v>
      </c>
      <c r="M125">
        <v>289.36986301369865</v>
      </c>
      <c r="N125">
        <v>86521.589041095896</v>
      </c>
    </row>
    <row r="126" spans="1:14" x14ac:dyDescent="0.25">
      <c r="A126" t="s">
        <v>274</v>
      </c>
      <c r="B126" t="s">
        <v>17</v>
      </c>
      <c r="C126">
        <v>42</v>
      </c>
      <c r="D126" t="s">
        <v>18</v>
      </c>
      <c r="E126" t="s">
        <v>57</v>
      </c>
      <c r="F126" t="s">
        <v>41</v>
      </c>
      <c r="G126">
        <v>4171180</v>
      </c>
      <c r="H126">
        <v>5.09</v>
      </c>
      <c r="I126">
        <v>20.73</v>
      </c>
      <c r="J126" s="1">
        <v>43218</v>
      </c>
      <c r="K126">
        <v>274</v>
      </c>
      <c r="L126">
        <v>5.4794520547945212E-4</v>
      </c>
      <c r="M126">
        <v>2285.578082191781</v>
      </c>
      <c r="N126">
        <v>626248.39452054806</v>
      </c>
    </row>
    <row r="127" spans="1:14" x14ac:dyDescent="0.25">
      <c r="A127" t="s">
        <v>275</v>
      </c>
      <c r="B127" t="s">
        <v>17</v>
      </c>
      <c r="C127">
        <v>39</v>
      </c>
      <c r="D127" t="s">
        <v>28</v>
      </c>
      <c r="E127" t="s">
        <v>50</v>
      </c>
      <c r="F127" t="s">
        <v>41</v>
      </c>
      <c r="G127">
        <v>1030809</v>
      </c>
      <c r="H127">
        <v>24.59</v>
      </c>
      <c r="I127">
        <v>4.9000000000000004</v>
      </c>
      <c r="J127" s="1">
        <v>43838</v>
      </c>
      <c r="K127">
        <v>321</v>
      </c>
      <c r="L127">
        <v>5.4794520547945212E-4</v>
      </c>
      <c r="M127">
        <v>564.82684931506856</v>
      </c>
      <c r="N127">
        <v>181309.41863013702</v>
      </c>
    </row>
    <row r="128" spans="1:14" x14ac:dyDescent="0.25">
      <c r="A128" t="s">
        <v>276</v>
      </c>
      <c r="B128" t="s">
        <v>11</v>
      </c>
      <c r="C128">
        <v>38</v>
      </c>
      <c r="D128" t="s">
        <v>28</v>
      </c>
      <c r="E128" t="s">
        <v>29</v>
      </c>
      <c r="F128" t="s">
        <v>20</v>
      </c>
      <c r="G128">
        <v>4220164</v>
      </c>
      <c r="H128">
        <v>5.33</v>
      </c>
      <c r="I128">
        <v>-3.43</v>
      </c>
      <c r="J128" s="1">
        <v>45136</v>
      </c>
      <c r="K128">
        <v>177</v>
      </c>
      <c r="L128">
        <v>5.4794520547945212E-4</v>
      </c>
      <c r="M128">
        <v>2312.4186301369864</v>
      </c>
      <c r="N128">
        <v>409298.09753424657</v>
      </c>
    </row>
    <row r="129" spans="1:14" x14ac:dyDescent="0.25">
      <c r="A129" t="s">
        <v>278</v>
      </c>
      <c r="B129" t="s">
        <v>11</v>
      </c>
      <c r="C129">
        <v>44</v>
      </c>
      <c r="D129" t="s">
        <v>38</v>
      </c>
      <c r="E129" t="s">
        <v>23</v>
      </c>
      <c r="F129" t="s">
        <v>30</v>
      </c>
      <c r="G129">
        <v>2016758</v>
      </c>
      <c r="H129">
        <v>31.67</v>
      </c>
      <c r="I129">
        <v>13.85</v>
      </c>
      <c r="J129" s="1">
        <v>45049</v>
      </c>
      <c r="K129">
        <v>142</v>
      </c>
      <c r="L129">
        <v>5.4794520547945212E-4</v>
      </c>
      <c r="M129">
        <v>1105.0728767123289</v>
      </c>
      <c r="N129">
        <v>156920.3484931507</v>
      </c>
    </row>
    <row r="130" spans="1:14" x14ac:dyDescent="0.25">
      <c r="A130" t="s">
        <v>280</v>
      </c>
      <c r="B130" t="s">
        <v>17</v>
      </c>
      <c r="C130">
        <v>38</v>
      </c>
      <c r="D130" t="s">
        <v>46</v>
      </c>
      <c r="E130" t="s">
        <v>57</v>
      </c>
      <c r="F130" t="s">
        <v>47</v>
      </c>
      <c r="G130">
        <v>4184208</v>
      </c>
      <c r="H130">
        <v>21.06</v>
      </c>
      <c r="I130">
        <v>-0.67</v>
      </c>
      <c r="J130" s="1">
        <v>44377</v>
      </c>
      <c r="K130">
        <v>190</v>
      </c>
      <c r="L130">
        <v>5.4794520547945212E-4</v>
      </c>
      <c r="M130">
        <v>2292.7167123287672</v>
      </c>
      <c r="N130">
        <v>435616.17534246575</v>
      </c>
    </row>
    <row r="131" spans="1:14" x14ac:dyDescent="0.25">
      <c r="A131" t="s">
        <v>282</v>
      </c>
      <c r="B131" t="s">
        <v>11</v>
      </c>
      <c r="C131">
        <v>36</v>
      </c>
      <c r="D131" t="s">
        <v>28</v>
      </c>
      <c r="E131" t="s">
        <v>13</v>
      </c>
      <c r="F131" t="s">
        <v>14</v>
      </c>
      <c r="G131">
        <v>4831877</v>
      </c>
      <c r="H131">
        <v>16.79</v>
      </c>
      <c r="I131">
        <v>22.8</v>
      </c>
      <c r="J131" s="1">
        <v>44211</v>
      </c>
      <c r="K131">
        <v>200</v>
      </c>
      <c r="L131">
        <v>5.4794520547945212E-4</v>
      </c>
      <c r="M131">
        <v>2647.6038356164386</v>
      </c>
      <c r="N131">
        <v>529520.76712328766</v>
      </c>
    </row>
    <row r="132" spans="1:14" x14ac:dyDescent="0.25">
      <c r="A132" t="s">
        <v>284</v>
      </c>
      <c r="B132" t="s">
        <v>11</v>
      </c>
      <c r="C132">
        <v>50</v>
      </c>
      <c r="D132" t="s">
        <v>38</v>
      </c>
      <c r="E132" t="s">
        <v>13</v>
      </c>
      <c r="F132" t="s">
        <v>14</v>
      </c>
      <c r="G132">
        <v>870774</v>
      </c>
      <c r="H132">
        <v>27.77</v>
      </c>
      <c r="I132">
        <v>16.84</v>
      </c>
      <c r="J132" s="1">
        <v>44054</v>
      </c>
      <c r="K132">
        <v>100</v>
      </c>
      <c r="L132">
        <v>5.4794520547945212E-4</v>
      </c>
      <c r="M132">
        <v>477.13643835616443</v>
      </c>
      <c r="N132">
        <v>47713.643835616444</v>
      </c>
    </row>
    <row r="133" spans="1:14" x14ac:dyDescent="0.25">
      <c r="A133" t="s">
        <v>286</v>
      </c>
      <c r="B133" t="s">
        <v>11</v>
      </c>
      <c r="C133">
        <v>50</v>
      </c>
      <c r="D133" t="s">
        <v>18</v>
      </c>
      <c r="E133" t="s">
        <v>19</v>
      </c>
      <c r="F133" t="s">
        <v>14</v>
      </c>
      <c r="G133">
        <v>2404007</v>
      </c>
      <c r="H133">
        <v>15.51</v>
      </c>
      <c r="I133">
        <v>-7.38</v>
      </c>
      <c r="J133" s="1">
        <v>45426</v>
      </c>
      <c r="K133">
        <v>266</v>
      </c>
      <c r="L133">
        <v>5.4794520547945212E-4</v>
      </c>
      <c r="M133">
        <v>1317.2641095890413</v>
      </c>
      <c r="N133">
        <v>350392.25315068499</v>
      </c>
    </row>
    <row r="134" spans="1:14" x14ac:dyDescent="0.25">
      <c r="A134" t="s">
        <v>288</v>
      </c>
      <c r="B134" t="s">
        <v>11</v>
      </c>
      <c r="C134">
        <v>62</v>
      </c>
      <c r="D134" t="s">
        <v>38</v>
      </c>
      <c r="E134" t="s">
        <v>19</v>
      </c>
      <c r="F134" t="s">
        <v>41</v>
      </c>
      <c r="G134">
        <v>3680693</v>
      </c>
      <c r="H134">
        <v>6.22</v>
      </c>
      <c r="I134">
        <v>17</v>
      </c>
      <c r="J134" s="1">
        <v>43864</v>
      </c>
      <c r="K134">
        <v>269</v>
      </c>
      <c r="L134">
        <v>5.4794520547945212E-4</v>
      </c>
      <c r="M134">
        <v>2016.8180821917811</v>
      </c>
      <c r="N134">
        <v>542524.06410958909</v>
      </c>
    </row>
    <row r="135" spans="1:14" x14ac:dyDescent="0.25">
      <c r="A135" t="s">
        <v>290</v>
      </c>
      <c r="B135" t="s">
        <v>11</v>
      </c>
      <c r="C135">
        <v>30</v>
      </c>
      <c r="D135" t="s">
        <v>28</v>
      </c>
      <c r="E135" t="s">
        <v>13</v>
      </c>
      <c r="F135" t="s">
        <v>47</v>
      </c>
      <c r="G135">
        <v>4479224</v>
      </c>
      <c r="H135">
        <v>21.88</v>
      </c>
      <c r="I135">
        <v>25.37</v>
      </c>
      <c r="J135" s="1">
        <v>44822</v>
      </c>
      <c r="K135">
        <v>29</v>
      </c>
      <c r="L135">
        <v>5.4794520547945212E-4</v>
      </c>
      <c r="M135">
        <v>2454.3693150684935</v>
      </c>
      <c r="N135">
        <v>71176.710136986308</v>
      </c>
    </row>
    <row r="136" spans="1:14" x14ac:dyDescent="0.25">
      <c r="A136" t="s">
        <v>292</v>
      </c>
      <c r="B136" t="s">
        <v>11</v>
      </c>
      <c r="C136">
        <v>26</v>
      </c>
      <c r="D136" t="s">
        <v>28</v>
      </c>
      <c r="E136" t="s">
        <v>19</v>
      </c>
      <c r="F136" t="s">
        <v>14</v>
      </c>
      <c r="G136">
        <v>2339474</v>
      </c>
      <c r="H136">
        <v>11.06</v>
      </c>
      <c r="I136">
        <v>12.3</v>
      </c>
      <c r="J136" s="1">
        <v>44378</v>
      </c>
      <c r="K136">
        <v>229</v>
      </c>
      <c r="L136">
        <v>5.4794520547945212E-4</v>
      </c>
      <c r="M136">
        <v>1281.9035616438357</v>
      </c>
      <c r="N136">
        <v>293555.91561643837</v>
      </c>
    </row>
    <row r="137" spans="1:14" x14ac:dyDescent="0.25">
      <c r="A137" t="s">
        <v>294</v>
      </c>
      <c r="B137" t="s">
        <v>11</v>
      </c>
      <c r="C137">
        <v>31</v>
      </c>
      <c r="D137" t="s">
        <v>38</v>
      </c>
      <c r="E137" t="s">
        <v>29</v>
      </c>
      <c r="F137" t="s">
        <v>35</v>
      </c>
      <c r="G137">
        <v>1193325</v>
      </c>
      <c r="H137">
        <v>29.86</v>
      </c>
      <c r="I137">
        <v>20.07</v>
      </c>
      <c r="J137" s="1">
        <v>43459</v>
      </c>
      <c r="K137">
        <v>336</v>
      </c>
      <c r="L137">
        <v>5.4794520547945212E-4</v>
      </c>
      <c r="M137">
        <v>653.87671232876721</v>
      </c>
      <c r="N137">
        <v>219702.57534246577</v>
      </c>
    </row>
    <row r="138" spans="1:14" x14ac:dyDescent="0.25">
      <c r="A138" t="s">
        <v>296</v>
      </c>
      <c r="B138" t="s">
        <v>11</v>
      </c>
      <c r="C138">
        <v>46</v>
      </c>
      <c r="D138" t="s">
        <v>38</v>
      </c>
      <c r="E138" t="s">
        <v>13</v>
      </c>
      <c r="F138" t="s">
        <v>14</v>
      </c>
      <c r="G138">
        <v>1983198</v>
      </c>
      <c r="H138">
        <v>17.09</v>
      </c>
      <c r="I138">
        <v>-0.16</v>
      </c>
      <c r="J138" s="1">
        <v>43806</v>
      </c>
      <c r="K138">
        <v>311</v>
      </c>
      <c r="L138">
        <v>5.4794520547945212E-4</v>
      </c>
      <c r="M138">
        <v>1086.6838356164385</v>
      </c>
      <c r="N138">
        <v>337958.6728767124</v>
      </c>
    </row>
    <row r="139" spans="1:14" x14ac:dyDescent="0.25">
      <c r="A139" t="s">
        <v>298</v>
      </c>
      <c r="B139" t="s">
        <v>17</v>
      </c>
      <c r="C139">
        <v>62</v>
      </c>
      <c r="D139" t="s">
        <v>28</v>
      </c>
      <c r="E139" t="s">
        <v>13</v>
      </c>
      <c r="F139" t="s">
        <v>20</v>
      </c>
      <c r="G139">
        <v>1389344</v>
      </c>
      <c r="H139">
        <v>16.2</v>
      </c>
      <c r="I139">
        <v>30.38</v>
      </c>
      <c r="J139" s="1">
        <v>43909</v>
      </c>
      <c r="K139">
        <v>57</v>
      </c>
      <c r="L139">
        <v>5.4794520547945212E-4</v>
      </c>
      <c r="M139">
        <v>761.28438356164395</v>
      </c>
      <c r="N139">
        <v>43393.209863013704</v>
      </c>
    </row>
    <row r="140" spans="1:14" x14ac:dyDescent="0.25">
      <c r="A140" t="s">
        <v>300</v>
      </c>
      <c r="B140" t="s">
        <v>17</v>
      </c>
      <c r="C140">
        <v>37</v>
      </c>
      <c r="D140" t="s">
        <v>28</v>
      </c>
      <c r="E140" t="s">
        <v>13</v>
      </c>
      <c r="F140" t="s">
        <v>41</v>
      </c>
      <c r="G140">
        <v>1472920</v>
      </c>
      <c r="H140">
        <v>19.05</v>
      </c>
      <c r="I140">
        <v>-2.17</v>
      </c>
      <c r="J140" s="1">
        <v>45340</v>
      </c>
      <c r="K140">
        <v>110</v>
      </c>
      <c r="L140">
        <v>5.4794520547945212E-4</v>
      </c>
      <c r="M140">
        <v>807.07945205479461</v>
      </c>
      <c r="N140">
        <v>88778.739726027401</v>
      </c>
    </row>
    <row r="141" spans="1:14" x14ac:dyDescent="0.25">
      <c r="A141" t="s">
        <v>302</v>
      </c>
      <c r="B141" t="s">
        <v>11</v>
      </c>
      <c r="C141">
        <v>42</v>
      </c>
      <c r="D141" t="s">
        <v>38</v>
      </c>
      <c r="E141" t="s">
        <v>19</v>
      </c>
      <c r="F141" t="s">
        <v>41</v>
      </c>
      <c r="G141">
        <v>4178740</v>
      </c>
      <c r="H141">
        <v>26.21</v>
      </c>
      <c r="I141">
        <v>40.92</v>
      </c>
      <c r="J141" s="1">
        <v>44912</v>
      </c>
      <c r="K141">
        <v>55</v>
      </c>
      <c r="L141">
        <v>5.4794520547945212E-4</v>
      </c>
      <c r="M141">
        <v>2289.7205479452059</v>
      </c>
      <c r="N141">
        <v>125934.63013698632</v>
      </c>
    </row>
    <row r="142" spans="1:14" x14ac:dyDescent="0.25">
      <c r="A142" t="s">
        <v>304</v>
      </c>
      <c r="B142" t="s">
        <v>11</v>
      </c>
      <c r="C142">
        <v>44</v>
      </c>
      <c r="D142" t="s">
        <v>38</v>
      </c>
      <c r="E142" t="s">
        <v>57</v>
      </c>
      <c r="F142" t="s">
        <v>30</v>
      </c>
      <c r="G142">
        <v>612088</v>
      </c>
      <c r="H142">
        <v>30.24</v>
      </c>
      <c r="I142">
        <v>24.11</v>
      </c>
      <c r="J142" s="1">
        <v>44899</v>
      </c>
      <c r="K142">
        <v>209</v>
      </c>
      <c r="L142">
        <v>5.4794520547945212E-4</v>
      </c>
      <c r="M142">
        <v>335.39068493150688</v>
      </c>
      <c r="N142">
        <v>70096.653150684942</v>
      </c>
    </row>
    <row r="143" spans="1:14" x14ac:dyDescent="0.25">
      <c r="A143" t="s">
        <v>306</v>
      </c>
      <c r="B143" t="s">
        <v>17</v>
      </c>
      <c r="C143">
        <v>55</v>
      </c>
      <c r="D143" t="s">
        <v>38</v>
      </c>
      <c r="E143" t="s">
        <v>50</v>
      </c>
      <c r="F143" t="s">
        <v>14</v>
      </c>
      <c r="G143">
        <v>3335486</v>
      </c>
      <c r="H143">
        <v>17.79</v>
      </c>
      <c r="I143">
        <v>17.98</v>
      </c>
      <c r="J143" s="1">
        <v>44903</v>
      </c>
      <c r="K143">
        <v>168</v>
      </c>
      <c r="L143">
        <v>5.4794520547945212E-4</v>
      </c>
      <c r="M143">
        <v>1827.6635616438359</v>
      </c>
      <c r="N143">
        <v>307047.47835616441</v>
      </c>
    </row>
    <row r="144" spans="1:14" x14ac:dyDescent="0.25">
      <c r="A144" t="s">
        <v>307</v>
      </c>
      <c r="B144" t="s">
        <v>17</v>
      </c>
      <c r="C144">
        <v>39</v>
      </c>
      <c r="D144" t="s">
        <v>46</v>
      </c>
      <c r="E144" t="s">
        <v>19</v>
      </c>
      <c r="F144" t="s">
        <v>41</v>
      </c>
      <c r="G144">
        <v>2891260</v>
      </c>
      <c r="H144">
        <v>30.84</v>
      </c>
      <c r="I144">
        <v>24.54</v>
      </c>
      <c r="J144" s="1">
        <v>43921</v>
      </c>
      <c r="K144">
        <v>206</v>
      </c>
      <c r="L144">
        <v>5.4794520547945212E-4</v>
      </c>
      <c r="M144">
        <v>1584.2520547945207</v>
      </c>
      <c r="N144">
        <v>326355.92328767129</v>
      </c>
    </row>
    <row r="145" spans="1:14" x14ac:dyDescent="0.25">
      <c r="A145" t="s">
        <v>309</v>
      </c>
      <c r="B145" t="s">
        <v>17</v>
      </c>
      <c r="C145">
        <v>56</v>
      </c>
      <c r="D145" t="s">
        <v>28</v>
      </c>
      <c r="E145" t="s">
        <v>19</v>
      </c>
      <c r="F145" t="s">
        <v>35</v>
      </c>
      <c r="G145">
        <v>2460750</v>
      </c>
      <c r="H145">
        <v>31.71</v>
      </c>
      <c r="I145">
        <v>-9.4600000000000009</v>
      </c>
      <c r="J145" s="1">
        <v>45396</v>
      </c>
      <c r="K145">
        <v>256</v>
      </c>
      <c r="L145">
        <v>5.4794520547945212E-4</v>
      </c>
      <c r="M145">
        <v>1348.3561643835619</v>
      </c>
      <c r="N145">
        <v>345179.17808219185</v>
      </c>
    </row>
    <row r="146" spans="1:14" x14ac:dyDescent="0.25">
      <c r="A146" t="s">
        <v>311</v>
      </c>
      <c r="B146" t="s">
        <v>17</v>
      </c>
      <c r="C146">
        <v>45</v>
      </c>
      <c r="D146" t="s">
        <v>28</v>
      </c>
      <c r="E146" t="s">
        <v>29</v>
      </c>
      <c r="F146" t="s">
        <v>30</v>
      </c>
      <c r="G146">
        <v>2010712</v>
      </c>
      <c r="H146">
        <v>29.26</v>
      </c>
      <c r="I146">
        <v>0.95</v>
      </c>
      <c r="J146" s="1">
        <v>44918</v>
      </c>
      <c r="K146">
        <v>159</v>
      </c>
      <c r="L146">
        <v>5.4794520547945212E-4</v>
      </c>
      <c r="M146">
        <v>1101.7600000000002</v>
      </c>
      <c r="N146">
        <v>175179.84000000003</v>
      </c>
    </row>
    <row r="147" spans="1:14" x14ac:dyDescent="0.25">
      <c r="A147" t="s">
        <v>313</v>
      </c>
      <c r="B147" t="s">
        <v>17</v>
      </c>
      <c r="C147">
        <v>52</v>
      </c>
      <c r="D147" t="s">
        <v>18</v>
      </c>
      <c r="E147" t="s">
        <v>13</v>
      </c>
      <c r="F147" t="s">
        <v>35</v>
      </c>
      <c r="G147">
        <v>262255</v>
      </c>
      <c r="H147">
        <v>18.97</v>
      </c>
      <c r="I147">
        <v>31.43</v>
      </c>
      <c r="J147" s="1">
        <v>45101</v>
      </c>
      <c r="K147">
        <v>292</v>
      </c>
      <c r="L147">
        <v>5.4794520547945212E-4</v>
      </c>
      <c r="M147">
        <v>143.70136986301372</v>
      </c>
      <c r="N147">
        <v>41960.80000000001</v>
      </c>
    </row>
    <row r="148" spans="1:14" x14ac:dyDescent="0.25">
      <c r="A148" t="s">
        <v>315</v>
      </c>
      <c r="B148" t="s">
        <v>11</v>
      </c>
      <c r="C148">
        <v>37</v>
      </c>
      <c r="D148" t="s">
        <v>12</v>
      </c>
      <c r="E148" t="s">
        <v>29</v>
      </c>
      <c r="F148" t="s">
        <v>47</v>
      </c>
      <c r="G148">
        <v>3652157</v>
      </c>
      <c r="H148">
        <v>22.43</v>
      </c>
      <c r="I148">
        <v>27.93</v>
      </c>
      <c r="J148" s="1">
        <v>43878</v>
      </c>
      <c r="K148">
        <v>42</v>
      </c>
      <c r="L148">
        <v>5.4794520547945212E-4</v>
      </c>
      <c r="M148">
        <v>2001.1819178082194</v>
      </c>
      <c r="N148">
        <v>84049.640547945208</v>
      </c>
    </row>
    <row r="149" spans="1:14" x14ac:dyDescent="0.25">
      <c r="A149" t="s">
        <v>317</v>
      </c>
      <c r="B149" t="s">
        <v>11</v>
      </c>
      <c r="C149">
        <v>61</v>
      </c>
      <c r="D149" t="s">
        <v>38</v>
      </c>
      <c r="E149" t="s">
        <v>23</v>
      </c>
      <c r="F149" t="s">
        <v>20</v>
      </c>
      <c r="G149">
        <v>1931016</v>
      </c>
      <c r="H149">
        <v>34.42</v>
      </c>
      <c r="I149">
        <v>-3.36</v>
      </c>
      <c r="J149" s="1">
        <v>43126</v>
      </c>
      <c r="K149">
        <v>175</v>
      </c>
      <c r="L149">
        <v>5.4794520547945212E-4</v>
      </c>
      <c r="M149">
        <v>1058.0909589041098</v>
      </c>
      <c r="N149">
        <v>185165.91780821921</v>
      </c>
    </row>
    <row r="150" spans="1:14" x14ac:dyDescent="0.25">
      <c r="A150" t="s">
        <v>319</v>
      </c>
      <c r="B150" t="s">
        <v>17</v>
      </c>
      <c r="C150">
        <v>47</v>
      </c>
      <c r="D150" t="s">
        <v>46</v>
      </c>
      <c r="E150" t="s">
        <v>13</v>
      </c>
      <c r="F150" t="s">
        <v>30</v>
      </c>
      <c r="G150">
        <v>3261746</v>
      </c>
      <c r="H150">
        <v>33.630000000000003</v>
      </c>
      <c r="I150">
        <v>3.8</v>
      </c>
      <c r="J150" s="1">
        <v>45534</v>
      </c>
      <c r="K150">
        <v>138</v>
      </c>
      <c r="L150">
        <v>5.4794520547945212E-4</v>
      </c>
      <c r="M150">
        <v>1787.2580821917811</v>
      </c>
      <c r="N150">
        <v>246641.61534246578</v>
      </c>
    </row>
    <row r="151" spans="1:14" x14ac:dyDescent="0.25">
      <c r="A151" t="s">
        <v>321</v>
      </c>
      <c r="B151" t="s">
        <v>11</v>
      </c>
      <c r="C151">
        <v>35</v>
      </c>
      <c r="D151" t="s">
        <v>18</v>
      </c>
      <c r="E151" t="s">
        <v>57</v>
      </c>
      <c r="F151" t="s">
        <v>14</v>
      </c>
      <c r="G151">
        <v>2408320</v>
      </c>
      <c r="H151">
        <v>17.34</v>
      </c>
      <c r="I151">
        <v>19.45</v>
      </c>
      <c r="J151" s="1">
        <v>44056</v>
      </c>
      <c r="K151">
        <v>329</v>
      </c>
      <c r="L151">
        <v>5.4794520547945212E-4</v>
      </c>
      <c r="M151">
        <v>1319.6273972602742</v>
      </c>
      <c r="N151">
        <v>434157.41369863017</v>
      </c>
    </row>
    <row r="152" spans="1:14" x14ac:dyDescent="0.25">
      <c r="A152" t="s">
        <v>323</v>
      </c>
      <c r="B152" t="s">
        <v>11</v>
      </c>
      <c r="C152">
        <v>51</v>
      </c>
      <c r="D152" t="s">
        <v>28</v>
      </c>
      <c r="E152" t="s">
        <v>13</v>
      </c>
      <c r="F152" t="s">
        <v>41</v>
      </c>
      <c r="G152">
        <v>744391</v>
      </c>
      <c r="H152">
        <v>21.08</v>
      </c>
      <c r="I152">
        <v>-1.63</v>
      </c>
      <c r="J152" s="1">
        <v>44670</v>
      </c>
      <c r="K152">
        <v>114</v>
      </c>
      <c r="L152">
        <v>5.4794520547945212E-4</v>
      </c>
      <c r="M152">
        <v>407.88547945205482</v>
      </c>
      <c r="N152">
        <v>46498.944657534252</v>
      </c>
    </row>
    <row r="153" spans="1:14" x14ac:dyDescent="0.25">
      <c r="A153" t="s">
        <v>325</v>
      </c>
      <c r="B153" t="s">
        <v>11</v>
      </c>
      <c r="C153">
        <v>40</v>
      </c>
      <c r="D153" t="s">
        <v>46</v>
      </c>
      <c r="E153" t="s">
        <v>57</v>
      </c>
      <c r="F153" t="s">
        <v>30</v>
      </c>
      <c r="G153">
        <v>1790998</v>
      </c>
      <c r="H153">
        <v>22.12</v>
      </c>
      <c r="I153">
        <v>40.950000000000003</v>
      </c>
      <c r="J153" s="1">
        <v>45003</v>
      </c>
      <c r="K153">
        <v>92</v>
      </c>
      <c r="L153">
        <v>5.4794520547945212E-4</v>
      </c>
      <c r="M153">
        <v>981.36876712328774</v>
      </c>
      <c r="N153">
        <v>90285.92657534247</v>
      </c>
    </row>
    <row r="154" spans="1:14" x14ac:dyDescent="0.25">
      <c r="A154" t="s">
        <v>327</v>
      </c>
      <c r="B154" t="s">
        <v>17</v>
      </c>
      <c r="C154">
        <v>42</v>
      </c>
      <c r="D154" t="s">
        <v>18</v>
      </c>
      <c r="E154" t="s">
        <v>19</v>
      </c>
      <c r="F154" t="s">
        <v>35</v>
      </c>
      <c r="G154">
        <v>949551</v>
      </c>
      <c r="H154">
        <v>17.02</v>
      </c>
      <c r="I154">
        <v>39.700000000000003</v>
      </c>
      <c r="J154" s="1">
        <v>43232</v>
      </c>
      <c r="K154">
        <v>203</v>
      </c>
      <c r="L154">
        <v>5.4794520547945212E-4</v>
      </c>
      <c r="M154">
        <v>520.30191780821929</v>
      </c>
      <c r="N154">
        <v>105621.28931506851</v>
      </c>
    </row>
    <row r="155" spans="1:14" x14ac:dyDescent="0.25">
      <c r="A155" t="s">
        <v>329</v>
      </c>
      <c r="B155" t="s">
        <v>11</v>
      </c>
      <c r="C155">
        <v>59</v>
      </c>
      <c r="D155" t="s">
        <v>46</v>
      </c>
      <c r="E155" t="s">
        <v>57</v>
      </c>
      <c r="F155" t="s">
        <v>41</v>
      </c>
      <c r="G155">
        <v>3442589</v>
      </c>
      <c r="H155">
        <v>5.46</v>
      </c>
      <c r="I155">
        <v>-5.8</v>
      </c>
      <c r="J155" s="1">
        <v>45581</v>
      </c>
      <c r="K155">
        <v>326</v>
      </c>
      <c r="L155">
        <v>5.4794520547945212E-4</v>
      </c>
      <c r="M155">
        <v>1886.3501369863015</v>
      </c>
      <c r="N155">
        <v>614950.14465753431</v>
      </c>
    </row>
    <row r="156" spans="1:14" x14ac:dyDescent="0.25">
      <c r="A156" t="s">
        <v>331</v>
      </c>
      <c r="B156" t="s">
        <v>17</v>
      </c>
      <c r="C156">
        <v>34</v>
      </c>
      <c r="D156" t="s">
        <v>18</v>
      </c>
      <c r="E156" t="s">
        <v>57</v>
      </c>
      <c r="F156" t="s">
        <v>14</v>
      </c>
      <c r="G156">
        <v>4048041</v>
      </c>
      <c r="H156">
        <v>28</v>
      </c>
      <c r="I156">
        <v>32.020000000000003</v>
      </c>
      <c r="J156" s="1">
        <v>44109</v>
      </c>
      <c r="K156">
        <v>145</v>
      </c>
      <c r="L156">
        <v>5.4794520547945212E-4</v>
      </c>
      <c r="M156">
        <v>2218.1046575342471</v>
      </c>
      <c r="N156">
        <v>321625.17534246581</v>
      </c>
    </row>
    <row r="157" spans="1:14" x14ac:dyDescent="0.25">
      <c r="A157" t="s">
        <v>333</v>
      </c>
      <c r="B157" t="s">
        <v>11</v>
      </c>
      <c r="C157">
        <v>38</v>
      </c>
      <c r="D157" t="s">
        <v>18</v>
      </c>
      <c r="E157" t="s">
        <v>50</v>
      </c>
      <c r="F157" t="s">
        <v>20</v>
      </c>
      <c r="G157">
        <v>2594625</v>
      </c>
      <c r="H157">
        <v>31.56</v>
      </c>
      <c r="I157">
        <v>-9.74</v>
      </c>
      <c r="J157" s="1">
        <v>44401</v>
      </c>
      <c r="K157">
        <v>189</v>
      </c>
      <c r="L157">
        <v>5.4794520547945212E-4</v>
      </c>
      <c r="M157">
        <v>1421.7123287671234</v>
      </c>
      <c r="N157">
        <v>268703.63013698632</v>
      </c>
    </row>
    <row r="158" spans="1:14" x14ac:dyDescent="0.25">
      <c r="A158" t="s">
        <v>335</v>
      </c>
      <c r="B158" t="s">
        <v>11</v>
      </c>
      <c r="C158">
        <v>23</v>
      </c>
      <c r="D158" t="s">
        <v>46</v>
      </c>
      <c r="E158" t="s">
        <v>29</v>
      </c>
      <c r="F158" t="s">
        <v>14</v>
      </c>
      <c r="G158">
        <v>4098446</v>
      </c>
      <c r="H158">
        <v>34.520000000000003</v>
      </c>
      <c r="I158">
        <v>3.49</v>
      </c>
      <c r="J158" s="1">
        <v>43240</v>
      </c>
      <c r="K158">
        <v>22</v>
      </c>
      <c r="L158">
        <v>5.4794520547945212E-4</v>
      </c>
      <c r="M158">
        <v>2245.7238356164385</v>
      </c>
      <c r="N158">
        <v>49405.924383561643</v>
      </c>
    </row>
    <row r="159" spans="1:14" x14ac:dyDescent="0.25">
      <c r="A159" t="s">
        <v>337</v>
      </c>
      <c r="B159" t="s">
        <v>17</v>
      </c>
      <c r="C159">
        <v>22</v>
      </c>
      <c r="D159" t="s">
        <v>38</v>
      </c>
      <c r="E159" t="s">
        <v>50</v>
      </c>
      <c r="F159" t="s">
        <v>14</v>
      </c>
      <c r="G159">
        <v>1897184</v>
      </c>
      <c r="H159">
        <v>29.5</v>
      </c>
      <c r="I159">
        <v>25.86</v>
      </c>
      <c r="J159" s="1">
        <v>43692</v>
      </c>
      <c r="K159">
        <v>184</v>
      </c>
      <c r="L159">
        <v>5.4794520547945212E-4</v>
      </c>
      <c r="M159">
        <v>1039.552876712329</v>
      </c>
      <c r="N159">
        <v>191277.72931506851</v>
      </c>
    </row>
    <row r="160" spans="1:14" x14ac:dyDescent="0.25">
      <c r="A160" t="s">
        <v>339</v>
      </c>
      <c r="B160" t="s">
        <v>11</v>
      </c>
      <c r="C160">
        <v>26</v>
      </c>
      <c r="D160" t="s">
        <v>38</v>
      </c>
      <c r="E160" t="s">
        <v>57</v>
      </c>
      <c r="F160" t="s">
        <v>35</v>
      </c>
      <c r="G160">
        <v>718725</v>
      </c>
      <c r="H160">
        <v>32.299999999999997</v>
      </c>
      <c r="I160">
        <v>-0.95</v>
      </c>
      <c r="J160" s="1">
        <v>45159</v>
      </c>
      <c r="K160">
        <v>194</v>
      </c>
      <c r="L160">
        <v>5.4794520547945212E-4</v>
      </c>
      <c r="M160">
        <v>393.82191780821921</v>
      </c>
      <c r="N160">
        <v>76401.452054794529</v>
      </c>
    </row>
    <row r="161" spans="1:14" x14ac:dyDescent="0.25">
      <c r="A161" t="s">
        <v>341</v>
      </c>
      <c r="B161" t="s">
        <v>11</v>
      </c>
      <c r="C161">
        <v>46</v>
      </c>
      <c r="D161" t="s">
        <v>46</v>
      </c>
      <c r="E161" t="s">
        <v>13</v>
      </c>
      <c r="F161" t="s">
        <v>41</v>
      </c>
      <c r="G161">
        <v>1594874</v>
      </c>
      <c r="H161">
        <v>18.600000000000001</v>
      </c>
      <c r="I161">
        <v>13.98</v>
      </c>
      <c r="J161" s="1">
        <v>45571</v>
      </c>
      <c r="K161">
        <v>357</v>
      </c>
      <c r="L161">
        <v>5.4794520547945212E-4</v>
      </c>
      <c r="M161">
        <v>873.9035616438357</v>
      </c>
      <c r="N161">
        <v>311983.57150684937</v>
      </c>
    </row>
    <row r="162" spans="1:14" x14ac:dyDescent="0.25">
      <c r="A162" t="s">
        <v>343</v>
      </c>
      <c r="B162" t="s">
        <v>11</v>
      </c>
      <c r="C162">
        <v>39</v>
      </c>
      <c r="D162" t="s">
        <v>38</v>
      </c>
      <c r="E162" t="s">
        <v>29</v>
      </c>
      <c r="F162" t="s">
        <v>41</v>
      </c>
      <c r="G162">
        <v>3614455</v>
      </c>
      <c r="H162">
        <v>30.51</v>
      </c>
      <c r="I162">
        <v>14.84</v>
      </c>
      <c r="J162" s="1">
        <v>43697</v>
      </c>
      <c r="K162">
        <v>149</v>
      </c>
      <c r="L162">
        <v>5.4794520547945212E-4</v>
      </c>
      <c r="M162">
        <v>1980.5232876712332</v>
      </c>
      <c r="N162">
        <v>295097.96986301377</v>
      </c>
    </row>
    <row r="163" spans="1:14" x14ac:dyDescent="0.25">
      <c r="A163" t="s">
        <v>345</v>
      </c>
      <c r="B163" t="s">
        <v>17</v>
      </c>
      <c r="C163">
        <v>41</v>
      </c>
      <c r="D163" t="s">
        <v>18</v>
      </c>
      <c r="E163" t="s">
        <v>23</v>
      </c>
      <c r="F163" t="s">
        <v>30</v>
      </c>
      <c r="G163">
        <v>4999667</v>
      </c>
      <c r="H163">
        <v>19.649999999999999</v>
      </c>
      <c r="I163">
        <v>41.35</v>
      </c>
      <c r="J163" s="1">
        <v>43431</v>
      </c>
      <c r="K163">
        <v>58</v>
      </c>
      <c r="L163">
        <v>5.4794520547945212E-4</v>
      </c>
      <c r="M163">
        <v>2739.5435616438358</v>
      </c>
      <c r="N163">
        <v>158893.52657534249</v>
      </c>
    </row>
    <row r="164" spans="1:14" x14ac:dyDescent="0.25">
      <c r="A164" t="s">
        <v>347</v>
      </c>
      <c r="B164" t="s">
        <v>17</v>
      </c>
      <c r="C164">
        <v>40</v>
      </c>
      <c r="D164" t="s">
        <v>18</v>
      </c>
      <c r="E164" t="s">
        <v>13</v>
      </c>
      <c r="F164" t="s">
        <v>30</v>
      </c>
      <c r="G164">
        <v>736903</v>
      </c>
      <c r="H164">
        <v>20.57</v>
      </c>
      <c r="I164">
        <v>27.35</v>
      </c>
      <c r="J164" s="1">
        <v>45349</v>
      </c>
      <c r="K164">
        <v>242</v>
      </c>
      <c r="L164">
        <v>5.4794520547945212E-4</v>
      </c>
      <c r="M164">
        <v>403.78246575342473</v>
      </c>
      <c r="N164">
        <v>97715.356712328779</v>
      </c>
    </row>
    <row r="165" spans="1:14" x14ac:dyDescent="0.25">
      <c r="A165" t="s">
        <v>349</v>
      </c>
      <c r="B165" t="s">
        <v>11</v>
      </c>
      <c r="C165">
        <v>23</v>
      </c>
      <c r="D165" t="s">
        <v>18</v>
      </c>
      <c r="E165" t="s">
        <v>23</v>
      </c>
      <c r="F165" t="s">
        <v>47</v>
      </c>
      <c r="G165">
        <v>908441</v>
      </c>
      <c r="H165">
        <v>32.54</v>
      </c>
      <c r="I165">
        <v>-0.15</v>
      </c>
      <c r="J165" s="1">
        <v>43140</v>
      </c>
      <c r="K165">
        <v>114</v>
      </c>
      <c r="L165">
        <v>5.4794520547945212E-4</v>
      </c>
      <c r="M165">
        <v>497.77589041095899</v>
      </c>
      <c r="N165">
        <v>56746.451506849327</v>
      </c>
    </row>
    <row r="166" spans="1:14" x14ac:dyDescent="0.25">
      <c r="A166" t="s">
        <v>351</v>
      </c>
      <c r="B166" t="s">
        <v>17</v>
      </c>
      <c r="C166">
        <v>54</v>
      </c>
      <c r="D166" t="s">
        <v>18</v>
      </c>
      <c r="E166" t="s">
        <v>50</v>
      </c>
      <c r="F166" t="s">
        <v>41</v>
      </c>
      <c r="G166">
        <v>4776012</v>
      </c>
      <c r="H166">
        <v>19.579999999999998</v>
      </c>
      <c r="I166">
        <v>21.71</v>
      </c>
      <c r="J166" s="1">
        <v>43407</v>
      </c>
      <c r="K166">
        <v>206</v>
      </c>
      <c r="L166">
        <v>5.4794520547945212E-4</v>
      </c>
      <c r="M166">
        <v>2616.9928767123292</v>
      </c>
      <c r="N166">
        <v>539100.53260273987</v>
      </c>
    </row>
    <row r="167" spans="1:14" x14ac:dyDescent="0.25">
      <c r="A167" t="s">
        <v>353</v>
      </c>
      <c r="B167" t="s">
        <v>17</v>
      </c>
      <c r="C167">
        <v>30</v>
      </c>
      <c r="D167" t="s">
        <v>46</v>
      </c>
      <c r="E167" t="s">
        <v>50</v>
      </c>
      <c r="F167" t="s">
        <v>35</v>
      </c>
      <c r="G167">
        <v>1532997</v>
      </c>
      <c r="H167">
        <v>16.05</v>
      </c>
      <c r="I167">
        <v>31.43</v>
      </c>
      <c r="J167" s="1">
        <v>44922</v>
      </c>
      <c r="K167">
        <v>171</v>
      </c>
      <c r="L167">
        <v>5.4794520547945212E-4</v>
      </c>
      <c r="M167">
        <v>839.99835616438372</v>
      </c>
      <c r="N167">
        <v>143639.71890410961</v>
      </c>
    </row>
    <row r="168" spans="1:14" x14ac:dyDescent="0.25">
      <c r="A168" t="s">
        <v>355</v>
      </c>
      <c r="B168" t="s">
        <v>17</v>
      </c>
      <c r="C168">
        <v>51</v>
      </c>
      <c r="D168" t="s">
        <v>28</v>
      </c>
      <c r="E168" t="s">
        <v>29</v>
      </c>
      <c r="F168" t="s">
        <v>30</v>
      </c>
      <c r="G168">
        <v>3854501</v>
      </c>
      <c r="H168">
        <v>31.87</v>
      </c>
      <c r="I168">
        <v>26.86</v>
      </c>
      <c r="J168" s="1">
        <v>43841</v>
      </c>
      <c r="K168">
        <v>219</v>
      </c>
      <c r="L168">
        <v>5.4794520547945212E-4</v>
      </c>
      <c r="M168">
        <v>2112.0553424657537</v>
      </c>
      <c r="N168">
        <v>462540.12000000005</v>
      </c>
    </row>
    <row r="169" spans="1:14" x14ac:dyDescent="0.25">
      <c r="A169" t="s">
        <v>357</v>
      </c>
      <c r="B169" t="s">
        <v>17</v>
      </c>
      <c r="C169">
        <v>32</v>
      </c>
      <c r="D169" t="s">
        <v>12</v>
      </c>
      <c r="E169" t="s">
        <v>19</v>
      </c>
      <c r="F169" t="s">
        <v>20</v>
      </c>
      <c r="G169">
        <v>538834</v>
      </c>
      <c r="H169">
        <v>30.19</v>
      </c>
      <c r="I169">
        <v>15.49</v>
      </c>
      <c r="J169" s="1">
        <v>45007</v>
      </c>
      <c r="K169">
        <v>248</v>
      </c>
      <c r="L169">
        <v>5.4794520547945212E-4</v>
      </c>
      <c r="M169">
        <v>295.25150684931509</v>
      </c>
      <c r="N169">
        <v>73222.373698630137</v>
      </c>
    </row>
    <row r="170" spans="1:14" x14ac:dyDescent="0.25">
      <c r="A170" t="s">
        <v>359</v>
      </c>
      <c r="B170" t="s">
        <v>11</v>
      </c>
      <c r="C170">
        <v>32</v>
      </c>
      <c r="D170" t="s">
        <v>38</v>
      </c>
      <c r="E170" t="s">
        <v>23</v>
      </c>
      <c r="F170" t="s">
        <v>35</v>
      </c>
      <c r="G170">
        <v>3425990</v>
      </c>
      <c r="H170">
        <v>28.65</v>
      </c>
      <c r="I170">
        <v>39.130000000000003</v>
      </c>
      <c r="J170" s="1">
        <v>43573</v>
      </c>
      <c r="K170">
        <v>215</v>
      </c>
      <c r="L170">
        <v>5.4794520547945212E-4</v>
      </c>
      <c r="M170">
        <v>1877.2547945205481</v>
      </c>
      <c r="N170">
        <v>403609.78082191787</v>
      </c>
    </row>
    <row r="171" spans="1:14" x14ac:dyDescent="0.25">
      <c r="A171" t="s">
        <v>361</v>
      </c>
      <c r="B171" t="s">
        <v>17</v>
      </c>
      <c r="C171">
        <v>64</v>
      </c>
      <c r="D171" t="s">
        <v>12</v>
      </c>
      <c r="E171" t="s">
        <v>23</v>
      </c>
      <c r="F171" t="s">
        <v>35</v>
      </c>
      <c r="G171">
        <v>1813145</v>
      </c>
      <c r="H171">
        <v>31.97</v>
      </c>
      <c r="I171">
        <v>20.77</v>
      </c>
      <c r="J171" s="1">
        <v>44061</v>
      </c>
      <c r="K171">
        <v>175</v>
      </c>
      <c r="L171">
        <v>5.4794520547945212E-4</v>
      </c>
      <c r="M171">
        <v>993.50410958904126</v>
      </c>
      <c r="N171">
        <v>173863.21917808222</v>
      </c>
    </row>
    <row r="172" spans="1:14" x14ac:dyDescent="0.25">
      <c r="A172" t="s">
        <v>363</v>
      </c>
      <c r="B172" t="s">
        <v>17</v>
      </c>
      <c r="C172">
        <v>50</v>
      </c>
      <c r="D172" t="s">
        <v>46</v>
      </c>
      <c r="E172" t="s">
        <v>50</v>
      </c>
      <c r="F172" t="s">
        <v>35</v>
      </c>
      <c r="G172">
        <v>4902005</v>
      </c>
      <c r="H172">
        <v>24.45</v>
      </c>
      <c r="I172">
        <v>39.21</v>
      </c>
      <c r="J172" s="1">
        <v>43578</v>
      </c>
      <c r="K172">
        <v>344</v>
      </c>
      <c r="L172">
        <v>5.4794520547945212E-4</v>
      </c>
      <c r="M172">
        <v>2686.0301369863018</v>
      </c>
      <c r="N172">
        <v>923994.36712328787</v>
      </c>
    </row>
    <row r="173" spans="1:14" x14ac:dyDescent="0.25">
      <c r="A173" t="s">
        <v>365</v>
      </c>
      <c r="B173" t="s">
        <v>11</v>
      </c>
      <c r="C173">
        <v>35</v>
      </c>
      <c r="D173" t="s">
        <v>46</v>
      </c>
      <c r="E173" t="s">
        <v>19</v>
      </c>
      <c r="F173" t="s">
        <v>30</v>
      </c>
      <c r="G173">
        <v>4727511</v>
      </c>
      <c r="H173">
        <v>34.729999999999997</v>
      </c>
      <c r="I173">
        <v>0.01</v>
      </c>
      <c r="J173" s="1">
        <v>43206</v>
      </c>
      <c r="K173">
        <v>327</v>
      </c>
      <c r="L173">
        <v>5.4794520547945212E-4</v>
      </c>
      <c r="M173">
        <v>2590.4169863013703</v>
      </c>
      <c r="N173">
        <v>847066.35452054814</v>
      </c>
    </row>
    <row r="174" spans="1:14" x14ac:dyDescent="0.25">
      <c r="A174" t="s">
        <v>367</v>
      </c>
      <c r="B174" t="s">
        <v>11</v>
      </c>
      <c r="C174">
        <v>39</v>
      </c>
      <c r="D174" t="s">
        <v>46</v>
      </c>
      <c r="E174" t="s">
        <v>57</v>
      </c>
      <c r="F174" t="s">
        <v>41</v>
      </c>
      <c r="G174">
        <v>4482240</v>
      </c>
      <c r="H174">
        <v>27.15</v>
      </c>
      <c r="I174">
        <v>38.549999999999997</v>
      </c>
      <c r="J174" s="1">
        <v>43230</v>
      </c>
      <c r="K174">
        <v>247</v>
      </c>
      <c r="L174">
        <v>5.4794520547945212E-4</v>
      </c>
      <c r="M174">
        <v>2456.0219178082193</v>
      </c>
      <c r="N174">
        <v>606637.41369863017</v>
      </c>
    </row>
    <row r="175" spans="1:14" x14ac:dyDescent="0.25">
      <c r="A175" t="s">
        <v>369</v>
      </c>
      <c r="B175" t="s">
        <v>17</v>
      </c>
      <c r="C175">
        <v>27</v>
      </c>
      <c r="D175" t="s">
        <v>46</v>
      </c>
      <c r="E175" t="s">
        <v>29</v>
      </c>
      <c r="F175" t="s">
        <v>35</v>
      </c>
      <c r="G175">
        <v>2731839</v>
      </c>
      <c r="H175">
        <v>30.23</v>
      </c>
      <c r="I175">
        <v>7.76</v>
      </c>
      <c r="J175" s="1">
        <v>44168</v>
      </c>
      <c r="K175">
        <v>176</v>
      </c>
      <c r="L175">
        <v>5.4794520547945212E-4</v>
      </c>
      <c r="M175">
        <v>1496.898082191781</v>
      </c>
      <c r="N175">
        <v>263454.06246575346</v>
      </c>
    </row>
    <row r="176" spans="1:14" x14ac:dyDescent="0.25">
      <c r="A176" t="s">
        <v>371</v>
      </c>
      <c r="B176" t="s">
        <v>11</v>
      </c>
      <c r="C176">
        <v>29</v>
      </c>
      <c r="D176" t="s">
        <v>12</v>
      </c>
      <c r="E176" t="s">
        <v>19</v>
      </c>
      <c r="F176" t="s">
        <v>30</v>
      </c>
      <c r="G176">
        <v>1280283</v>
      </c>
      <c r="H176">
        <v>32.61</v>
      </c>
      <c r="I176">
        <v>32.99</v>
      </c>
      <c r="J176" s="1">
        <v>45504</v>
      </c>
      <c r="K176">
        <v>180</v>
      </c>
      <c r="L176">
        <v>5.4794520547945212E-4</v>
      </c>
      <c r="M176">
        <v>701.52493150684938</v>
      </c>
      <c r="N176">
        <v>126274.48767123288</v>
      </c>
    </row>
    <row r="177" spans="1:14" x14ac:dyDescent="0.25">
      <c r="A177" t="s">
        <v>373</v>
      </c>
      <c r="B177" t="s">
        <v>17</v>
      </c>
      <c r="C177">
        <v>51</v>
      </c>
      <c r="D177" t="s">
        <v>12</v>
      </c>
      <c r="E177" t="s">
        <v>13</v>
      </c>
      <c r="F177" t="s">
        <v>35</v>
      </c>
      <c r="G177">
        <v>2093643</v>
      </c>
      <c r="H177">
        <v>16.66</v>
      </c>
      <c r="I177">
        <v>39.01</v>
      </c>
      <c r="J177" s="1">
        <v>43227</v>
      </c>
      <c r="K177">
        <v>9</v>
      </c>
      <c r="L177">
        <v>5.4794520547945212E-4</v>
      </c>
      <c r="M177">
        <v>1147.2016438356166</v>
      </c>
      <c r="N177">
        <v>10324.814794520549</v>
      </c>
    </row>
    <row r="178" spans="1:14" x14ac:dyDescent="0.25">
      <c r="A178" t="s">
        <v>375</v>
      </c>
      <c r="B178" t="s">
        <v>11</v>
      </c>
      <c r="C178">
        <v>36</v>
      </c>
      <c r="D178" t="s">
        <v>38</v>
      </c>
      <c r="E178" t="s">
        <v>13</v>
      </c>
      <c r="F178" t="s">
        <v>47</v>
      </c>
      <c r="G178">
        <v>4968053</v>
      </c>
      <c r="H178">
        <v>17.03</v>
      </c>
      <c r="I178">
        <v>-0.89</v>
      </c>
      <c r="J178" s="1">
        <v>44946</v>
      </c>
      <c r="K178">
        <v>251</v>
      </c>
      <c r="L178">
        <v>5.4794520547945212E-4</v>
      </c>
      <c r="M178">
        <v>2722.2208219178087</v>
      </c>
      <c r="N178">
        <v>683277.42630137003</v>
      </c>
    </row>
    <row r="179" spans="1:14" x14ac:dyDescent="0.25">
      <c r="A179" t="s">
        <v>377</v>
      </c>
      <c r="B179" t="s">
        <v>17</v>
      </c>
      <c r="C179">
        <v>61</v>
      </c>
      <c r="D179" t="s">
        <v>46</v>
      </c>
      <c r="E179" t="s">
        <v>13</v>
      </c>
      <c r="F179" t="s">
        <v>47</v>
      </c>
      <c r="G179">
        <v>980799</v>
      </c>
      <c r="H179">
        <v>18.3</v>
      </c>
      <c r="I179">
        <v>42.43</v>
      </c>
      <c r="J179" s="1">
        <v>43357</v>
      </c>
      <c r="K179">
        <v>180</v>
      </c>
      <c r="L179">
        <v>5.4794520547945212E-4</v>
      </c>
      <c r="M179">
        <v>537.42410958904111</v>
      </c>
      <c r="N179">
        <v>96736.339726027392</v>
      </c>
    </row>
    <row r="180" spans="1:14" x14ac:dyDescent="0.25">
      <c r="A180" t="s">
        <v>379</v>
      </c>
      <c r="B180" t="s">
        <v>17</v>
      </c>
      <c r="C180">
        <v>39</v>
      </c>
      <c r="D180" t="s">
        <v>12</v>
      </c>
      <c r="E180" t="s">
        <v>13</v>
      </c>
      <c r="F180" t="s">
        <v>41</v>
      </c>
      <c r="G180">
        <v>1795594</v>
      </c>
      <c r="H180">
        <v>27.32</v>
      </c>
      <c r="I180">
        <v>0.33</v>
      </c>
      <c r="J180" s="1">
        <v>44073</v>
      </c>
      <c r="K180">
        <v>316</v>
      </c>
      <c r="L180">
        <v>5.4794520547945212E-4</v>
      </c>
      <c r="M180">
        <v>983.88712328767133</v>
      </c>
      <c r="N180">
        <v>310908.33095890412</v>
      </c>
    </row>
    <row r="181" spans="1:14" x14ac:dyDescent="0.25">
      <c r="A181" t="s">
        <v>381</v>
      </c>
      <c r="B181" t="s">
        <v>11</v>
      </c>
      <c r="C181">
        <v>61</v>
      </c>
      <c r="D181" t="s">
        <v>46</v>
      </c>
      <c r="E181" t="s">
        <v>50</v>
      </c>
      <c r="F181" t="s">
        <v>14</v>
      </c>
      <c r="G181">
        <v>3442735</v>
      </c>
      <c r="H181">
        <v>13.78</v>
      </c>
      <c r="I181">
        <v>34.67</v>
      </c>
      <c r="J181" s="1">
        <v>43351</v>
      </c>
      <c r="K181">
        <v>69</v>
      </c>
      <c r="L181">
        <v>5.4794520547945212E-4</v>
      </c>
      <c r="M181">
        <v>1886.4301369863017</v>
      </c>
      <c r="N181">
        <v>130163.67945205481</v>
      </c>
    </row>
    <row r="182" spans="1:14" x14ac:dyDescent="0.25">
      <c r="A182" t="s">
        <v>382</v>
      </c>
      <c r="B182" t="s">
        <v>17</v>
      </c>
      <c r="C182">
        <v>50</v>
      </c>
      <c r="D182" t="s">
        <v>28</v>
      </c>
      <c r="E182" t="s">
        <v>19</v>
      </c>
      <c r="F182" t="s">
        <v>47</v>
      </c>
      <c r="G182">
        <v>4792061</v>
      </c>
      <c r="H182">
        <v>23.36</v>
      </c>
      <c r="I182">
        <v>-7.73</v>
      </c>
      <c r="J182" s="1">
        <v>45556</v>
      </c>
      <c r="K182">
        <v>113</v>
      </c>
      <c r="L182">
        <v>5.4794520547945212E-4</v>
      </c>
      <c r="M182">
        <v>2625.786849315069</v>
      </c>
      <c r="N182">
        <v>296713.91397260281</v>
      </c>
    </row>
    <row r="183" spans="1:14" x14ac:dyDescent="0.25">
      <c r="A183" t="s">
        <v>384</v>
      </c>
      <c r="B183" t="s">
        <v>17</v>
      </c>
      <c r="C183">
        <v>29</v>
      </c>
      <c r="D183" t="s">
        <v>12</v>
      </c>
      <c r="E183" t="s">
        <v>29</v>
      </c>
      <c r="F183" t="s">
        <v>47</v>
      </c>
      <c r="G183">
        <v>474123</v>
      </c>
      <c r="H183">
        <v>27.44</v>
      </c>
      <c r="I183">
        <v>25.47</v>
      </c>
      <c r="J183" s="1">
        <v>43500</v>
      </c>
      <c r="K183">
        <v>305</v>
      </c>
      <c r="L183">
        <v>5.4794520547945212E-4</v>
      </c>
      <c r="M183">
        <v>259.79342465753427</v>
      </c>
      <c r="N183">
        <v>79236.99452054796</v>
      </c>
    </row>
    <row r="184" spans="1:14" x14ac:dyDescent="0.25">
      <c r="A184" t="s">
        <v>385</v>
      </c>
      <c r="B184" t="s">
        <v>17</v>
      </c>
      <c r="C184">
        <v>34</v>
      </c>
      <c r="D184" t="s">
        <v>12</v>
      </c>
      <c r="E184" t="s">
        <v>13</v>
      </c>
      <c r="F184" t="s">
        <v>47</v>
      </c>
      <c r="G184">
        <v>4578350</v>
      </c>
      <c r="H184">
        <v>26.4</v>
      </c>
      <c r="I184">
        <v>-7.48</v>
      </c>
      <c r="J184" s="1">
        <v>44494</v>
      </c>
      <c r="K184">
        <v>127</v>
      </c>
      <c r="L184">
        <v>5.4794520547945212E-4</v>
      </c>
      <c r="M184">
        <v>2508.6849315068498</v>
      </c>
      <c r="N184">
        <v>318602.98630136991</v>
      </c>
    </row>
    <row r="185" spans="1:14" x14ac:dyDescent="0.25">
      <c r="A185" t="s">
        <v>387</v>
      </c>
      <c r="B185" t="s">
        <v>11</v>
      </c>
      <c r="C185">
        <v>60</v>
      </c>
      <c r="D185" t="s">
        <v>38</v>
      </c>
      <c r="E185" t="s">
        <v>29</v>
      </c>
      <c r="F185" t="s">
        <v>14</v>
      </c>
      <c r="G185">
        <v>3560777</v>
      </c>
      <c r="H185">
        <v>9.39</v>
      </c>
      <c r="I185">
        <v>38.229999999999997</v>
      </c>
      <c r="J185" s="1">
        <v>44902</v>
      </c>
      <c r="K185">
        <v>33</v>
      </c>
      <c r="L185">
        <v>5.4794520547945212E-4</v>
      </c>
      <c r="M185">
        <v>1951.1106849315072</v>
      </c>
      <c r="N185">
        <v>64386.652602739734</v>
      </c>
    </row>
    <row r="186" spans="1:14" x14ac:dyDescent="0.25">
      <c r="A186" t="s">
        <v>389</v>
      </c>
      <c r="B186" t="s">
        <v>11</v>
      </c>
      <c r="C186">
        <v>22</v>
      </c>
      <c r="D186" t="s">
        <v>12</v>
      </c>
      <c r="E186" t="s">
        <v>23</v>
      </c>
      <c r="F186" t="s">
        <v>20</v>
      </c>
      <c r="G186">
        <v>3452749</v>
      </c>
      <c r="H186">
        <v>11.81</v>
      </c>
      <c r="I186">
        <v>6.37</v>
      </c>
      <c r="J186" s="1">
        <v>43998</v>
      </c>
      <c r="K186">
        <v>232</v>
      </c>
      <c r="L186">
        <v>5.4794520547945212E-4</v>
      </c>
      <c r="M186">
        <v>1891.9172602739729</v>
      </c>
      <c r="N186">
        <v>438924.80438356171</v>
      </c>
    </row>
    <row r="187" spans="1:14" x14ac:dyDescent="0.25">
      <c r="A187" t="s">
        <v>391</v>
      </c>
      <c r="B187" t="s">
        <v>17</v>
      </c>
      <c r="C187">
        <v>34</v>
      </c>
      <c r="D187" t="s">
        <v>12</v>
      </c>
      <c r="E187" t="s">
        <v>13</v>
      </c>
      <c r="F187" t="s">
        <v>20</v>
      </c>
      <c r="G187">
        <v>1574126</v>
      </c>
      <c r="H187">
        <v>10.1</v>
      </c>
      <c r="I187">
        <v>22.32</v>
      </c>
      <c r="J187" s="1">
        <v>45465</v>
      </c>
      <c r="K187">
        <v>103</v>
      </c>
      <c r="L187">
        <v>5.4794520547945212E-4</v>
      </c>
      <c r="M187">
        <v>862.53479452054808</v>
      </c>
      <c r="N187">
        <v>88841.083835616446</v>
      </c>
    </row>
    <row r="188" spans="1:14" x14ac:dyDescent="0.25">
      <c r="A188" t="s">
        <v>393</v>
      </c>
      <c r="B188" t="s">
        <v>11</v>
      </c>
      <c r="C188">
        <v>52</v>
      </c>
      <c r="D188" t="s">
        <v>18</v>
      </c>
      <c r="E188" t="s">
        <v>23</v>
      </c>
      <c r="F188" t="s">
        <v>41</v>
      </c>
      <c r="G188">
        <v>1057262</v>
      </c>
      <c r="H188">
        <v>30.12</v>
      </c>
      <c r="I188">
        <v>29.28</v>
      </c>
      <c r="J188" s="1">
        <v>43277</v>
      </c>
      <c r="K188">
        <v>316</v>
      </c>
      <c r="L188">
        <v>5.4794520547945212E-4</v>
      </c>
      <c r="M188">
        <v>579.32164383561656</v>
      </c>
      <c r="N188">
        <v>183065.63945205483</v>
      </c>
    </row>
    <row r="189" spans="1:14" x14ac:dyDescent="0.25">
      <c r="A189" t="s">
        <v>395</v>
      </c>
      <c r="B189" t="s">
        <v>11</v>
      </c>
      <c r="C189">
        <v>44</v>
      </c>
      <c r="D189" t="s">
        <v>18</v>
      </c>
      <c r="E189" t="s">
        <v>29</v>
      </c>
      <c r="F189" t="s">
        <v>41</v>
      </c>
      <c r="G189">
        <v>2076355</v>
      </c>
      <c r="H189">
        <v>33.11</v>
      </c>
      <c r="I189">
        <v>10.72</v>
      </c>
      <c r="J189" s="1">
        <v>44903</v>
      </c>
      <c r="K189">
        <v>48</v>
      </c>
      <c r="L189">
        <v>5.4794520547945212E-4</v>
      </c>
      <c r="M189">
        <v>1137.7287671232878</v>
      </c>
      <c r="N189">
        <v>54610.980821917808</v>
      </c>
    </row>
    <row r="190" spans="1:14" x14ac:dyDescent="0.25">
      <c r="A190" t="s">
        <v>396</v>
      </c>
      <c r="B190" t="s">
        <v>17</v>
      </c>
      <c r="C190">
        <v>65</v>
      </c>
      <c r="D190" t="s">
        <v>18</v>
      </c>
      <c r="E190" t="s">
        <v>57</v>
      </c>
      <c r="F190" t="s">
        <v>30</v>
      </c>
      <c r="G190">
        <v>2351459</v>
      </c>
      <c r="H190">
        <v>25.43</v>
      </c>
      <c r="I190">
        <v>2.2200000000000002</v>
      </c>
      <c r="J190" s="1">
        <v>44237</v>
      </c>
      <c r="K190">
        <v>94</v>
      </c>
      <c r="L190">
        <v>5.4794520547945212E-4</v>
      </c>
      <c r="M190">
        <v>1288.4706849315071</v>
      </c>
      <c r="N190">
        <v>121116.24438356167</v>
      </c>
    </row>
    <row r="191" spans="1:14" x14ac:dyDescent="0.25">
      <c r="A191" t="s">
        <v>398</v>
      </c>
      <c r="B191" t="s">
        <v>11</v>
      </c>
      <c r="C191">
        <v>41</v>
      </c>
      <c r="D191" t="s">
        <v>28</v>
      </c>
      <c r="E191" t="s">
        <v>50</v>
      </c>
      <c r="F191" t="s">
        <v>30</v>
      </c>
      <c r="G191">
        <v>2555619</v>
      </c>
      <c r="H191">
        <v>24.5</v>
      </c>
      <c r="I191">
        <v>38.97</v>
      </c>
      <c r="J191" s="1">
        <v>45013</v>
      </c>
      <c r="K191">
        <v>184</v>
      </c>
      <c r="L191">
        <v>5.4794520547945212E-4</v>
      </c>
      <c r="M191">
        <v>1400.3391780821919</v>
      </c>
      <c r="N191">
        <v>257662.4087671233</v>
      </c>
    </row>
    <row r="192" spans="1:14" x14ac:dyDescent="0.25">
      <c r="A192" t="s">
        <v>400</v>
      </c>
      <c r="B192" t="s">
        <v>17</v>
      </c>
      <c r="C192">
        <v>38</v>
      </c>
      <c r="D192" t="s">
        <v>28</v>
      </c>
      <c r="E192" t="s">
        <v>13</v>
      </c>
      <c r="F192" t="s">
        <v>35</v>
      </c>
      <c r="G192">
        <v>1997737</v>
      </c>
      <c r="H192">
        <v>14.36</v>
      </c>
      <c r="I192">
        <v>41.63</v>
      </c>
      <c r="J192" s="1">
        <v>44199</v>
      </c>
      <c r="K192">
        <v>335</v>
      </c>
      <c r="L192">
        <v>5.4794520547945212E-4</v>
      </c>
      <c r="M192">
        <v>1094.6504109589043</v>
      </c>
      <c r="N192">
        <v>366707.88767123292</v>
      </c>
    </row>
    <row r="193" spans="1:14" x14ac:dyDescent="0.25">
      <c r="A193" t="s">
        <v>402</v>
      </c>
      <c r="B193" t="s">
        <v>11</v>
      </c>
      <c r="C193">
        <v>35</v>
      </c>
      <c r="D193" t="s">
        <v>46</v>
      </c>
      <c r="E193" t="s">
        <v>13</v>
      </c>
      <c r="F193" t="s">
        <v>14</v>
      </c>
      <c r="G193">
        <v>2099490</v>
      </c>
      <c r="H193">
        <v>26.16</v>
      </c>
      <c r="I193">
        <v>37.64</v>
      </c>
      <c r="J193" s="1">
        <v>43279</v>
      </c>
      <c r="K193">
        <v>172</v>
      </c>
      <c r="L193">
        <v>5.4794520547945212E-4</v>
      </c>
      <c r="M193">
        <v>1150.405479452055</v>
      </c>
      <c r="N193">
        <v>197869.74246575346</v>
      </c>
    </row>
    <row r="194" spans="1:14" x14ac:dyDescent="0.25">
      <c r="A194" t="s">
        <v>404</v>
      </c>
      <c r="B194" t="s">
        <v>17</v>
      </c>
      <c r="C194">
        <v>36</v>
      </c>
      <c r="D194" t="s">
        <v>18</v>
      </c>
      <c r="E194" t="s">
        <v>13</v>
      </c>
      <c r="F194" t="s">
        <v>14</v>
      </c>
      <c r="G194">
        <v>4434255</v>
      </c>
      <c r="H194">
        <v>23.84</v>
      </c>
      <c r="I194">
        <v>16.05</v>
      </c>
      <c r="J194" s="1">
        <v>45113</v>
      </c>
      <c r="K194">
        <v>21</v>
      </c>
      <c r="L194">
        <v>5.4794520547945212E-4</v>
      </c>
      <c r="M194">
        <v>2429.728767123288</v>
      </c>
      <c r="N194">
        <v>51024.304109589051</v>
      </c>
    </row>
    <row r="195" spans="1:14" x14ac:dyDescent="0.25">
      <c r="A195" t="s">
        <v>406</v>
      </c>
      <c r="B195" t="s">
        <v>17</v>
      </c>
      <c r="C195">
        <v>29</v>
      </c>
      <c r="D195" t="s">
        <v>38</v>
      </c>
      <c r="E195" t="s">
        <v>57</v>
      </c>
      <c r="F195" t="s">
        <v>35</v>
      </c>
      <c r="G195">
        <v>4037765</v>
      </c>
      <c r="H195">
        <v>9.5299999999999994</v>
      </c>
      <c r="I195">
        <v>41.85</v>
      </c>
      <c r="J195" s="1">
        <v>44712</v>
      </c>
      <c r="K195">
        <v>52</v>
      </c>
      <c r="L195">
        <v>5.4794520547945212E-4</v>
      </c>
      <c r="M195">
        <v>2212.4739726027401</v>
      </c>
      <c r="N195">
        <v>115048.64657534249</v>
      </c>
    </row>
    <row r="196" spans="1:14" x14ac:dyDescent="0.25">
      <c r="A196" t="s">
        <v>408</v>
      </c>
      <c r="B196" t="s">
        <v>11</v>
      </c>
      <c r="C196">
        <v>40</v>
      </c>
      <c r="D196" t="s">
        <v>12</v>
      </c>
      <c r="E196" t="s">
        <v>13</v>
      </c>
      <c r="F196" t="s">
        <v>35</v>
      </c>
      <c r="G196">
        <v>4282680</v>
      </c>
      <c r="H196">
        <v>18.46</v>
      </c>
      <c r="I196">
        <v>5.39</v>
      </c>
      <c r="J196" s="1">
        <v>45216</v>
      </c>
      <c r="K196">
        <v>137</v>
      </c>
      <c r="L196">
        <v>5.4794520547945212E-4</v>
      </c>
      <c r="M196">
        <v>2346.6739726027399</v>
      </c>
      <c r="N196">
        <v>321494.33424657537</v>
      </c>
    </row>
    <row r="197" spans="1:14" x14ac:dyDescent="0.25">
      <c r="A197" t="s">
        <v>410</v>
      </c>
      <c r="B197" t="s">
        <v>17</v>
      </c>
      <c r="C197">
        <v>33</v>
      </c>
      <c r="D197" t="s">
        <v>46</v>
      </c>
      <c r="E197" t="s">
        <v>13</v>
      </c>
      <c r="F197" t="s">
        <v>35</v>
      </c>
      <c r="G197">
        <v>1278575</v>
      </c>
      <c r="H197">
        <v>14.59</v>
      </c>
      <c r="I197">
        <v>44.63</v>
      </c>
      <c r="J197" s="1">
        <v>45022</v>
      </c>
      <c r="K197">
        <v>101</v>
      </c>
      <c r="L197">
        <v>5.4794520547945212E-4</v>
      </c>
      <c r="M197">
        <v>700.58904109589048</v>
      </c>
      <c r="N197">
        <v>70759.493150684939</v>
      </c>
    </row>
    <row r="198" spans="1:14" x14ac:dyDescent="0.25">
      <c r="A198" t="s">
        <v>412</v>
      </c>
      <c r="B198" t="s">
        <v>11</v>
      </c>
      <c r="C198">
        <v>29</v>
      </c>
      <c r="D198" t="s">
        <v>18</v>
      </c>
      <c r="E198" t="s">
        <v>19</v>
      </c>
      <c r="F198" t="s">
        <v>41</v>
      </c>
      <c r="G198">
        <v>4757842</v>
      </c>
      <c r="H198">
        <v>16.899999999999999</v>
      </c>
      <c r="I198">
        <v>2.37</v>
      </c>
      <c r="J198" s="1">
        <v>43891</v>
      </c>
      <c r="K198">
        <v>100</v>
      </c>
      <c r="L198">
        <v>5.4794520547945212E-4</v>
      </c>
      <c r="M198">
        <v>2607.0367123287674</v>
      </c>
      <c r="N198">
        <v>260703.67123287675</v>
      </c>
    </row>
    <row r="199" spans="1:14" x14ac:dyDescent="0.25">
      <c r="A199" t="s">
        <v>414</v>
      </c>
      <c r="B199" t="s">
        <v>17</v>
      </c>
      <c r="C199">
        <v>64</v>
      </c>
      <c r="D199" t="s">
        <v>46</v>
      </c>
      <c r="E199" t="s">
        <v>19</v>
      </c>
      <c r="F199" t="s">
        <v>35</v>
      </c>
      <c r="G199">
        <v>2318964</v>
      </c>
      <c r="H199">
        <v>5.55</v>
      </c>
      <c r="I199">
        <v>-2.14</v>
      </c>
      <c r="J199" s="1">
        <v>44858</v>
      </c>
      <c r="K199">
        <v>44</v>
      </c>
      <c r="L199">
        <v>5.4794520547945212E-4</v>
      </c>
      <c r="M199">
        <v>1270.6652054794522</v>
      </c>
      <c r="N199">
        <v>55909.269041095897</v>
      </c>
    </row>
    <row r="200" spans="1:14" x14ac:dyDescent="0.25">
      <c r="A200" t="s">
        <v>416</v>
      </c>
      <c r="B200" t="s">
        <v>11</v>
      </c>
      <c r="C200">
        <v>22</v>
      </c>
      <c r="D200" t="s">
        <v>28</v>
      </c>
      <c r="E200" t="s">
        <v>57</v>
      </c>
      <c r="F200" t="s">
        <v>20</v>
      </c>
      <c r="G200">
        <v>748066</v>
      </c>
      <c r="H200">
        <v>28.28</v>
      </c>
      <c r="I200">
        <v>14.24</v>
      </c>
      <c r="J200" s="1">
        <v>43350</v>
      </c>
      <c r="K200">
        <v>315</v>
      </c>
      <c r="L200">
        <v>5.4794520547945212E-4</v>
      </c>
      <c r="M200">
        <v>409.89917808219184</v>
      </c>
      <c r="N200">
        <v>129118.24109589042</v>
      </c>
    </row>
    <row r="201" spans="1:14" x14ac:dyDescent="0.25">
      <c r="A201" t="s">
        <v>418</v>
      </c>
      <c r="B201" t="s">
        <v>17</v>
      </c>
      <c r="C201">
        <v>26</v>
      </c>
      <c r="D201" t="s">
        <v>28</v>
      </c>
      <c r="E201" t="s">
        <v>57</v>
      </c>
      <c r="F201" t="s">
        <v>41</v>
      </c>
      <c r="G201">
        <v>2949752</v>
      </c>
      <c r="H201">
        <v>32.85</v>
      </c>
      <c r="I201">
        <v>28.82</v>
      </c>
      <c r="J201" s="1">
        <v>44013</v>
      </c>
      <c r="K201">
        <v>339</v>
      </c>
      <c r="L201">
        <v>5.4794520547945212E-4</v>
      </c>
      <c r="M201">
        <v>1616.3024657534249</v>
      </c>
      <c r="N201">
        <v>547926.535890411</v>
      </c>
    </row>
    <row r="202" spans="1:14" x14ac:dyDescent="0.25">
      <c r="A202" t="s">
        <v>420</v>
      </c>
      <c r="B202" t="s">
        <v>11</v>
      </c>
      <c r="C202">
        <v>24</v>
      </c>
      <c r="D202" t="s">
        <v>18</v>
      </c>
      <c r="E202" t="s">
        <v>19</v>
      </c>
      <c r="F202" t="s">
        <v>35</v>
      </c>
      <c r="G202">
        <v>1211782</v>
      </c>
      <c r="H202">
        <v>34.270000000000003</v>
      </c>
      <c r="I202">
        <v>12.16</v>
      </c>
      <c r="J202" s="1">
        <v>44066</v>
      </c>
      <c r="K202">
        <v>58</v>
      </c>
      <c r="L202">
        <v>5.4794520547945212E-4</v>
      </c>
      <c r="M202">
        <v>663.99013698630142</v>
      </c>
      <c r="N202">
        <v>38511.427945205483</v>
      </c>
    </row>
    <row r="203" spans="1:14" x14ac:dyDescent="0.25">
      <c r="A203" t="s">
        <v>422</v>
      </c>
      <c r="B203" t="s">
        <v>11</v>
      </c>
      <c r="C203">
        <v>47</v>
      </c>
      <c r="D203" t="s">
        <v>12</v>
      </c>
      <c r="E203" t="s">
        <v>19</v>
      </c>
      <c r="F203" t="s">
        <v>41</v>
      </c>
      <c r="G203">
        <v>3502972</v>
      </c>
      <c r="H203">
        <v>33.729999999999997</v>
      </c>
      <c r="I203">
        <v>18.149999999999999</v>
      </c>
      <c r="J203" s="1">
        <v>43298</v>
      </c>
      <c r="K203">
        <v>333</v>
      </c>
      <c r="L203">
        <v>5.4794520547945212E-4</v>
      </c>
      <c r="M203">
        <v>1919.4367123287673</v>
      </c>
      <c r="N203">
        <v>639172.42520547949</v>
      </c>
    </row>
    <row r="204" spans="1:14" x14ac:dyDescent="0.25">
      <c r="A204" t="s">
        <v>424</v>
      </c>
      <c r="B204" t="s">
        <v>11</v>
      </c>
      <c r="C204">
        <v>63</v>
      </c>
      <c r="D204" t="s">
        <v>46</v>
      </c>
      <c r="E204" t="s">
        <v>19</v>
      </c>
      <c r="F204" t="s">
        <v>14</v>
      </c>
      <c r="G204">
        <v>247525</v>
      </c>
      <c r="H204">
        <v>34.36</v>
      </c>
      <c r="I204">
        <v>10.94</v>
      </c>
      <c r="J204" s="1">
        <v>45249</v>
      </c>
      <c r="K204">
        <v>12</v>
      </c>
      <c r="L204">
        <v>5.4794520547945212E-4</v>
      </c>
      <c r="M204">
        <v>135.63013698630138</v>
      </c>
      <c r="N204">
        <v>1627.5616438356165</v>
      </c>
    </row>
    <row r="205" spans="1:14" x14ac:dyDescent="0.25">
      <c r="A205" t="s">
        <v>426</v>
      </c>
      <c r="B205" t="s">
        <v>11</v>
      </c>
      <c r="C205">
        <v>23</v>
      </c>
      <c r="D205" t="s">
        <v>18</v>
      </c>
      <c r="E205" t="s">
        <v>57</v>
      </c>
      <c r="F205" t="s">
        <v>30</v>
      </c>
      <c r="G205">
        <v>1705628</v>
      </c>
      <c r="H205">
        <v>23.24</v>
      </c>
      <c r="I205">
        <v>42.76</v>
      </c>
      <c r="J205" s="1">
        <v>43555</v>
      </c>
      <c r="K205">
        <v>154</v>
      </c>
      <c r="L205">
        <v>5.4794520547945212E-4</v>
      </c>
      <c r="M205">
        <v>934.59068493150698</v>
      </c>
      <c r="N205">
        <v>143926.96547945208</v>
      </c>
    </row>
    <row r="206" spans="1:14" x14ac:dyDescent="0.25">
      <c r="A206" t="s">
        <v>428</v>
      </c>
      <c r="B206" t="s">
        <v>11</v>
      </c>
      <c r="C206">
        <v>43</v>
      </c>
      <c r="D206" t="s">
        <v>12</v>
      </c>
      <c r="E206" t="s">
        <v>19</v>
      </c>
      <c r="F206" t="s">
        <v>20</v>
      </c>
      <c r="G206">
        <v>4933594</v>
      </c>
      <c r="H206">
        <v>32.89</v>
      </c>
      <c r="I206">
        <v>10.199999999999999</v>
      </c>
      <c r="J206" s="1">
        <v>44503</v>
      </c>
      <c r="K206">
        <v>110</v>
      </c>
      <c r="L206">
        <v>5.4794520547945212E-4</v>
      </c>
      <c r="M206">
        <v>2703.3391780821921</v>
      </c>
      <c r="N206">
        <v>297367.30958904111</v>
      </c>
    </row>
    <row r="207" spans="1:14" x14ac:dyDescent="0.25">
      <c r="A207" t="s">
        <v>430</v>
      </c>
      <c r="B207" t="s">
        <v>17</v>
      </c>
      <c r="C207">
        <v>44</v>
      </c>
      <c r="D207" t="s">
        <v>38</v>
      </c>
      <c r="E207" t="s">
        <v>23</v>
      </c>
      <c r="F207" t="s">
        <v>20</v>
      </c>
      <c r="G207">
        <v>4816145</v>
      </c>
      <c r="H207">
        <v>33.270000000000003</v>
      </c>
      <c r="I207">
        <v>37.549999999999997</v>
      </c>
      <c r="J207" s="1">
        <v>43784</v>
      </c>
      <c r="K207">
        <v>53</v>
      </c>
      <c r="L207">
        <v>5.4794520547945212E-4</v>
      </c>
      <c r="M207">
        <v>2638.9835616438359</v>
      </c>
      <c r="N207">
        <v>139866.1287671233</v>
      </c>
    </row>
    <row r="208" spans="1:14" x14ac:dyDescent="0.25">
      <c r="A208" t="s">
        <v>432</v>
      </c>
      <c r="B208" t="s">
        <v>17</v>
      </c>
      <c r="C208">
        <v>24</v>
      </c>
      <c r="D208" t="s">
        <v>46</v>
      </c>
      <c r="E208" t="s">
        <v>57</v>
      </c>
      <c r="F208" t="s">
        <v>47</v>
      </c>
      <c r="G208">
        <v>1181622</v>
      </c>
      <c r="H208">
        <v>14.51</v>
      </c>
      <c r="I208">
        <v>2.0299999999999998</v>
      </c>
      <c r="J208" s="1">
        <v>43551</v>
      </c>
      <c r="K208">
        <v>21</v>
      </c>
      <c r="L208">
        <v>5.4794520547945212E-4</v>
      </c>
      <c r="M208">
        <v>647.46410958904119</v>
      </c>
      <c r="N208">
        <v>13596.746301369865</v>
      </c>
    </row>
    <row r="209" spans="1:14" x14ac:dyDescent="0.25">
      <c r="A209" t="s">
        <v>434</v>
      </c>
      <c r="B209" t="s">
        <v>11</v>
      </c>
      <c r="C209">
        <v>28</v>
      </c>
      <c r="D209" t="s">
        <v>46</v>
      </c>
      <c r="E209" t="s">
        <v>19</v>
      </c>
      <c r="F209" t="s">
        <v>35</v>
      </c>
      <c r="G209">
        <v>4240840</v>
      </c>
      <c r="H209">
        <v>18.600000000000001</v>
      </c>
      <c r="I209">
        <v>1.78</v>
      </c>
      <c r="J209" s="1">
        <v>43181</v>
      </c>
      <c r="K209">
        <v>181</v>
      </c>
      <c r="L209">
        <v>5.4794520547945212E-4</v>
      </c>
      <c r="M209">
        <v>2323.7479452054799</v>
      </c>
      <c r="N209">
        <v>420598.37808219186</v>
      </c>
    </row>
    <row r="210" spans="1:14" x14ac:dyDescent="0.25">
      <c r="A210" t="s">
        <v>436</v>
      </c>
      <c r="B210" t="s">
        <v>11</v>
      </c>
      <c r="C210">
        <v>24</v>
      </c>
      <c r="D210" t="s">
        <v>46</v>
      </c>
      <c r="E210" t="s">
        <v>23</v>
      </c>
      <c r="F210" t="s">
        <v>20</v>
      </c>
      <c r="G210">
        <v>4787159</v>
      </c>
      <c r="H210">
        <v>34.32</v>
      </c>
      <c r="I210">
        <v>-3.88</v>
      </c>
      <c r="J210" s="1">
        <v>45077</v>
      </c>
      <c r="K210">
        <v>125</v>
      </c>
      <c r="L210">
        <v>5.4794520547945212E-4</v>
      </c>
      <c r="M210">
        <v>2623.1008219178084</v>
      </c>
      <c r="N210">
        <v>327887.60273972608</v>
      </c>
    </row>
    <row r="211" spans="1:14" x14ac:dyDescent="0.25">
      <c r="A211" t="s">
        <v>438</v>
      </c>
      <c r="B211" t="s">
        <v>17</v>
      </c>
      <c r="C211">
        <v>46</v>
      </c>
      <c r="D211" t="s">
        <v>38</v>
      </c>
      <c r="E211" t="s">
        <v>19</v>
      </c>
      <c r="F211" t="s">
        <v>47</v>
      </c>
      <c r="G211">
        <v>1123820</v>
      </c>
      <c r="H211">
        <v>9.2899999999999991</v>
      </c>
      <c r="I211">
        <v>39.96</v>
      </c>
      <c r="J211" s="1">
        <v>44023</v>
      </c>
      <c r="K211">
        <v>365</v>
      </c>
      <c r="L211">
        <v>5.4794520547945212E-4</v>
      </c>
      <c r="M211">
        <v>615.79178082191788</v>
      </c>
      <c r="N211">
        <v>224764.00000000003</v>
      </c>
    </row>
    <row r="212" spans="1:14" x14ac:dyDescent="0.25">
      <c r="A212" t="s">
        <v>440</v>
      </c>
      <c r="B212" t="s">
        <v>11</v>
      </c>
      <c r="C212">
        <v>33</v>
      </c>
      <c r="D212" t="s">
        <v>46</v>
      </c>
      <c r="E212" t="s">
        <v>29</v>
      </c>
      <c r="F212" t="s">
        <v>41</v>
      </c>
      <c r="G212">
        <v>4134355</v>
      </c>
      <c r="H212">
        <v>19.11</v>
      </c>
      <c r="I212">
        <v>-3.02</v>
      </c>
      <c r="J212" s="1">
        <v>43450</v>
      </c>
      <c r="K212">
        <v>33</v>
      </c>
      <c r="L212">
        <v>5.4794520547945212E-4</v>
      </c>
      <c r="M212">
        <v>2265.4</v>
      </c>
      <c r="N212">
        <v>74758.2</v>
      </c>
    </row>
    <row r="213" spans="1:14" x14ac:dyDescent="0.25">
      <c r="A213" t="s">
        <v>442</v>
      </c>
      <c r="B213" t="s">
        <v>17</v>
      </c>
      <c r="C213">
        <v>30</v>
      </c>
      <c r="D213" t="s">
        <v>46</v>
      </c>
      <c r="E213" t="s">
        <v>19</v>
      </c>
      <c r="F213" t="s">
        <v>35</v>
      </c>
      <c r="G213">
        <v>456498</v>
      </c>
      <c r="H213">
        <v>10.91</v>
      </c>
      <c r="I213">
        <v>18.43</v>
      </c>
      <c r="J213" s="1">
        <v>44442</v>
      </c>
      <c r="K213">
        <v>21</v>
      </c>
      <c r="L213">
        <v>5.4794520547945212E-4</v>
      </c>
      <c r="M213">
        <v>250.13589041095892</v>
      </c>
      <c r="N213">
        <v>5252.8536986301369</v>
      </c>
    </row>
    <row r="214" spans="1:14" x14ac:dyDescent="0.25">
      <c r="A214" t="s">
        <v>444</v>
      </c>
      <c r="B214" t="s">
        <v>17</v>
      </c>
      <c r="C214">
        <v>54</v>
      </c>
      <c r="D214" t="s">
        <v>12</v>
      </c>
      <c r="E214" t="s">
        <v>23</v>
      </c>
      <c r="F214" t="s">
        <v>14</v>
      </c>
      <c r="G214">
        <v>3521621</v>
      </c>
      <c r="H214">
        <v>12.91</v>
      </c>
      <c r="I214">
        <v>30.84</v>
      </c>
      <c r="J214" s="1">
        <v>44852</v>
      </c>
      <c r="K214">
        <v>187</v>
      </c>
      <c r="L214">
        <v>5.4794520547945212E-4</v>
      </c>
      <c r="M214">
        <v>1929.6553424657536</v>
      </c>
      <c r="N214">
        <v>360845.54904109595</v>
      </c>
    </row>
    <row r="215" spans="1:14" x14ac:dyDescent="0.25">
      <c r="A215" t="s">
        <v>445</v>
      </c>
      <c r="B215" t="s">
        <v>17</v>
      </c>
      <c r="C215">
        <v>60</v>
      </c>
      <c r="D215" t="s">
        <v>38</v>
      </c>
      <c r="E215" t="s">
        <v>57</v>
      </c>
      <c r="F215" t="s">
        <v>41</v>
      </c>
      <c r="G215">
        <v>2652326</v>
      </c>
      <c r="H215">
        <v>21.53</v>
      </c>
      <c r="I215">
        <v>-1.66</v>
      </c>
      <c r="J215" s="1">
        <v>43722</v>
      </c>
      <c r="K215">
        <v>337</v>
      </c>
      <c r="L215">
        <v>5.4794520547945212E-4</v>
      </c>
      <c r="M215">
        <v>1453.3293150684933</v>
      </c>
      <c r="N215">
        <v>489771.97917808226</v>
      </c>
    </row>
    <row r="216" spans="1:14" x14ac:dyDescent="0.25">
      <c r="A216" t="s">
        <v>447</v>
      </c>
      <c r="B216" t="s">
        <v>11</v>
      </c>
      <c r="C216">
        <v>42</v>
      </c>
      <c r="D216" t="s">
        <v>18</v>
      </c>
      <c r="E216" t="s">
        <v>57</v>
      </c>
      <c r="F216" t="s">
        <v>35</v>
      </c>
      <c r="G216">
        <v>4918752</v>
      </c>
      <c r="H216">
        <v>5.69</v>
      </c>
      <c r="I216">
        <v>-6.94</v>
      </c>
      <c r="J216" s="1">
        <v>44220</v>
      </c>
      <c r="K216">
        <v>335</v>
      </c>
      <c r="L216">
        <v>5.4794520547945212E-4</v>
      </c>
      <c r="M216">
        <v>2695.2065753424663</v>
      </c>
      <c r="N216">
        <v>902894.20273972617</v>
      </c>
    </row>
    <row r="217" spans="1:14" x14ac:dyDescent="0.25">
      <c r="A217" t="s">
        <v>449</v>
      </c>
      <c r="B217" t="s">
        <v>11</v>
      </c>
      <c r="C217">
        <v>65</v>
      </c>
      <c r="D217" t="s">
        <v>18</v>
      </c>
      <c r="E217" t="s">
        <v>13</v>
      </c>
      <c r="F217" t="s">
        <v>35</v>
      </c>
      <c r="G217">
        <v>120406</v>
      </c>
      <c r="H217">
        <v>19.59</v>
      </c>
      <c r="I217">
        <v>10.51</v>
      </c>
      <c r="J217" s="1">
        <v>43776</v>
      </c>
      <c r="K217">
        <v>346</v>
      </c>
      <c r="L217">
        <v>5.4794520547945212E-4</v>
      </c>
      <c r="M217">
        <v>65.975890410958911</v>
      </c>
      <c r="N217">
        <v>22827.658082191781</v>
      </c>
    </row>
    <row r="218" spans="1:14" x14ac:dyDescent="0.25">
      <c r="A218" t="s">
        <v>450</v>
      </c>
      <c r="B218" t="s">
        <v>11</v>
      </c>
      <c r="C218">
        <v>62</v>
      </c>
      <c r="D218" t="s">
        <v>46</v>
      </c>
      <c r="E218" t="s">
        <v>57</v>
      </c>
      <c r="F218" t="s">
        <v>14</v>
      </c>
      <c r="G218">
        <v>396753</v>
      </c>
      <c r="H218">
        <v>21.3</v>
      </c>
      <c r="I218">
        <v>35.39</v>
      </c>
      <c r="J218" s="1">
        <v>44082</v>
      </c>
      <c r="K218">
        <v>9</v>
      </c>
      <c r="L218">
        <v>5.4794520547945212E-4</v>
      </c>
      <c r="M218">
        <v>217.39890410958907</v>
      </c>
      <c r="N218">
        <v>1956.5901369863016</v>
      </c>
    </row>
    <row r="219" spans="1:14" x14ac:dyDescent="0.25">
      <c r="A219" t="s">
        <v>452</v>
      </c>
      <c r="B219" t="s">
        <v>11</v>
      </c>
      <c r="C219">
        <v>31</v>
      </c>
      <c r="D219" t="s">
        <v>18</v>
      </c>
      <c r="E219" t="s">
        <v>57</v>
      </c>
      <c r="F219" t="s">
        <v>30</v>
      </c>
      <c r="G219">
        <v>1612854</v>
      </c>
      <c r="H219">
        <v>5.32</v>
      </c>
      <c r="I219">
        <v>20.88</v>
      </c>
      <c r="J219" s="1">
        <v>43264</v>
      </c>
      <c r="K219">
        <v>361</v>
      </c>
      <c r="L219">
        <v>5.4794520547945212E-4</v>
      </c>
      <c r="M219">
        <v>883.75561643835624</v>
      </c>
      <c r="N219">
        <v>319035.77753424662</v>
      </c>
    </row>
    <row r="220" spans="1:14" x14ac:dyDescent="0.25">
      <c r="A220" t="s">
        <v>454</v>
      </c>
      <c r="B220" t="s">
        <v>17</v>
      </c>
      <c r="C220">
        <v>52</v>
      </c>
      <c r="D220" t="s">
        <v>46</v>
      </c>
      <c r="E220" t="s">
        <v>13</v>
      </c>
      <c r="F220" t="s">
        <v>41</v>
      </c>
      <c r="G220">
        <v>538068</v>
      </c>
      <c r="H220">
        <v>10.71</v>
      </c>
      <c r="I220">
        <v>18.82</v>
      </c>
      <c r="J220" s="1">
        <v>45442</v>
      </c>
      <c r="K220">
        <v>330</v>
      </c>
      <c r="L220">
        <v>5.4794520547945212E-4</v>
      </c>
      <c r="M220">
        <v>294.83178082191785</v>
      </c>
      <c r="N220">
        <v>97294.487671232884</v>
      </c>
    </row>
    <row r="221" spans="1:14" x14ac:dyDescent="0.25">
      <c r="A221" t="s">
        <v>456</v>
      </c>
      <c r="B221" t="s">
        <v>11</v>
      </c>
      <c r="C221">
        <v>40</v>
      </c>
      <c r="D221" t="s">
        <v>46</v>
      </c>
      <c r="E221" t="s">
        <v>13</v>
      </c>
      <c r="F221" t="s">
        <v>35</v>
      </c>
      <c r="G221">
        <v>1797233</v>
      </c>
      <c r="H221">
        <v>29.89</v>
      </c>
      <c r="I221">
        <v>6.31</v>
      </c>
      <c r="J221" s="1">
        <v>45519</v>
      </c>
      <c r="K221">
        <v>356</v>
      </c>
      <c r="L221">
        <v>5.4794520547945212E-4</v>
      </c>
      <c r="M221">
        <v>984.7852054794522</v>
      </c>
      <c r="N221">
        <v>350583.53315068496</v>
      </c>
    </row>
    <row r="222" spans="1:14" x14ac:dyDescent="0.25">
      <c r="A222" t="s">
        <v>458</v>
      </c>
      <c r="B222" t="s">
        <v>17</v>
      </c>
      <c r="C222">
        <v>63</v>
      </c>
      <c r="D222" t="s">
        <v>46</v>
      </c>
      <c r="E222" t="s">
        <v>19</v>
      </c>
      <c r="F222" t="s">
        <v>35</v>
      </c>
      <c r="G222">
        <v>3380286</v>
      </c>
      <c r="H222">
        <v>10.69</v>
      </c>
      <c r="I222">
        <v>10.81</v>
      </c>
      <c r="J222" s="1">
        <v>44243</v>
      </c>
      <c r="K222">
        <v>175</v>
      </c>
      <c r="L222">
        <v>5.4794520547945212E-4</v>
      </c>
      <c r="M222">
        <v>1852.2115068493154</v>
      </c>
      <c r="N222">
        <v>324137.01369863021</v>
      </c>
    </row>
    <row r="223" spans="1:14" x14ac:dyDescent="0.25">
      <c r="A223" t="s">
        <v>460</v>
      </c>
      <c r="B223" t="s">
        <v>17</v>
      </c>
      <c r="C223">
        <v>25</v>
      </c>
      <c r="D223" t="s">
        <v>46</v>
      </c>
      <c r="E223" t="s">
        <v>23</v>
      </c>
      <c r="F223" t="s">
        <v>30</v>
      </c>
      <c r="G223">
        <v>2375851</v>
      </c>
      <c r="H223">
        <v>9.17</v>
      </c>
      <c r="I223">
        <v>20.079999999999998</v>
      </c>
      <c r="J223" s="1">
        <v>45192</v>
      </c>
      <c r="K223">
        <v>53</v>
      </c>
      <c r="L223">
        <v>5.4794520547945212E-4</v>
      </c>
      <c r="M223">
        <v>1301.8361643835617</v>
      </c>
      <c r="N223">
        <v>68997.316712328771</v>
      </c>
    </row>
    <row r="224" spans="1:14" x14ac:dyDescent="0.25">
      <c r="A224" t="s">
        <v>462</v>
      </c>
      <c r="B224" t="s">
        <v>11</v>
      </c>
      <c r="C224">
        <v>48</v>
      </c>
      <c r="D224" t="s">
        <v>46</v>
      </c>
      <c r="E224" t="s">
        <v>19</v>
      </c>
      <c r="F224" t="s">
        <v>14</v>
      </c>
      <c r="G224">
        <v>3631090</v>
      </c>
      <c r="H224">
        <v>20.39</v>
      </c>
      <c r="I224">
        <v>40.700000000000003</v>
      </c>
      <c r="J224" s="1">
        <v>43643</v>
      </c>
      <c r="K224">
        <v>290</v>
      </c>
      <c r="L224">
        <v>5.4794520547945212E-4</v>
      </c>
      <c r="M224">
        <v>1989.6383561643838</v>
      </c>
      <c r="N224">
        <v>576995.12328767136</v>
      </c>
    </row>
    <row r="225" spans="1:14" x14ac:dyDescent="0.25">
      <c r="A225" t="s">
        <v>464</v>
      </c>
      <c r="B225" t="s">
        <v>11</v>
      </c>
      <c r="C225">
        <v>56</v>
      </c>
      <c r="D225" t="s">
        <v>46</v>
      </c>
      <c r="E225" t="s">
        <v>29</v>
      </c>
      <c r="F225" t="s">
        <v>47</v>
      </c>
      <c r="G225">
        <v>1440710</v>
      </c>
      <c r="H225">
        <v>21.48</v>
      </c>
      <c r="I225">
        <v>38.979999999999997</v>
      </c>
      <c r="J225" s="1">
        <v>44936</v>
      </c>
      <c r="K225">
        <v>39</v>
      </c>
      <c r="L225">
        <v>5.4794520547945212E-4</v>
      </c>
      <c r="M225">
        <v>789.43013698630148</v>
      </c>
      <c r="N225">
        <v>30787.775342465757</v>
      </c>
    </row>
    <row r="226" spans="1:14" x14ac:dyDescent="0.25">
      <c r="A226" t="s">
        <v>466</v>
      </c>
      <c r="B226" t="s">
        <v>11</v>
      </c>
      <c r="C226">
        <v>57</v>
      </c>
      <c r="D226" t="s">
        <v>46</v>
      </c>
      <c r="E226" t="s">
        <v>19</v>
      </c>
      <c r="F226" t="s">
        <v>14</v>
      </c>
      <c r="G226">
        <v>887126</v>
      </c>
      <c r="H226">
        <v>33.299999999999997</v>
      </c>
      <c r="I226">
        <v>-8.59</v>
      </c>
      <c r="J226" s="1">
        <v>43351</v>
      </c>
      <c r="K226">
        <v>247</v>
      </c>
      <c r="L226">
        <v>5.4794520547945212E-4</v>
      </c>
      <c r="M226">
        <v>486.09643835616447</v>
      </c>
      <c r="N226">
        <v>120065.82027397263</v>
      </c>
    </row>
    <row r="227" spans="1:14" x14ac:dyDescent="0.25">
      <c r="A227" t="s">
        <v>467</v>
      </c>
      <c r="B227" t="s">
        <v>11</v>
      </c>
      <c r="C227">
        <v>51</v>
      </c>
      <c r="D227" t="s">
        <v>28</v>
      </c>
      <c r="E227" t="s">
        <v>19</v>
      </c>
      <c r="F227" t="s">
        <v>41</v>
      </c>
      <c r="G227">
        <v>3269498</v>
      </c>
      <c r="H227">
        <v>14.43</v>
      </c>
      <c r="I227">
        <v>25.09</v>
      </c>
      <c r="J227" s="1">
        <v>43843</v>
      </c>
      <c r="K227">
        <v>137</v>
      </c>
      <c r="L227">
        <v>5.4794520547945212E-4</v>
      </c>
      <c r="M227">
        <v>1791.5057534246578</v>
      </c>
      <c r="N227">
        <v>245436.28821917812</v>
      </c>
    </row>
    <row r="228" spans="1:14" x14ac:dyDescent="0.25">
      <c r="A228" t="s">
        <v>469</v>
      </c>
      <c r="B228" t="s">
        <v>11</v>
      </c>
      <c r="C228">
        <v>46</v>
      </c>
      <c r="D228" t="s">
        <v>18</v>
      </c>
      <c r="E228" t="s">
        <v>23</v>
      </c>
      <c r="F228" t="s">
        <v>14</v>
      </c>
      <c r="G228">
        <v>4297886</v>
      </c>
      <c r="H228">
        <v>15.18</v>
      </c>
      <c r="I228">
        <v>28.82</v>
      </c>
      <c r="J228" s="1">
        <v>43777</v>
      </c>
      <c r="K228">
        <v>362</v>
      </c>
      <c r="L228">
        <v>5.4794520547945212E-4</v>
      </c>
      <c r="M228">
        <v>2355.0060273972604</v>
      </c>
      <c r="N228">
        <v>852512.18191780825</v>
      </c>
    </row>
    <row r="229" spans="1:14" x14ac:dyDescent="0.25">
      <c r="A229" t="s">
        <v>471</v>
      </c>
      <c r="B229" t="s">
        <v>11</v>
      </c>
      <c r="C229">
        <v>23</v>
      </c>
      <c r="D229" t="s">
        <v>38</v>
      </c>
      <c r="E229" t="s">
        <v>50</v>
      </c>
      <c r="F229" t="s">
        <v>47</v>
      </c>
      <c r="G229">
        <v>1749204</v>
      </c>
      <c r="H229">
        <v>17.89</v>
      </c>
      <c r="I229">
        <v>16.89</v>
      </c>
      <c r="J229" s="1">
        <v>44376</v>
      </c>
      <c r="K229">
        <v>307</v>
      </c>
      <c r="L229">
        <v>5.4794520547945212E-4</v>
      </c>
      <c r="M229">
        <v>958.46794520547962</v>
      </c>
      <c r="N229">
        <v>294249.65917808225</v>
      </c>
    </row>
    <row r="230" spans="1:14" x14ac:dyDescent="0.25">
      <c r="A230" t="s">
        <v>473</v>
      </c>
      <c r="B230" t="s">
        <v>17</v>
      </c>
      <c r="C230">
        <v>37</v>
      </c>
      <c r="D230" t="s">
        <v>18</v>
      </c>
      <c r="E230" t="s">
        <v>13</v>
      </c>
      <c r="F230" t="s">
        <v>41</v>
      </c>
      <c r="G230">
        <v>3205796</v>
      </c>
      <c r="H230">
        <v>22.06</v>
      </c>
      <c r="I230">
        <v>38.79</v>
      </c>
      <c r="J230" s="1">
        <v>44682</v>
      </c>
      <c r="K230">
        <v>113</v>
      </c>
      <c r="L230">
        <v>5.4794520547945212E-4</v>
      </c>
      <c r="M230">
        <v>1756.6005479452058</v>
      </c>
      <c r="N230">
        <v>198495.86191780824</v>
      </c>
    </row>
    <row r="231" spans="1:14" x14ac:dyDescent="0.25">
      <c r="A231" t="s">
        <v>475</v>
      </c>
      <c r="B231" t="s">
        <v>17</v>
      </c>
      <c r="C231">
        <v>40</v>
      </c>
      <c r="D231" t="s">
        <v>46</v>
      </c>
      <c r="E231" t="s">
        <v>57</v>
      </c>
      <c r="F231" t="s">
        <v>20</v>
      </c>
      <c r="G231">
        <v>2543024</v>
      </c>
      <c r="H231">
        <v>12.03</v>
      </c>
      <c r="I231">
        <v>19.059999999999999</v>
      </c>
      <c r="J231" s="1">
        <v>44515</v>
      </c>
      <c r="K231">
        <v>19</v>
      </c>
      <c r="L231">
        <v>5.4794520547945212E-4</v>
      </c>
      <c r="M231">
        <v>1393.4378082191784</v>
      </c>
      <c r="N231">
        <v>26475.318356164389</v>
      </c>
    </row>
    <row r="232" spans="1:14" x14ac:dyDescent="0.25">
      <c r="A232" t="s">
        <v>477</v>
      </c>
      <c r="B232" t="s">
        <v>17</v>
      </c>
      <c r="C232">
        <v>25</v>
      </c>
      <c r="D232" t="s">
        <v>46</v>
      </c>
      <c r="E232" t="s">
        <v>19</v>
      </c>
      <c r="F232" t="s">
        <v>30</v>
      </c>
      <c r="G232">
        <v>1030318</v>
      </c>
      <c r="H232">
        <v>19.96</v>
      </c>
      <c r="I232">
        <v>14.09</v>
      </c>
      <c r="J232" s="1">
        <v>45224</v>
      </c>
      <c r="K232">
        <v>208</v>
      </c>
      <c r="L232">
        <v>5.4794520547945212E-4</v>
      </c>
      <c r="M232">
        <v>564.55780821917813</v>
      </c>
      <c r="N232">
        <v>117428.02410958905</v>
      </c>
    </row>
    <row r="233" spans="1:14" x14ac:dyDescent="0.25">
      <c r="A233" t="s">
        <v>479</v>
      </c>
      <c r="B233" t="s">
        <v>17</v>
      </c>
      <c r="C233">
        <v>54</v>
      </c>
      <c r="D233" t="s">
        <v>12</v>
      </c>
      <c r="E233" t="s">
        <v>29</v>
      </c>
      <c r="F233" t="s">
        <v>47</v>
      </c>
      <c r="G233">
        <v>2484552</v>
      </c>
      <c r="H233">
        <v>23.58</v>
      </c>
      <c r="I233">
        <v>12.28</v>
      </c>
      <c r="J233" s="1">
        <v>44084</v>
      </c>
      <c r="K233">
        <v>180</v>
      </c>
      <c r="L233">
        <v>5.4794520547945212E-4</v>
      </c>
      <c r="M233">
        <v>1361.3983561643838</v>
      </c>
      <c r="N233">
        <v>245051.70410958907</v>
      </c>
    </row>
    <row r="234" spans="1:14" x14ac:dyDescent="0.25">
      <c r="A234" t="s">
        <v>481</v>
      </c>
      <c r="B234" t="s">
        <v>11</v>
      </c>
      <c r="C234">
        <v>64</v>
      </c>
      <c r="D234" t="s">
        <v>38</v>
      </c>
      <c r="E234" t="s">
        <v>57</v>
      </c>
      <c r="F234" t="s">
        <v>14</v>
      </c>
      <c r="G234">
        <v>677942</v>
      </c>
      <c r="H234">
        <v>20</v>
      </c>
      <c r="I234">
        <v>5.96</v>
      </c>
      <c r="J234" s="1">
        <v>43838</v>
      </c>
      <c r="K234">
        <v>334</v>
      </c>
      <c r="L234">
        <v>5.4794520547945212E-4</v>
      </c>
      <c r="M234">
        <v>371.47506849315073</v>
      </c>
      <c r="N234">
        <v>124072.67287671234</v>
      </c>
    </row>
    <row r="235" spans="1:14" x14ac:dyDescent="0.25">
      <c r="A235" t="s">
        <v>482</v>
      </c>
      <c r="B235" t="s">
        <v>11</v>
      </c>
      <c r="C235">
        <v>38</v>
      </c>
      <c r="D235" t="s">
        <v>46</v>
      </c>
      <c r="E235" t="s">
        <v>50</v>
      </c>
      <c r="F235" t="s">
        <v>20</v>
      </c>
      <c r="G235">
        <v>3508471</v>
      </c>
      <c r="H235">
        <v>21.17</v>
      </c>
      <c r="I235">
        <v>22.69</v>
      </c>
      <c r="J235" s="1">
        <v>44506</v>
      </c>
      <c r="K235">
        <v>206</v>
      </c>
      <c r="L235">
        <v>5.4794520547945212E-4</v>
      </c>
      <c r="M235">
        <v>1922.4498630136989</v>
      </c>
      <c r="N235">
        <v>396024.67178082198</v>
      </c>
    </row>
    <row r="236" spans="1:14" x14ac:dyDescent="0.25">
      <c r="A236" t="s">
        <v>484</v>
      </c>
      <c r="B236" t="s">
        <v>11</v>
      </c>
      <c r="C236">
        <v>38</v>
      </c>
      <c r="D236" t="s">
        <v>12</v>
      </c>
      <c r="E236" t="s">
        <v>50</v>
      </c>
      <c r="F236" t="s">
        <v>35</v>
      </c>
      <c r="G236">
        <v>4682488</v>
      </c>
      <c r="H236">
        <v>28.63</v>
      </c>
      <c r="I236">
        <v>0.38</v>
      </c>
      <c r="J236" s="1">
        <v>44025</v>
      </c>
      <c r="K236">
        <v>204</v>
      </c>
      <c r="L236">
        <v>5.4794520547945212E-4</v>
      </c>
      <c r="M236">
        <v>2565.7468493150686</v>
      </c>
      <c r="N236">
        <v>523412.357260274</v>
      </c>
    </row>
    <row r="237" spans="1:14" x14ac:dyDescent="0.25">
      <c r="A237" t="s">
        <v>486</v>
      </c>
      <c r="B237" t="s">
        <v>17</v>
      </c>
      <c r="C237">
        <v>36</v>
      </c>
      <c r="D237" t="s">
        <v>38</v>
      </c>
      <c r="E237" t="s">
        <v>23</v>
      </c>
      <c r="F237" t="s">
        <v>41</v>
      </c>
      <c r="G237">
        <v>1417144</v>
      </c>
      <c r="H237">
        <v>13.51</v>
      </c>
      <c r="I237">
        <v>36.950000000000003</v>
      </c>
      <c r="J237" s="1">
        <v>43127</v>
      </c>
      <c r="K237">
        <v>197</v>
      </c>
      <c r="L237">
        <v>5.4794520547945212E-4</v>
      </c>
      <c r="M237">
        <v>776.51726027397274</v>
      </c>
      <c r="N237">
        <v>152973.90027397263</v>
      </c>
    </row>
    <row r="238" spans="1:14" x14ac:dyDescent="0.25">
      <c r="A238" t="s">
        <v>488</v>
      </c>
      <c r="B238" t="s">
        <v>17</v>
      </c>
      <c r="C238">
        <v>44</v>
      </c>
      <c r="D238" t="s">
        <v>38</v>
      </c>
      <c r="E238" t="s">
        <v>29</v>
      </c>
      <c r="F238" t="s">
        <v>20</v>
      </c>
      <c r="G238">
        <v>262139</v>
      </c>
      <c r="H238">
        <v>28.77</v>
      </c>
      <c r="I238">
        <v>30.15</v>
      </c>
      <c r="J238" s="1">
        <v>44615</v>
      </c>
      <c r="K238">
        <v>116</v>
      </c>
      <c r="L238">
        <v>5.4794520547945212E-4</v>
      </c>
      <c r="M238">
        <v>143.63780821917811</v>
      </c>
      <c r="N238">
        <v>16661.985753424662</v>
      </c>
    </row>
    <row r="239" spans="1:14" x14ac:dyDescent="0.25">
      <c r="A239" t="s">
        <v>490</v>
      </c>
      <c r="B239" t="s">
        <v>11</v>
      </c>
      <c r="C239">
        <v>31</v>
      </c>
      <c r="D239" t="s">
        <v>18</v>
      </c>
      <c r="E239" t="s">
        <v>23</v>
      </c>
      <c r="F239" t="s">
        <v>35</v>
      </c>
      <c r="G239">
        <v>4674885</v>
      </c>
      <c r="H239">
        <v>20.12</v>
      </c>
      <c r="I239">
        <v>41.63</v>
      </c>
      <c r="J239" s="1">
        <v>44348</v>
      </c>
      <c r="K239">
        <v>10</v>
      </c>
      <c r="L239">
        <v>5.4794520547945212E-4</v>
      </c>
      <c r="M239">
        <v>2561.5808219178084</v>
      </c>
      <c r="N239">
        <v>25615.808219178085</v>
      </c>
    </row>
    <row r="240" spans="1:14" x14ac:dyDescent="0.25">
      <c r="A240" t="s">
        <v>492</v>
      </c>
      <c r="B240" t="s">
        <v>11</v>
      </c>
      <c r="C240">
        <v>42</v>
      </c>
      <c r="D240" t="s">
        <v>12</v>
      </c>
      <c r="E240" t="s">
        <v>23</v>
      </c>
      <c r="F240" t="s">
        <v>30</v>
      </c>
      <c r="G240">
        <v>3604539</v>
      </c>
      <c r="H240">
        <v>20.6</v>
      </c>
      <c r="I240">
        <v>21.23</v>
      </c>
      <c r="J240" s="1">
        <v>43854</v>
      </c>
      <c r="K240">
        <v>281</v>
      </c>
      <c r="L240">
        <v>5.4794520547945212E-4</v>
      </c>
      <c r="M240">
        <v>1975.089863013699</v>
      </c>
      <c r="N240">
        <v>555000.25150684942</v>
      </c>
    </row>
    <row r="241" spans="1:14" x14ac:dyDescent="0.25">
      <c r="A241" t="s">
        <v>494</v>
      </c>
      <c r="B241" t="s">
        <v>11</v>
      </c>
      <c r="C241">
        <v>62</v>
      </c>
      <c r="D241" t="s">
        <v>38</v>
      </c>
      <c r="E241" t="s">
        <v>23</v>
      </c>
      <c r="F241" t="s">
        <v>41</v>
      </c>
      <c r="G241">
        <v>4193053</v>
      </c>
      <c r="H241">
        <v>14.72</v>
      </c>
      <c r="I241">
        <v>-8.25</v>
      </c>
      <c r="J241" s="1">
        <v>44063</v>
      </c>
      <c r="K241">
        <v>244</v>
      </c>
      <c r="L241">
        <v>5.4794520547945212E-4</v>
      </c>
      <c r="M241">
        <v>2297.563287671233</v>
      </c>
      <c r="N241">
        <v>560605.44219178089</v>
      </c>
    </row>
    <row r="242" spans="1:14" x14ac:dyDescent="0.25">
      <c r="A242" t="s">
        <v>496</v>
      </c>
      <c r="B242" t="s">
        <v>11</v>
      </c>
      <c r="C242">
        <v>43</v>
      </c>
      <c r="D242" t="s">
        <v>12</v>
      </c>
      <c r="E242" t="s">
        <v>29</v>
      </c>
      <c r="F242" t="s">
        <v>35</v>
      </c>
      <c r="G242">
        <v>3091121</v>
      </c>
      <c r="H242">
        <v>15.99</v>
      </c>
      <c r="I242">
        <v>29.23</v>
      </c>
      <c r="J242" s="1">
        <v>44612</v>
      </c>
      <c r="K242">
        <v>199</v>
      </c>
      <c r="L242">
        <v>5.4794520547945212E-4</v>
      </c>
      <c r="M242">
        <v>1693.7649315068495</v>
      </c>
      <c r="N242">
        <v>337059.22136986308</v>
      </c>
    </row>
    <row r="243" spans="1:14" x14ac:dyDescent="0.25">
      <c r="A243" t="s">
        <v>498</v>
      </c>
      <c r="B243" t="s">
        <v>17</v>
      </c>
      <c r="C243">
        <v>45</v>
      </c>
      <c r="D243" t="s">
        <v>46</v>
      </c>
      <c r="E243" t="s">
        <v>29</v>
      </c>
      <c r="F243" t="s">
        <v>47</v>
      </c>
      <c r="G243">
        <v>1126131</v>
      </c>
      <c r="H243">
        <v>26.02</v>
      </c>
      <c r="I243">
        <v>-1.91</v>
      </c>
      <c r="J243" s="1">
        <v>43319</v>
      </c>
      <c r="K243">
        <v>291</v>
      </c>
      <c r="L243">
        <v>5.4794520547945212E-4</v>
      </c>
      <c r="M243">
        <v>617.05808219178095</v>
      </c>
      <c r="N243">
        <v>179563.90191780825</v>
      </c>
    </row>
    <row r="244" spans="1:14" x14ac:dyDescent="0.25">
      <c r="A244" t="s">
        <v>500</v>
      </c>
      <c r="B244" t="s">
        <v>17</v>
      </c>
      <c r="C244">
        <v>27</v>
      </c>
      <c r="D244" t="s">
        <v>46</v>
      </c>
      <c r="E244" t="s">
        <v>23</v>
      </c>
      <c r="F244" t="s">
        <v>41</v>
      </c>
      <c r="G244">
        <v>2943631</v>
      </c>
      <c r="H244">
        <v>15.72</v>
      </c>
      <c r="I244">
        <v>20.74</v>
      </c>
      <c r="J244" s="1">
        <v>43251</v>
      </c>
      <c r="K244">
        <v>172</v>
      </c>
      <c r="L244">
        <v>5.4794520547945212E-4</v>
      </c>
      <c r="M244">
        <v>1612.9484931506852</v>
      </c>
      <c r="N244">
        <v>277427.14082191786</v>
      </c>
    </row>
    <row r="245" spans="1:14" x14ac:dyDescent="0.25">
      <c r="A245" t="s">
        <v>502</v>
      </c>
      <c r="B245" t="s">
        <v>17</v>
      </c>
      <c r="C245">
        <v>30</v>
      </c>
      <c r="D245" t="s">
        <v>38</v>
      </c>
      <c r="E245" t="s">
        <v>29</v>
      </c>
      <c r="F245" t="s">
        <v>20</v>
      </c>
      <c r="G245">
        <v>2218130</v>
      </c>
      <c r="H245">
        <v>28.62</v>
      </c>
      <c r="I245">
        <v>-0.37</v>
      </c>
      <c r="J245" s="1">
        <v>44620</v>
      </c>
      <c r="K245">
        <v>317</v>
      </c>
      <c r="L245">
        <v>5.4794520547945212E-4</v>
      </c>
      <c r="M245">
        <v>1215.4136986301371</v>
      </c>
      <c r="N245">
        <v>385286.14246575348</v>
      </c>
    </row>
    <row r="246" spans="1:14" x14ac:dyDescent="0.25">
      <c r="A246" t="s">
        <v>504</v>
      </c>
      <c r="B246" t="s">
        <v>11</v>
      </c>
      <c r="C246">
        <v>25</v>
      </c>
      <c r="D246" t="s">
        <v>46</v>
      </c>
      <c r="E246" t="s">
        <v>57</v>
      </c>
      <c r="F246" t="s">
        <v>30</v>
      </c>
      <c r="G246">
        <v>1492799</v>
      </c>
      <c r="H246">
        <v>8.34</v>
      </c>
      <c r="I246">
        <v>6.06</v>
      </c>
      <c r="J246" s="1">
        <v>45295</v>
      </c>
      <c r="K246">
        <v>62</v>
      </c>
      <c r="L246">
        <v>5.4794520547945212E-4</v>
      </c>
      <c r="M246">
        <v>817.97205479452066</v>
      </c>
      <c r="N246">
        <v>50714.267397260279</v>
      </c>
    </row>
    <row r="247" spans="1:14" x14ac:dyDescent="0.25">
      <c r="A247" t="s">
        <v>506</v>
      </c>
      <c r="B247" t="s">
        <v>11</v>
      </c>
      <c r="C247">
        <v>48</v>
      </c>
      <c r="D247" t="s">
        <v>46</v>
      </c>
      <c r="E247" t="s">
        <v>13</v>
      </c>
      <c r="F247" t="s">
        <v>20</v>
      </c>
      <c r="G247">
        <v>4198602</v>
      </c>
      <c r="H247">
        <v>10.71</v>
      </c>
      <c r="I247">
        <v>31.87</v>
      </c>
      <c r="J247" s="1">
        <v>44167</v>
      </c>
      <c r="K247">
        <v>213</v>
      </c>
      <c r="L247">
        <v>5.4794520547945212E-4</v>
      </c>
      <c r="M247">
        <v>2300.6038356164386</v>
      </c>
      <c r="N247">
        <v>490028.61698630144</v>
      </c>
    </row>
    <row r="248" spans="1:14" x14ac:dyDescent="0.25">
      <c r="A248" t="s">
        <v>508</v>
      </c>
      <c r="B248" t="s">
        <v>17</v>
      </c>
      <c r="C248">
        <v>52</v>
      </c>
      <c r="D248" t="s">
        <v>38</v>
      </c>
      <c r="E248" t="s">
        <v>23</v>
      </c>
      <c r="F248" t="s">
        <v>30</v>
      </c>
      <c r="G248">
        <v>1519605</v>
      </c>
      <c r="H248">
        <v>16.850000000000001</v>
      </c>
      <c r="I248">
        <v>44.47</v>
      </c>
      <c r="J248" s="1">
        <v>43609</v>
      </c>
      <c r="K248">
        <v>350</v>
      </c>
      <c r="L248">
        <v>5.4794520547945212E-4</v>
      </c>
      <c r="M248">
        <v>832.66027397260279</v>
      </c>
      <c r="N248">
        <v>291431.095890411</v>
      </c>
    </row>
    <row r="249" spans="1:14" x14ac:dyDescent="0.25">
      <c r="A249" t="s">
        <v>510</v>
      </c>
      <c r="B249" t="s">
        <v>11</v>
      </c>
      <c r="C249">
        <v>29</v>
      </c>
      <c r="D249" t="s">
        <v>28</v>
      </c>
      <c r="E249" t="s">
        <v>23</v>
      </c>
      <c r="F249" t="s">
        <v>14</v>
      </c>
      <c r="G249">
        <v>3743721</v>
      </c>
      <c r="H249">
        <v>14.18</v>
      </c>
      <c r="I249">
        <v>30.46</v>
      </c>
      <c r="J249" s="1">
        <v>44190</v>
      </c>
      <c r="K249">
        <v>323</v>
      </c>
      <c r="L249">
        <v>5.4794520547945212E-4</v>
      </c>
      <c r="M249">
        <v>2051.3539726027398</v>
      </c>
      <c r="N249">
        <v>662587.33315068495</v>
      </c>
    </row>
    <row r="250" spans="1:14" x14ac:dyDescent="0.25">
      <c r="A250" t="s">
        <v>512</v>
      </c>
      <c r="B250" t="s">
        <v>17</v>
      </c>
      <c r="C250">
        <v>47</v>
      </c>
      <c r="D250" t="s">
        <v>46</v>
      </c>
      <c r="E250" t="s">
        <v>13</v>
      </c>
      <c r="F250" t="s">
        <v>47</v>
      </c>
      <c r="G250">
        <v>3655237</v>
      </c>
      <c r="H250">
        <v>5.85</v>
      </c>
      <c r="I250">
        <v>18.13</v>
      </c>
      <c r="J250" s="1">
        <v>43798</v>
      </c>
      <c r="K250">
        <v>18</v>
      </c>
      <c r="L250">
        <v>5.4794520547945212E-4</v>
      </c>
      <c r="M250">
        <v>2002.8695890410961</v>
      </c>
      <c r="N250">
        <v>36051.652602739727</v>
      </c>
    </row>
    <row r="251" spans="1:14" x14ac:dyDescent="0.25">
      <c r="A251" t="s">
        <v>514</v>
      </c>
      <c r="B251" t="s">
        <v>11</v>
      </c>
      <c r="C251">
        <v>45</v>
      </c>
      <c r="D251" t="s">
        <v>12</v>
      </c>
      <c r="E251" t="s">
        <v>19</v>
      </c>
      <c r="F251" t="s">
        <v>20</v>
      </c>
      <c r="G251">
        <v>1560363</v>
      </c>
      <c r="H251">
        <v>13.8</v>
      </c>
      <c r="I251">
        <v>14.12</v>
      </c>
      <c r="J251" s="1">
        <v>43182</v>
      </c>
      <c r="K251">
        <v>303</v>
      </c>
      <c r="L251">
        <v>5.4794520547945212E-4</v>
      </c>
      <c r="M251">
        <v>854.99342465753432</v>
      </c>
      <c r="N251">
        <v>259063.00767123289</v>
      </c>
    </row>
    <row r="252" spans="1:14" x14ac:dyDescent="0.25">
      <c r="A252" t="s">
        <v>516</v>
      </c>
      <c r="B252" t="s">
        <v>17</v>
      </c>
      <c r="C252">
        <v>61</v>
      </c>
      <c r="D252" t="s">
        <v>12</v>
      </c>
      <c r="E252" t="s">
        <v>50</v>
      </c>
      <c r="F252" t="s">
        <v>14</v>
      </c>
      <c r="G252">
        <v>2188354</v>
      </c>
      <c r="H252">
        <v>19.73</v>
      </c>
      <c r="I252">
        <v>-8.5500000000000007</v>
      </c>
      <c r="J252" s="1">
        <v>43532</v>
      </c>
      <c r="K252">
        <v>134</v>
      </c>
      <c r="L252">
        <v>5.4794520547945212E-4</v>
      </c>
      <c r="M252">
        <v>1199.098082191781</v>
      </c>
      <c r="N252">
        <v>160679.14301369866</v>
      </c>
    </row>
    <row r="253" spans="1:14" x14ac:dyDescent="0.25">
      <c r="A253" t="s">
        <v>518</v>
      </c>
      <c r="B253" t="s">
        <v>17</v>
      </c>
      <c r="C253">
        <v>52</v>
      </c>
      <c r="D253" t="s">
        <v>38</v>
      </c>
      <c r="E253" t="s">
        <v>50</v>
      </c>
      <c r="F253" t="s">
        <v>30</v>
      </c>
      <c r="G253">
        <v>101674</v>
      </c>
      <c r="H253">
        <v>14.21</v>
      </c>
      <c r="I253">
        <v>-2.1800000000000002</v>
      </c>
      <c r="J253" s="1">
        <v>44914</v>
      </c>
      <c r="K253">
        <v>65</v>
      </c>
      <c r="L253">
        <v>5.4794520547945212E-4</v>
      </c>
      <c r="M253">
        <v>55.711780821917813</v>
      </c>
      <c r="N253">
        <v>3621.2657534246578</v>
      </c>
    </row>
    <row r="254" spans="1:14" x14ac:dyDescent="0.25">
      <c r="A254" t="s">
        <v>520</v>
      </c>
      <c r="B254" t="s">
        <v>11</v>
      </c>
      <c r="C254">
        <v>22</v>
      </c>
      <c r="D254" t="s">
        <v>12</v>
      </c>
      <c r="E254" t="s">
        <v>23</v>
      </c>
      <c r="F254" t="s">
        <v>35</v>
      </c>
      <c r="G254">
        <v>3941505</v>
      </c>
      <c r="H254">
        <v>25.51</v>
      </c>
      <c r="I254">
        <v>31.11</v>
      </c>
      <c r="J254" s="1">
        <v>43726</v>
      </c>
      <c r="K254">
        <v>67</v>
      </c>
      <c r="L254">
        <v>5.4794520547945212E-4</v>
      </c>
      <c r="M254">
        <v>2159.728767123288</v>
      </c>
      <c r="N254">
        <v>144701.82739726029</v>
      </c>
    </row>
    <row r="255" spans="1:14" x14ac:dyDescent="0.25">
      <c r="A255" t="s">
        <v>522</v>
      </c>
      <c r="B255" t="s">
        <v>11</v>
      </c>
      <c r="C255">
        <v>46</v>
      </c>
      <c r="D255" t="s">
        <v>12</v>
      </c>
      <c r="E255" t="s">
        <v>29</v>
      </c>
      <c r="F255" t="s">
        <v>20</v>
      </c>
      <c r="G255">
        <v>1592121</v>
      </c>
      <c r="H255">
        <v>10.9</v>
      </c>
      <c r="I255">
        <v>27.86</v>
      </c>
      <c r="J255" s="1">
        <v>45600</v>
      </c>
      <c r="K255">
        <v>79</v>
      </c>
      <c r="L255">
        <v>5.4794520547945212E-4</v>
      </c>
      <c r="M255">
        <v>872.3950684931508</v>
      </c>
      <c r="N255">
        <v>68919.210410958913</v>
      </c>
    </row>
    <row r="256" spans="1:14" x14ac:dyDescent="0.25">
      <c r="A256" t="s">
        <v>524</v>
      </c>
      <c r="B256" t="s">
        <v>11</v>
      </c>
      <c r="C256">
        <v>56</v>
      </c>
      <c r="D256" t="s">
        <v>18</v>
      </c>
      <c r="E256" t="s">
        <v>57</v>
      </c>
      <c r="F256" t="s">
        <v>47</v>
      </c>
      <c r="G256">
        <v>4937570</v>
      </c>
      <c r="H256">
        <v>16.399999999999999</v>
      </c>
      <c r="I256">
        <v>15.27</v>
      </c>
      <c r="J256" s="1">
        <v>43567</v>
      </c>
      <c r="K256">
        <v>264</v>
      </c>
      <c r="L256">
        <v>5.4794520547945212E-4</v>
      </c>
      <c r="M256">
        <v>2705.5178082191783</v>
      </c>
      <c r="N256">
        <v>714256.70136986312</v>
      </c>
    </row>
    <row r="257" spans="1:14" x14ac:dyDescent="0.25">
      <c r="A257" t="s">
        <v>526</v>
      </c>
      <c r="B257" t="s">
        <v>17</v>
      </c>
      <c r="C257">
        <v>29</v>
      </c>
      <c r="D257" t="s">
        <v>12</v>
      </c>
      <c r="E257" t="s">
        <v>29</v>
      </c>
      <c r="F257" t="s">
        <v>41</v>
      </c>
      <c r="G257">
        <v>1098167</v>
      </c>
      <c r="H257">
        <v>17.47</v>
      </c>
      <c r="I257">
        <v>-1.02</v>
      </c>
      <c r="J257" s="1">
        <v>44274</v>
      </c>
      <c r="K257">
        <v>141</v>
      </c>
      <c r="L257">
        <v>5.4794520547945212E-4</v>
      </c>
      <c r="M257">
        <v>601.73534246575355</v>
      </c>
      <c r="N257">
        <v>84844.683287671243</v>
      </c>
    </row>
    <row r="258" spans="1:14" x14ac:dyDescent="0.25">
      <c r="A258" t="s">
        <v>528</v>
      </c>
      <c r="B258" t="s">
        <v>11</v>
      </c>
      <c r="C258">
        <v>33</v>
      </c>
      <c r="D258" t="s">
        <v>38</v>
      </c>
      <c r="E258" t="s">
        <v>57</v>
      </c>
      <c r="F258" t="s">
        <v>30</v>
      </c>
      <c r="G258">
        <v>4796179</v>
      </c>
      <c r="H258">
        <v>27.78</v>
      </c>
      <c r="I258">
        <v>12.76</v>
      </c>
      <c r="J258" s="1">
        <v>43892</v>
      </c>
      <c r="K258">
        <v>50</v>
      </c>
      <c r="L258">
        <v>5.4794520547945212E-4</v>
      </c>
      <c r="M258">
        <v>2628.0432876712334</v>
      </c>
      <c r="N258">
        <v>131402.16438356167</v>
      </c>
    </row>
    <row r="259" spans="1:14" x14ac:dyDescent="0.25">
      <c r="A259" t="s">
        <v>530</v>
      </c>
      <c r="B259" t="s">
        <v>17</v>
      </c>
      <c r="C259">
        <v>33</v>
      </c>
      <c r="D259" t="s">
        <v>12</v>
      </c>
      <c r="E259" t="s">
        <v>50</v>
      </c>
      <c r="F259" t="s">
        <v>30</v>
      </c>
      <c r="G259">
        <v>2878269</v>
      </c>
      <c r="H259">
        <v>25.06</v>
      </c>
      <c r="I259">
        <v>-9.08</v>
      </c>
      <c r="J259" s="1">
        <v>43717</v>
      </c>
      <c r="K259">
        <v>253</v>
      </c>
      <c r="L259">
        <v>5.4794520547945212E-4</v>
      </c>
      <c r="M259">
        <v>1577.1336986301371</v>
      </c>
      <c r="N259">
        <v>399014.82575342467</v>
      </c>
    </row>
    <row r="260" spans="1:14" x14ac:dyDescent="0.25">
      <c r="A260" t="s">
        <v>532</v>
      </c>
      <c r="B260" t="s">
        <v>11</v>
      </c>
      <c r="C260">
        <v>65</v>
      </c>
      <c r="D260" t="s">
        <v>28</v>
      </c>
      <c r="E260" t="s">
        <v>19</v>
      </c>
      <c r="F260" t="s">
        <v>41</v>
      </c>
      <c r="G260">
        <v>1899603</v>
      </c>
      <c r="H260">
        <v>20.260000000000002</v>
      </c>
      <c r="I260">
        <v>29.81</v>
      </c>
      <c r="J260" s="1">
        <v>45213</v>
      </c>
      <c r="K260">
        <v>160</v>
      </c>
      <c r="L260">
        <v>5.4794520547945212E-4</v>
      </c>
      <c r="M260">
        <v>1040.8783561643836</v>
      </c>
      <c r="N260">
        <v>166540.53698630136</v>
      </c>
    </row>
    <row r="261" spans="1:14" x14ac:dyDescent="0.25">
      <c r="A261" t="s">
        <v>534</v>
      </c>
      <c r="B261" t="s">
        <v>17</v>
      </c>
      <c r="C261">
        <v>39</v>
      </c>
      <c r="D261" t="s">
        <v>46</v>
      </c>
      <c r="E261" t="s">
        <v>57</v>
      </c>
      <c r="F261" t="s">
        <v>14</v>
      </c>
      <c r="G261">
        <v>1039661</v>
      </c>
      <c r="H261">
        <v>10.19</v>
      </c>
      <c r="I261">
        <v>33.04</v>
      </c>
      <c r="J261" s="1">
        <v>44524</v>
      </c>
      <c r="K261">
        <v>100</v>
      </c>
      <c r="L261">
        <v>5.4794520547945212E-4</v>
      </c>
      <c r="M261">
        <v>569.67726027397271</v>
      </c>
      <c r="N261">
        <v>56967.726027397272</v>
      </c>
    </row>
    <row r="262" spans="1:14" x14ac:dyDescent="0.25">
      <c r="A262" t="s">
        <v>536</v>
      </c>
      <c r="B262" t="s">
        <v>11</v>
      </c>
      <c r="C262">
        <v>41</v>
      </c>
      <c r="D262" t="s">
        <v>46</v>
      </c>
      <c r="E262" t="s">
        <v>19</v>
      </c>
      <c r="F262" t="s">
        <v>20</v>
      </c>
      <c r="G262">
        <v>222919</v>
      </c>
      <c r="H262">
        <v>28.04</v>
      </c>
      <c r="I262">
        <v>15.25</v>
      </c>
      <c r="J262" s="1">
        <v>44604</v>
      </c>
      <c r="K262">
        <v>162</v>
      </c>
      <c r="L262">
        <v>5.4794520547945212E-4</v>
      </c>
      <c r="M262">
        <v>122.14739726027399</v>
      </c>
      <c r="N262">
        <v>19787.878356164387</v>
      </c>
    </row>
    <row r="263" spans="1:14" x14ac:dyDescent="0.25">
      <c r="A263" t="s">
        <v>538</v>
      </c>
      <c r="B263" t="s">
        <v>17</v>
      </c>
      <c r="C263">
        <v>32</v>
      </c>
      <c r="D263" t="s">
        <v>28</v>
      </c>
      <c r="E263" t="s">
        <v>57</v>
      </c>
      <c r="F263" t="s">
        <v>35</v>
      </c>
      <c r="G263">
        <v>1385291</v>
      </c>
      <c r="H263">
        <v>34.89</v>
      </c>
      <c r="I263">
        <v>35.15</v>
      </c>
      <c r="J263" s="1">
        <v>43418</v>
      </c>
      <c r="K263">
        <v>247</v>
      </c>
      <c r="L263">
        <v>5.4794520547945212E-4</v>
      </c>
      <c r="M263">
        <v>759.06356164383567</v>
      </c>
      <c r="N263">
        <v>187488.69972602741</v>
      </c>
    </row>
    <row r="264" spans="1:14" x14ac:dyDescent="0.25">
      <c r="A264" t="s">
        <v>540</v>
      </c>
      <c r="B264" t="s">
        <v>17</v>
      </c>
      <c r="C264">
        <v>48</v>
      </c>
      <c r="D264" t="s">
        <v>38</v>
      </c>
      <c r="E264" t="s">
        <v>50</v>
      </c>
      <c r="F264" t="s">
        <v>47</v>
      </c>
      <c r="G264">
        <v>1914058</v>
      </c>
      <c r="H264">
        <v>22.39</v>
      </c>
      <c r="I264">
        <v>26.09</v>
      </c>
      <c r="J264" s="1">
        <v>45421</v>
      </c>
      <c r="K264">
        <v>357</v>
      </c>
      <c r="L264">
        <v>5.4794520547945212E-4</v>
      </c>
      <c r="M264">
        <v>1048.7989041095891</v>
      </c>
      <c r="N264">
        <v>374421.20876712329</v>
      </c>
    </row>
    <row r="265" spans="1:14" x14ac:dyDescent="0.25">
      <c r="A265" t="s">
        <v>542</v>
      </c>
      <c r="B265" t="s">
        <v>17</v>
      </c>
      <c r="C265">
        <v>27</v>
      </c>
      <c r="D265" t="s">
        <v>18</v>
      </c>
      <c r="E265" t="s">
        <v>13</v>
      </c>
      <c r="F265" t="s">
        <v>14</v>
      </c>
      <c r="G265">
        <v>4688262</v>
      </c>
      <c r="H265">
        <v>8.26</v>
      </c>
      <c r="I265">
        <v>33.79</v>
      </c>
      <c r="J265" s="1">
        <v>43836</v>
      </c>
      <c r="K265">
        <v>75</v>
      </c>
      <c r="L265">
        <v>5.4794520547945212E-4</v>
      </c>
      <c r="M265">
        <v>2568.9106849315071</v>
      </c>
      <c r="N265">
        <v>192668.30136986304</v>
      </c>
    </row>
    <row r="266" spans="1:14" x14ac:dyDescent="0.25">
      <c r="A266" t="s">
        <v>544</v>
      </c>
      <c r="B266" t="s">
        <v>17</v>
      </c>
      <c r="C266">
        <v>55</v>
      </c>
      <c r="D266" t="s">
        <v>18</v>
      </c>
      <c r="E266" t="s">
        <v>23</v>
      </c>
      <c r="F266" t="s">
        <v>14</v>
      </c>
      <c r="G266">
        <v>3159324</v>
      </c>
      <c r="H266">
        <v>30.58</v>
      </c>
      <c r="I266">
        <v>38.86</v>
      </c>
      <c r="J266" s="1">
        <v>44545</v>
      </c>
      <c r="K266">
        <v>87</v>
      </c>
      <c r="L266">
        <v>5.4794520547945212E-4</v>
      </c>
      <c r="M266">
        <v>1731.1364383561645</v>
      </c>
      <c r="N266">
        <v>150608.87013698631</v>
      </c>
    </row>
    <row r="267" spans="1:14" x14ac:dyDescent="0.25">
      <c r="A267" t="s">
        <v>546</v>
      </c>
      <c r="B267" t="s">
        <v>11</v>
      </c>
      <c r="C267">
        <v>51</v>
      </c>
      <c r="D267" t="s">
        <v>12</v>
      </c>
      <c r="E267" t="s">
        <v>50</v>
      </c>
      <c r="F267" t="s">
        <v>41</v>
      </c>
      <c r="G267">
        <v>346652</v>
      </c>
      <c r="H267">
        <v>31.25</v>
      </c>
      <c r="I267">
        <v>16.09</v>
      </c>
      <c r="J267" s="1">
        <v>45504</v>
      </c>
      <c r="K267">
        <v>161</v>
      </c>
      <c r="L267">
        <v>5.4794520547945212E-4</v>
      </c>
      <c r="M267">
        <v>189.94630136986305</v>
      </c>
      <c r="N267">
        <v>30581.35452054795</v>
      </c>
    </row>
    <row r="268" spans="1:14" x14ac:dyDescent="0.25">
      <c r="A268" t="s">
        <v>547</v>
      </c>
      <c r="B268" t="s">
        <v>11</v>
      </c>
      <c r="C268">
        <v>27</v>
      </c>
      <c r="D268" t="s">
        <v>28</v>
      </c>
      <c r="E268" t="s">
        <v>13</v>
      </c>
      <c r="F268" t="s">
        <v>30</v>
      </c>
      <c r="G268">
        <v>3278990</v>
      </c>
      <c r="H268">
        <v>25.96</v>
      </c>
      <c r="I268">
        <v>24.54</v>
      </c>
      <c r="J268" s="1">
        <v>44336</v>
      </c>
      <c r="K268">
        <v>10</v>
      </c>
      <c r="L268">
        <v>5.4794520547945212E-4</v>
      </c>
      <c r="M268">
        <v>1796.7068493150687</v>
      </c>
      <c r="N268">
        <v>17967.068493150688</v>
      </c>
    </row>
    <row r="269" spans="1:14" x14ac:dyDescent="0.25">
      <c r="A269" t="s">
        <v>548</v>
      </c>
      <c r="B269" t="s">
        <v>11</v>
      </c>
      <c r="C269">
        <v>65</v>
      </c>
      <c r="D269" t="s">
        <v>28</v>
      </c>
      <c r="E269" t="s">
        <v>29</v>
      </c>
      <c r="F269" t="s">
        <v>14</v>
      </c>
      <c r="G269">
        <v>2241843</v>
      </c>
      <c r="H269">
        <v>34.89</v>
      </c>
      <c r="I269">
        <v>22.3</v>
      </c>
      <c r="J269" s="1">
        <v>44389</v>
      </c>
      <c r="K269">
        <v>149</v>
      </c>
      <c r="L269">
        <v>5.4794520547945212E-4</v>
      </c>
      <c r="M269">
        <v>1228.4071232876713</v>
      </c>
      <c r="N269">
        <v>183032.66136986302</v>
      </c>
    </row>
    <row r="270" spans="1:14" x14ac:dyDescent="0.25">
      <c r="A270" t="s">
        <v>550</v>
      </c>
      <c r="B270" t="s">
        <v>17</v>
      </c>
      <c r="C270">
        <v>56</v>
      </c>
      <c r="D270" t="s">
        <v>28</v>
      </c>
      <c r="E270" t="s">
        <v>50</v>
      </c>
      <c r="F270" t="s">
        <v>30</v>
      </c>
      <c r="G270">
        <v>249434</v>
      </c>
      <c r="H270">
        <v>21.35</v>
      </c>
      <c r="I270">
        <v>9.6999999999999993</v>
      </c>
      <c r="J270" s="1">
        <v>44987</v>
      </c>
      <c r="K270">
        <v>297</v>
      </c>
      <c r="L270">
        <v>5.4794520547945212E-4</v>
      </c>
      <c r="M270">
        <v>136.67616438356166</v>
      </c>
      <c r="N270">
        <v>40592.820821917812</v>
      </c>
    </row>
    <row r="271" spans="1:14" x14ac:dyDescent="0.25">
      <c r="A271" t="s">
        <v>552</v>
      </c>
      <c r="B271" t="s">
        <v>17</v>
      </c>
      <c r="C271">
        <v>59</v>
      </c>
      <c r="D271" t="s">
        <v>28</v>
      </c>
      <c r="E271" t="s">
        <v>13</v>
      </c>
      <c r="F271" t="s">
        <v>41</v>
      </c>
      <c r="G271">
        <v>3925192</v>
      </c>
      <c r="H271">
        <v>32</v>
      </c>
      <c r="I271">
        <v>-9.34</v>
      </c>
      <c r="J271" s="1">
        <v>43886</v>
      </c>
      <c r="K271">
        <v>241</v>
      </c>
      <c r="L271">
        <v>5.4794520547945212E-4</v>
      </c>
      <c r="M271">
        <v>2150.7901369863016</v>
      </c>
      <c r="N271">
        <v>518340.42301369866</v>
      </c>
    </row>
    <row r="272" spans="1:14" x14ac:dyDescent="0.25">
      <c r="A272" t="s">
        <v>554</v>
      </c>
      <c r="B272" t="s">
        <v>17</v>
      </c>
      <c r="C272">
        <v>23</v>
      </c>
      <c r="D272" t="s">
        <v>18</v>
      </c>
      <c r="E272" t="s">
        <v>57</v>
      </c>
      <c r="F272" t="s">
        <v>20</v>
      </c>
      <c r="G272">
        <v>1838680</v>
      </c>
      <c r="H272">
        <v>13.17</v>
      </c>
      <c r="I272">
        <v>41.68</v>
      </c>
      <c r="J272" s="1">
        <v>45162</v>
      </c>
      <c r="K272">
        <v>256</v>
      </c>
      <c r="L272">
        <v>5.4794520547945212E-4</v>
      </c>
      <c r="M272">
        <v>1007.4958904109591</v>
      </c>
      <c r="N272">
        <v>257918.94794520552</v>
      </c>
    </row>
    <row r="273" spans="1:14" x14ac:dyDescent="0.25">
      <c r="A273" t="s">
        <v>556</v>
      </c>
      <c r="B273" t="s">
        <v>17</v>
      </c>
      <c r="C273">
        <v>58</v>
      </c>
      <c r="D273" t="s">
        <v>38</v>
      </c>
      <c r="E273" t="s">
        <v>23</v>
      </c>
      <c r="F273" t="s">
        <v>20</v>
      </c>
      <c r="G273">
        <v>4667614</v>
      </c>
      <c r="H273">
        <v>24.6</v>
      </c>
      <c r="I273">
        <v>-3.47</v>
      </c>
      <c r="J273" s="1">
        <v>44214</v>
      </c>
      <c r="K273">
        <v>26</v>
      </c>
      <c r="L273">
        <v>5.4794520547945212E-4</v>
      </c>
      <c r="M273">
        <v>2557.5967123287674</v>
      </c>
      <c r="N273">
        <v>66497.514520547949</v>
      </c>
    </row>
    <row r="274" spans="1:14" x14ac:dyDescent="0.25">
      <c r="A274" t="s">
        <v>557</v>
      </c>
      <c r="B274" t="s">
        <v>17</v>
      </c>
      <c r="C274">
        <v>57</v>
      </c>
      <c r="D274" t="s">
        <v>46</v>
      </c>
      <c r="E274" t="s">
        <v>23</v>
      </c>
      <c r="F274" t="s">
        <v>35</v>
      </c>
      <c r="G274">
        <v>2370367</v>
      </c>
      <c r="H274">
        <v>31.51</v>
      </c>
      <c r="I274">
        <v>10.59</v>
      </c>
      <c r="J274" s="1">
        <v>44177</v>
      </c>
      <c r="K274">
        <v>268</v>
      </c>
      <c r="L274">
        <v>5.4794520547945212E-4</v>
      </c>
      <c r="M274">
        <v>1298.8312328767124</v>
      </c>
      <c r="N274">
        <v>348086.77041095891</v>
      </c>
    </row>
    <row r="275" spans="1:14" x14ac:dyDescent="0.25">
      <c r="A275" t="s">
        <v>559</v>
      </c>
      <c r="B275" t="s">
        <v>17</v>
      </c>
      <c r="C275">
        <v>46</v>
      </c>
      <c r="D275" t="s">
        <v>46</v>
      </c>
      <c r="E275" t="s">
        <v>50</v>
      </c>
      <c r="F275" t="s">
        <v>47</v>
      </c>
      <c r="G275">
        <v>3421049</v>
      </c>
      <c r="H275">
        <v>10.76</v>
      </c>
      <c r="I275">
        <v>2.4</v>
      </c>
      <c r="J275" s="1">
        <v>44699</v>
      </c>
      <c r="K275">
        <v>265</v>
      </c>
      <c r="L275">
        <v>5.4794520547945212E-4</v>
      </c>
      <c r="M275">
        <v>1874.5473972602742</v>
      </c>
      <c r="N275">
        <v>496755.06027397269</v>
      </c>
    </row>
    <row r="276" spans="1:14" x14ac:dyDescent="0.25">
      <c r="A276" t="s">
        <v>561</v>
      </c>
      <c r="B276" t="s">
        <v>11</v>
      </c>
      <c r="C276">
        <v>45</v>
      </c>
      <c r="D276" t="s">
        <v>38</v>
      </c>
      <c r="E276" t="s">
        <v>50</v>
      </c>
      <c r="F276" t="s">
        <v>14</v>
      </c>
      <c r="G276">
        <v>4823311</v>
      </c>
      <c r="H276">
        <v>29.3</v>
      </c>
      <c r="I276">
        <v>34.81</v>
      </c>
      <c r="J276" s="1">
        <v>44107</v>
      </c>
      <c r="K276">
        <v>198</v>
      </c>
      <c r="L276">
        <v>5.4794520547945212E-4</v>
      </c>
      <c r="M276">
        <v>2642.9101369863015</v>
      </c>
      <c r="N276">
        <v>523296.20712328772</v>
      </c>
    </row>
    <row r="277" spans="1:14" x14ac:dyDescent="0.25">
      <c r="A277" t="s">
        <v>563</v>
      </c>
      <c r="B277" t="s">
        <v>17</v>
      </c>
      <c r="C277">
        <v>42</v>
      </c>
      <c r="D277" t="s">
        <v>46</v>
      </c>
      <c r="E277" t="s">
        <v>13</v>
      </c>
      <c r="F277" t="s">
        <v>41</v>
      </c>
      <c r="G277">
        <v>625768</v>
      </c>
      <c r="H277">
        <v>18.899999999999999</v>
      </c>
      <c r="I277">
        <v>19.7</v>
      </c>
      <c r="J277" s="1">
        <v>44278</v>
      </c>
      <c r="K277">
        <v>356</v>
      </c>
      <c r="L277">
        <v>5.4794520547945212E-4</v>
      </c>
      <c r="M277">
        <v>342.88657534246579</v>
      </c>
      <c r="N277">
        <v>122067.62082191782</v>
      </c>
    </row>
    <row r="278" spans="1:14" x14ac:dyDescent="0.25">
      <c r="A278" t="s">
        <v>565</v>
      </c>
      <c r="B278" t="s">
        <v>11</v>
      </c>
      <c r="C278">
        <v>37</v>
      </c>
      <c r="D278" t="s">
        <v>46</v>
      </c>
      <c r="E278" t="s">
        <v>19</v>
      </c>
      <c r="F278" t="s">
        <v>41</v>
      </c>
      <c r="G278">
        <v>1531405</v>
      </c>
      <c r="H278">
        <v>31.24</v>
      </c>
      <c r="I278">
        <v>23.41</v>
      </c>
      <c r="J278" s="1">
        <v>43908</v>
      </c>
      <c r="K278">
        <v>253</v>
      </c>
      <c r="L278">
        <v>5.4794520547945212E-4</v>
      </c>
      <c r="M278">
        <v>839.12602739726037</v>
      </c>
      <c r="N278">
        <v>212298.88493150688</v>
      </c>
    </row>
    <row r="279" spans="1:14" x14ac:dyDescent="0.25">
      <c r="A279" t="s">
        <v>567</v>
      </c>
      <c r="B279" t="s">
        <v>11</v>
      </c>
      <c r="C279">
        <v>24</v>
      </c>
      <c r="D279" t="s">
        <v>28</v>
      </c>
      <c r="E279" t="s">
        <v>57</v>
      </c>
      <c r="F279" t="s">
        <v>41</v>
      </c>
      <c r="G279">
        <v>1722462</v>
      </c>
      <c r="H279">
        <v>22.49</v>
      </c>
      <c r="I279">
        <v>2.11</v>
      </c>
      <c r="J279" s="1">
        <v>43500</v>
      </c>
      <c r="K279">
        <v>264</v>
      </c>
      <c r="L279">
        <v>5.4794520547945212E-4</v>
      </c>
      <c r="M279">
        <v>943.81479452054805</v>
      </c>
      <c r="N279">
        <v>249167.10575342469</v>
      </c>
    </row>
    <row r="280" spans="1:14" x14ac:dyDescent="0.25">
      <c r="A280" t="s">
        <v>568</v>
      </c>
      <c r="B280" t="s">
        <v>17</v>
      </c>
      <c r="C280">
        <v>52</v>
      </c>
      <c r="D280" t="s">
        <v>46</v>
      </c>
      <c r="E280" t="s">
        <v>19</v>
      </c>
      <c r="F280" t="s">
        <v>14</v>
      </c>
      <c r="G280">
        <v>2971056</v>
      </c>
      <c r="H280">
        <v>11.76</v>
      </c>
      <c r="I280">
        <v>43.14</v>
      </c>
      <c r="J280" s="1">
        <v>45556</v>
      </c>
      <c r="K280">
        <v>319</v>
      </c>
      <c r="L280">
        <v>5.4794520547945212E-4</v>
      </c>
      <c r="M280">
        <v>1627.9758904109592</v>
      </c>
      <c r="N280">
        <v>519324.30904109601</v>
      </c>
    </row>
    <row r="281" spans="1:14" x14ac:dyDescent="0.25">
      <c r="A281" t="s">
        <v>569</v>
      </c>
      <c r="B281" t="s">
        <v>17</v>
      </c>
      <c r="C281">
        <v>25</v>
      </c>
      <c r="D281" t="s">
        <v>18</v>
      </c>
      <c r="E281" t="s">
        <v>19</v>
      </c>
      <c r="F281" t="s">
        <v>20</v>
      </c>
      <c r="G281">
        <v>4729459</v>
      </c>
      <c r="H281">
        <v>22.99</v>
      </c>
      <c r="I281">
        <v>0.05</v>
      </c>
      <c r="J281" s="1">
        <v>43291</v>
      </c>
      <c r="K281">
        <v>283</v>
      </c>
      <c r="L281">
        <v>5.4794520547945212E-4</v>
      </c>
      <c r="M281">
        <v>2591.4843835616443</v>
      </c>
      <c r="N281">
        <v>733390.08054794534</v>
      </c>
    </row>
    <row r="282" spans="1:14" x14ac:dyDescent="0.25">
      <c r="A282" t="s">
        <v>571</v>
      </c>
      <c r="B282" t="s">
        <v>17</v>
      </c>
      <c r="C282">
        <v>38</v>
      </c>
      <c r="D282" t="s">
        <v>18</v>
      </c>
      <c r="E282" t="s">
        <v>50</v>
      </c>
      <c r="F282" t="s">
        <v>14</v>
      </c>
      <c r="G282">
        <v>1675207</v>
      </c>
      <c r="H282">
        <v>13.01</v>
      </c>
      <c r="I282">
        <v>16.77</v>
      </c>
      <c r="J282" s="1">
        <v>45222</v>
      </c>
      <c r="K282">
        <v>91</v>
      </c>
      <c r="L282">
        <v>5.4794520547945212E-4</v>
      </c>
      <c r="M282">
        <v>917.92164383561658</v>
      </c>
      <c r="N282">
        <v>83530.869589041104</v>
      </c>
    </row>
    <row r="283" spans="1:14" x14ac:dyDescent="0.25">
      <c r="A283" t="s">
        <v>573</v>
      </c>
      <c r="B283" t="s">
        <v>11</v>
      </c>
      <c r="C283">
        <v>56</v>
      </c>
      <c r="D283" t="s">
        <v>46</v>
      </c>
      <c r="E283" t="s">
        <v>29</v>
      </c>
      <c r="F283" t="s">
        <v>14</v>
      </c>
      <c r="G283">
        <v>1336413</v>
      </c>
      <c r="H283">
        <v>5.95</v>
      </c>
      <c r="I283">
        <v>-5.72</v>
      </c>
      <c r="J283" s="1">
        <v>44161</v>
      </c>
      <c r="K283">
        <v>341</v>
      </c>
      <c r="L283">
        <v>5.4794520547945212E-4</v>
      </c>
      <c r="M283">
        <v>732.28109589041105</v>
      </c>
      <c r="N283">
        <v>249707.85369863018</v>
      </c>
    </row>
    <row r="284" spans="1:14" x14ac:dyDescent="0.25">
      <c r="A284" t="s">
        <v>575</v>
      </c>
      <c r="B284" t="s">
        <v>17</v>
      </c>
      <c r="C284">
        <v>38</v>
      </c>
      <c r="D284" t="s">
        <v>28</v>
      </c>
      <c r="E284" t="s">
        <v>57</v>
      </c>
      <c r="F284" t="s">
        <v>41</v>
      </c>
      <c r="G284">
        <v>2602210</v>
      </c>
      <c r="H284">
        <v>28.51</v>
      </c>
      <c r="I284">
        <v>16.57</v>
      </c>
      <c r="J284" s="1">
        <v>44524</v>
      </c>
      <c r="K284">
        <v>55</v>
      </c>
      <c r="L284">
        <v>5.4794520547945212E-4</v>
      </c>
      <c r="M284">
        <v>1425.868493150685</v>
      </c>
      <c r="N284">
        <v>78422.767123287675</v>
      </c>
    </row>
    <row r="285" spans="1:14" x14ac:dyDescent="0.25">
      <c r="A285" t="s">
        <v>576</v>
      </c>
      <c r="B285" t="s">
        <v>11</v>
      </c>
      <c r="C285">
        <v>43</v>
      </c>
      <c r="D285" t="s">
        <v>38</v>
      </c>
      <c r="E285" t="s">
        <v>19</v>
      </c>
      <c r="F285" t="s">
        <v>14</v>
      </c>
      <c r="G285">
        <v>2650818</v>
      </c>
      <c r="H285">
        <v>28.57</v>
      </c>
      <c r="I285">
        <v>25</v>
      </c>
      <c r="J285" s="1">
        <v>44982</v>
      </c>
      <c r="K285">
        <v>29</v>
      </c>
      <c r="L285">
        <v>5.4794520547945212E-4</v>
      </c>
      <c r="M285">
        <v>1452.5030136986304</v>
      </c>
      <c r="N285">
        <v>42122.587397260279</v>
      </c>
    </row>
    <row r="286" spans="1:14" x14ac:dyDescent="0.25">
      <c r="A286" t="s">
        <v>578</v>
      </c>
      <c r="B286" t="s">
        <v>11</v>
      </c>
      <c r="C286">
        <v>46</v>
      </c>
      <c r="D286" t="s">
        <v>18</v>
      </c>
      <c r="E286" t="s">
        <v>23</v>
      </c>
      <c r="F286" t="s">
        <v>35</v>
      </c>
      <c r="G286">
        <v>3090844</v>
      </c>
      <c r="H286">
        <v>6.98</v>
      </c>
      <c r="I286">
        <v>40.56</v>
      </c>
      <c r="J286" s="1">
        <v>45221</v>
      </c>
      <c r="K286">
        <v>54</v>
      </c>
      <c r="L286">
        <v>5.4794520547945212E-4</v>
      </c>
      <c r="M286">
        <v>1693.6131506849317</v>
      </c>
      <c r="N286">
        <v>91455.110136986317</v>
      </c>
    </row>
    <row r="287" spans="1:14" x14ac:dyDescent="0.25">
      <c r="A287" t="s">
        <v>580</v>
      </c>
      <c r="B287" t="s">
        <v>11</v>
      </c>
      <c r="C287">
        <v>61</v>
      </c>
      <c r="D287" t="s">
        <v>28</v>
      </c>
      <c r="E287" t="s">
        <v>19</v>
      </c>
      <c r="F287" t="s">
        <v>41</v>
      </c>
      <c r="G287">
        <v>393945</v>
      </c>
      <c r="H287">
        <v>33.119999999999997</v>
      </c>
      <c r="I287">
        <v>19.43</v>
      </c>
      <c r="J287" s="1">
        <v>44593</v>
      </c>
      <c r="K287">
        <v>171</v>
      </c>
      <c r="L287">
        <v>5.4794520547945212E-4</v>
      </c>
      <c r="M287">
        <v>215.86027397260276</v>
      </c>
      <c r="N287">
        <v>36912.106849315074</v>
      </c>
    </row>
    <row r="288" spans="1:14" x14ac:dyDescent="0.25">
      <c r="A288" t="s">
        <v>582</v>
      </c>
      <c r="B288" t="s">
        <v>17</v>
      </c>
      <c r="C288">
        <v>38</v>
      </c>
      <c r="D288" t="s">
        <v>38</v>
      </c>
      <c r="E288" t="s">
        <v>19</v>
      </c>
      <c r="F288" t="s">
        <v>41</v>
      </c>
      <c r="G288">
        <v>1408202</v>
      </c>
      <c r="H288">
        <v>11.67</v>
      </c>
      <c r="I288">
        <v>36.479999999999997</v>
      </c>
      <c r="J288" s="1">
        <v>45444</v>
      </c>
      <c r="K288">
        <v>219</v>
      </c>
      <c r="L288">
        <v>5.4794520547945212E-4</v>
      </c>
      <c r="M288">
        <v>771.61753424657547</v>
      </c>
      <c r="N288">
        <v>168984.24000000002</v>
      </c>
    </row>
    <row r="289" spans="1:14" x14ac:dyDescent="0.25">
      <c r="A289" t="s">
        <v>584</v>
      </c>
      <c r="B289" t="s">
        <v>17</v>
      </c>
      <c r="C289">
        <v>41</v>
      </c>
      <c r="D289" t="s">
        <v>18</v>
      </c>
      <c r="E289" t="s">
        <v>13</v>
      </c>
      <c r="F289" t="s">
        <v>41</v>
      </c>
      <c r="G289">
        <v>4384312</v>
      </c>
      <c r="H289">
        <v>12.43</v>
      </c>
      <c r="I289">
        <v>32.44</v>
      </c>
      <c r="J289" s="1">
        <v>43833</v>
      </c>
      <c r="K289">
        <v>86</v>
      </c>
      <c r="L289">
        <v>5.4794520547945212E-4</v>
      </c>
      <c r="M289">
        <v>2402.3627397260275</v>
      </c>
      <c r="N289">
        <v>206603.19561643837</v>
      </c>
    </row>
    <row r="290" spans="1:14" x14ac:dyDescent="0.25">
      <c r="A290" t="s">
        <v>586</v>
      </c>
      <c r="B290" t="s">
        <v>17</v>
      </c>
      <c r="C290">
        <v>63</v>
      </c>
      <c r="D290" t="s">
        <v>28</v>
      </c>
      <c r="E290" t="s">
        <v>23</v>
      </c>
      <c r="F290" t="s">
        <v>30</v>
      </c>
      <c r="G290">
        <v>3936584</v>
      </c>
      <c r="H290">
        <v>9.14</v>
      </c>
      <c r="I290">
        <v>14.23</v>
      </c>
      <c r="J290" s="1">
        <v>44308</v>
      </c>
      <c r="K290">
        <v>105</v>
      </c>
      <c r="L290">
        <v>5.4794520547945212E-4</v>
      </c>
      <c r="M290">
        <v>2157.0323287671235</v>
      </c>
      <c r="N290">
        <v>226488.39452054797</v>
      </c>
    </row>
    <row r="291" spans="1:14" x14ac:dyDescent="0.25">
      <c r="A291" t="s">
        <v>588</v>
      </c>
      <c r="B291" t="s">
        <v>17</v>
      </c>
      <c r="C291">
        <v>27</v>
      </c>
      <c r="D291" t="s">
        <v>18</v>
      </c>
      <c r="E291" t="s">
        <v>29</v>
      </c>
      <c r="F291" t="s">
        <v>47</v>
      </c>
      <c r="G291">
        <v>2404637</v>
      </c>
      <c r="H291">
        <v>25.19</v>
      </c>
      <c r="I291">
        <v>24.06</v>
      </c>
      <c r="J291" s="1">
        <v>43102</v>
      </c>
      <c r="K291">
        <v>11</v>
      </c>
      <c r="L291">
        <v>5.4794520547945212E-4</v>
      </c>
      <c r="M291">
        <v>1317.6093150684933</v>
      </c>
      <c r="N291">
        <v>14493.702465753426</v>
      </c>
    </row>
    <row r="292" spans="1:14" x14ac:dyDescent="0.25">
      <c r="A292" t="s">
        <v>590</v>
      </c>
      <c r="B292" t="s">
        <v>17</v>
      </c>
      <c r="C292">
        <v>28</v>
      </c>
      <c r="D292" t="s">
        <v>46</v>
      </c>
      <c r="E292" t="s">
        <v>19</v>
      </c>
      <c r="F292" t="s">
        <v>47</v>
      </c>
      <c r="G292">
        <v>3109791</v>
      </c>
      <c r="H292">
        <v>30.45</v>
      </c>
      <c r="I292">
        <v>43.57</v>
      </c>
      <c r="J292" s="1">
        <v>43653</v>
      </c>
      <c r="K292">
        <v>340</v>
      </c>
      <c r="L292">
        <v>5.4794520547945212E-4</v>
      </c>
      <c r="M292">
        <v>1703.9950684931509</v>
      </c>
      <c r="N292">
        <v>579358.32328767132</v>
      </c>
    </row>
    <row r="293" spans="1:14" x14ac:dyDescent="0.25">
      <c r="A293" t="s">
        <v>592</v>
      </c>
      <c r="B293" t="s">
        <v>17</v>
      </c>
      <c r="C293">
        <v>27</v>
      </c>
      <c r="D293" t="s">
        <v>12</v>
      </c>
      <c r="E293" t="s">
        <v>19</v>
      </c>
      <c r="F293" t="s">
        <v>41</v>
      </c>
      <c r="G293">
        <v>170248</v>
      </c>
      <c r="H293">
        <v>26.13</v>
      </c>
      <c r="I293">
        <v>2.74</v>
      </c>
      <c r="J293" s="1">
        <v>44536</v>
      </c>
      <c r="K293">
        <v>280</v>
      </c>
      <c r="L293">
        <v>5.4794520547945212E-4</v>
      </c>
      <c r="M293">
        <v>93.286575342465767</v>
      </c>
      <c r="N293">
        <v>26120.241095890415</v>
      </c>
    </row>
    <row r="294" spans="1:14" x14ac:dyDescent="0.25">
      <c r="A294" t="s">
        <v>594</v>
      </c>
      <c r="B294" t="s">
        <v>17</v>
      </c>
      <c r="C294">
        <v>48</v>
      </c>
      <c r="D294" t="s">
        <v>12</v>
      </c>
      <c r="E294" t="s">
        <v>29</v>
      </c>
      <c r="F294" t="s">
        <v>35</v>
      </c>
      <c r="G294">
        <v>3719440</v>
      </c>
      <c r="H294">
        <v>7.33</v>
      </c>
      <c r="I294">
        <v>-5.44</v>
      </c>
      <c r="J294" s="1">
        <v>45214</v>
      </c>
      <c r="K294">
        <v>211</v>
      </c>
      <c r="L294">
        <v>5.4794520547945212E-4</v>
      </c>
      <c r="M294">
        <v>2038.0493150684933</v>
      </c>
      <c r="N294">
        <v>430028.40547945211</v>
      </c>
    </row>
    <row r="295" spans="1:14" x14ac:dyDescent="0.25">
      <c r="A295" t="s">
        <v>596</v>
      </c>
      <c r="B295" t="s">
        <v>17</v>
      </c>
      <c r="C295">
        <v>23</v>
      </c>
      <c r="D295" t="s">
        <v>12</v>
      </c>
      <c r="E295" t="s">
        <v>13</v>
      </c>
      <c r="F295" t="s">
        <v>20</v>
      </c>
      <c r="G295">
        <v>4228818</v>
      </c>
      <c r="H295">
        <v>29.3</v>
      </c>
      <c r="I295">
        <v>1.89</v>
      </c>
      <c r="J295" s="1">
        <v>45438</v>
      </c>
      <c r="K295">
        <v>17</v>
      </c>
      <c r="L295">
        <v>5.4794520547945212E-4</v>
      </c>
      <c r="M295">
        <v>2317.160547945206</v>
      </c>
      <c r="N295">
        <v>39391.7293150685</v>
      </c>
    </row>
    <row r="296" spans="1:14" x14ac:dyDescent="0.25">
      <c r="A296" t="s">
        <v>598</v>
      </c>
      <c r="B296" t="s">
        <v>11</v>
      </c>
      <c r="C296">
        <v>56</v>
      </c>
      <c r="D296" t="s">
        <v>46</v>
      </c>
      <c r="E296" t="s">
        <v>13</v>
      </c>
      <c r="F296" t="s">
        <v>47</v>
      </c>
      <c r="G296">
        <v>2743458</v>
      </c>
      <c r="H296">
        <v>33.090000000000003</v>
      </c>
      <c r="I296">
        <v>18.57</v>
      </c>
      <c r="J296" s="1">
        <v>45087</v>
      </c>
      <c r="K296">
        <v>202</v>
      </c>
      <c r="L296">
        <v>5.4794520547945212E-4</v>
      </c>
      <c r="M296">
        <v>1503.2646575342467</v>
      </c>
      <c r="N296">
        <v>303659.4608219178</v>
      </c>
    </row>
    <row r="297" spans="1:14" x14ac:dyDescent="0.25">
      <c r="A297" t="s">
        <v>600</v>
      </c>
      <c r="B297" t="s">
        <v>11</v>
      </c>
      <c r="C297">
        <v>50</v>
      </c>
      <c r="D297" t="s">
        <v>12</v>
      </c>
      <c r="E297" t="s">
        <v>23</v>
      </c>
      <c r="F297" t="s">
        <v>14</v>
      </c>
      <c r="G297">
        <v>304015</v>
      </c>
      <c r="H297">
        <v>27.66</v>
      </c>
      <c r="I297">
        <v>10.4</v>
      </c>
      <c r="J297" s="1">
        <v>45009</v>
      </c>
      <c r="K297">
        <v>143</v>
      </c>
      <c r="L297">
        <v>5.4794520547945212E-4</v>
      </c>
      <c r="M297">
        <v>166.58356164383565</v>
      </c>
      <c r="N297">
        <v>23821.449315068498</v>
      </c>
    </row>
    <row r="298" spans="1:14" x14ac:dyDescent="0.25">
      <c r="A298" t="s">
        <v>602</v>
      </c>
      <c r="B298" t="s">
        <v>11</v>
      </c>
      <c r="C298">
        <v>56</v>
      </c>
      <c r="D298" t="s">
        <v>18</v>
      </c>
      <c r="E298" t="s">
        <v>57</v>
      </c>
      <c r="F298" t="s">
        <v>41</v>
      </c>
      <c r="G298">
        <v>3708508</v>
      </c>
      <c r="H298">
        <v>25.8</v>
      </c>
      <c r="I298">
        <v>34.39</v>
      </c>
      <c r="J298" s="1">
        <v>44751</v>
      </c>
      <c r="K298">
        <v>28</v>
      </c>
      <c r="L298">
        <v>5.4794520547945212E-4</v>
      </c>
      <c r="M298">
        <v>2032.0591780821921</v>
      </c>
      <c r="N298">
        <v>56897.656986301379</v>
      </c>
    </row>
    <row r="299" spans="1:14" x14ac:dyDescent="0.25">
      <c r="A299" t="s">
        <v>604</v>
      </c>
      <c r="B299" t="s">
        <v>11</v>
      </c>
      <c r="C299">
        <v>33</v>
      </c>
      <c r="D299" t="s">
        <v>18</v>
      </c>
      <c r="E299" t="s">
        <v>29</v>
      </c>
      <c r="F299" t="s">
        <v>30</v>
      </c>
      <c r="G299">
        <v>934902</v>
      </c>
      <c r="H299">
        <v>11.56</v>
      </c>
      <c r="I299">
        <v>10.16</v>
      </c>
      <c r="J299" s="1">
        <v>45241</v>
      </c>
      <c r="K299">
        <v>300</v>
      </c>
      <c r="L299">
        <v>5.4794520547945212E-4</v>
      </c>
      <c r="M299">
        <v>512.2750684931508</v>
      </c>
      <c r="N299">
        <v>153682.52054794523</v>
      </c>
    </row>
    <row r="300" spans="1:14" x14ac:dyDescent="0.25">
      <c r="A300" t="s">
        <v>606</v>
      </c>
      <c r="B300" t="s">
        <v>17</v>
      </c>
      <c r="C300">
        <v>22</v>
      </c>
      <c r="D300" t="s">
        <v>28</v>
      </c>
      <c r="E300" t="s">
        <v>23</v>
      </c>
      <c r="F300" t="s">
        <v>14</v>
      </c>
      <c r="G300">
        <v>3567372</v>
      </c>
      <c r="H300">
        <v>29.94</v>
      </c>
      <c r="I300">
        <v>-7.92</v>
      </c>
      <c r="J300" s="1">
        <v>44120</v>
      </c>
      <c r="K300">
        <v>69</v>
      </c>
      <c r="L300">
        <v>5.4794520547945212E-4</v>
      </c>
      <c r="M300">
        <v>1954.7243835616441</v>
      </c>
      <c r="N300">
        <v>134875.98246575345</v>
      </c>
    </row>
    <row r="301" spans="1:14" x14ac:dyDescent="0.25">
      <c r="A301" t="s">
        <v>608</v>
      </c>
      <c r="B301" t="s">
        <v>11</v>
      </c>
      <c r="C301">
        <v>27</v>
      </c>
      <c r="D301" t="s">
        <v>18</v>
      </c>
      <c r="E301" t="s">
        <v>57</v>
      </c>
      <c r="F301" t="s">
        <v>14</v>
      </c>
      <c r="G301">
        <v>2284623</v>
      </c>
      <c r="H301">
        <v>7.63</v>
      </c>
      <c r="I301">
        <v>24.62</v>
      </c>
      <c r="J301" s="1">
        <v>43447</v>
      </c>
      <c r="K301">
        <v>187</v>
      </c>
      <c r="L301">
        <v>5.4794520547945212E-4</v>
      </c>
      <c r="M301">
        <v>1251.8482191780824</v>
      </c>
      <c r="N301">
        <v>234095.61698630141</v>
      </c>
    </row>
    <row r="302" spans="1:14" x14ac:dyDescent="0.25">
      <c r="A302" t="s">
        <v>610</v>
      </c>
      <c r="B302" t="s">
        <v>17</v>
      </c>
      <c r="C302">
        <v>23</v>
      </c>
      <c r="D302" t="s">
        <v>28</v>
      </c>
      <c r="E302" t="s">
        <v>19</v>
      </c>
      <c r="F302" t="s">
        <v>41</v>
      </c>
      <c r="G302">
        <v>304539</v>
      </c>
      <c r="H302">
        <v>33.43</v>
      </c>
      <c r="I302">
        <v>27.83</v>
      </c>
      <c r="J302" s="1">
        <v>44337</v>
      </c>
      <c r="K302">
        <v>345</v>
      </c>
      <c r="L302">
        <v>5.4794520547945212E-4</v>
      </c>
      <c r="M302">
        <v>166.87068493150687</v>
      </c>
      <c r="N302">
        <v>57570.386301369872</v>
      </c>
    </row>
    <row r="303" spans="1:14" x14ac:dyDescent="0.25">
      <c r="A303" t="s">
        <v>612</v>
      </c>
      <c r="B303" t="s">
        <v>17</v>
      </c>
      <c r="C303">
        <v>35</v>
      </c>
      <c r="D303" t="s">
        <v>18</v>
      </c>
      <c r="E303" t="s">
        <v>29</v>
      </c>
      <c r="F303" t="s">
        <v>35</v>
      </c>
      <c r="G303">
        <v>1105402</v>
      </c>
      <c r="H303">
        <v>33.270000000000003</v>
      </c>
      <c r="I303">
        <v>6.26</v>
      </c>
      <c r="J303" s="1">
        <v>44060</v>
      </c>
      <c r="K303">
        <v>170</v>
      </c>
      <c r="L303">
        <v>5.4794520547945212E-4</v>
      </c>
      <c r="M303">
        <v>605.69972602739733</v>
      </c>
      <c r="N303">
        <v>102968.95342465755</v>
      </c>
    </row>
    <row r="304" spans="1:14" x14ac:dyDescent="0.25">
      <c r="A304" t="s">
        <v>614</v>
      </c>
      <c r="B304" t="s">
        <v>17</v>
      </c>
      <c r="C304">
        <v>51</v>
      </c>
      <c r="D304" t="s">
        <v>38</v>
      </c>
      <c r="E304" t="s">
        <v>13</v>
      </c>
      <c r="F304" t="s">
        <v>30</v>
      </c>
      <c r="G304">
        <v>115830</v>
      </c>
      <c r="H304">
        <v>13.49</v>
      </c>
      <c r="I304">
        <v>36.35</v>
      </c>
      <c r="J304" s="1">
        <v>44572</v>
      </c>
      <c r="K304">
        <v>211</v>
      </c>
      <c r="L304">
        <v>5.4794520547945212E-4</v>
      </c>
      <c r="M304">
        <v>63.468493150684942</v>
      </c>
      <c r="N304">
        <v>13391.852054794523</v>
      </c>
    </row>
    <row r="305" spans="1:14" x14ac:dyDescent="0.25">
      <c r="A305" t="s">
        <v>616</v>
      </c>
      <c r="B305" t="s">
        <v>17</v>
      </c>
      <c r="C305">
        <v>50</v>
      </c>
      <c r="D305" t="s">
        <v>46</v>
      </c>
      <c r="E305" t="s">
        <v>13</v>
      </c>
      <c r="F305" t="s">
        <v>47</v>
      </c>
      <c r="G305">
        <v>1671440</v>
      </c>
      <c r="H305">
        <v>23.05</v>
      </c>
      <c r="I305">
        <v>9.17</v>
      </c>
      <c r="J305" s="1">
        <v>44560</v>
      </c>
      <c r="K305">
        <v>122</v>
      </c>
      <c r="L305">
        <v>5.4794520547945212E-4</v>
      </c>
      <c r="M305">
        <v>915.85753424657548</v>
      </c>
      <c r="N305">
        <v>111734.61917808221</v>
      </c>
    </row>
    <row r="306" spans="1:14" x14ac:dyDescent="0.25">
      <c r="A306" t="s">
        <v>617</v>
      </c>
      <c r="B306" t="s">
        <v>17</v>
      </c>
      <c r="C306">
        <v>24</v>
      </c>
      <c r="D306" t="s">
        <v>12</v>
      </c>
      <c r="E306" t="s">
        <v>13</v>
      </c>
      <c r="F306" t="s">
        <v>14</v>
      </c>
      <c r="G306">
        <v>4016939</v>
      </c>
      <c r="H306">
        <v>22.24</v>
      </c>
      <c r="I306">
        <v>7.94</v>
      </c>
      <c r="J306" s="1">
        <v>43683</v>
      </c>
      <c r="K306">
        <v>26</v>
      </c>
      <c r="L306">
        <v>5.4794520547945212E-4</v>
      </c>
      <c r="M306">
        <v>2201.0624657534249</v>
      </c>
      <c r="N306">
        <v>57227.624109589051</v>
      </c>
    </row>
    <row r="307" spans="1:14" x14ac:dyDescent="0.25">
      <c r="A307" t="s">
        <v>619</v>
      </c>
      <c r="B307" t="s">
        <v>11</v>
      </c>
      <c r="C307">
        <v>54</v>
      </c>
      <c r="D307" t="s">
        <v>46</v>
      </c>
      <c r="E307" t="s">
        <v>57</v>
      </c>
      <c r="F307" t="s">
        <v>20</v>
      </c>
      <c r="G307">
        <v>2863269</v>
      </c>
      <c r="H307">
        <v>23.08</v>
      </c>
      <c r="I307">
        <v>25.06</v>
      </c>
      <c r="J307" s="1">
        <v>44203</v>
      </c>
      <c r="K307">
        <v>329</v>
      </c>
      <c r="L307">
        <v>5.4794520547945212E-4</v>
      </c>
      <c r="M307">
        <v>1568.9145205479454</v>
      </c>
      <c r="N307">
        <v>516172.87726027402</v>
      </c>
    </row>
    <row r="308" spans="1:14" x14ac:dyDescent="0.25">
      <c r="A308" t="s">
        <v>621</v>
      </c>
      <c r="B308" t="s">
        <v>17</v>
      </c>
      <c r="C308">
        <v>56</v>
      </c>
      <c r="D308" t="s">
        <v>46</v>
      </c>
      <c r="E308" t="s">
        <v>19</v>
      </c>
      <c r="F308" t="s">
        <v>20</v>
      </c>
      <c r="G308">
        <v>4742982</v>
      </c>
      <c r="H308">
        <v>14.03</v>
      </c>
      <c r="I308">
        <v>16.03</v>
      </c>
      <c r="J308" s="1">
        <v>43770</v>
      </c>
      <c r="K308">
        <v>190</v>
      </c>
      <c r="L308">
        <v>5.4794520547945212E-4</v>
      </c>
      <c r="M308">
        <v>2598.894246575343</v>
      </c>
      <c r="N308">
        <v>493789.90684931516</v>
      </c>
    </row>
    <row r="309" spans="1:14" x14ac:dyDescent="0.25">
      <c r="A309" t="s">
        <v>623</v>
      </c>
      <c r="B309" t="s">
        <v>17</v>
      </c>
      <c r="C309">
        <v>34</v>
      </c>
      <c r="D309" t="s">
        <v>28</v>
      </c>
      <c r="E309" t="s">
        <v>19</v>
      </c>
      <c r="F309" t="s">
        <v>30</v>
      </c>
      <c r="G309">
        <v>1636308</v>
      </c>
      <c r="H309">
        <v>5.0999999999999996</v>
      </c>
      <c r="I309">
        <v>19.649999999999999</v>
      </c>
      <c r="J309" s="1">
        <v>43837</v>
      </c>
      <c r="K309">
        <v>202</v>
      </c>
      <c r="L309">
        <v>5.4794520547945212E-4</v>
      </c>
      <c r="M309">
        <v>896.60712328767136</v>
      </c>
      <c r="N309">
        <v>181114.63890410963</v>
      </c>
    </row>
    <row r="310" spans="1:14" x14ac:dyDescent="0.25">
      <c r="A310" t="s">
        <v>625</v>
      </c>
      <c r="B310" t="s">
        <v>11</v>
      </c>
      <c r="C310">
        <v>40</v>
      </c>
      <c r="D310" t="s">
        <v>46</v>
      </c>
      <c r="E310" t="s">
        <v>23</v>
      </c>
      <c r="F310" t="s">
        <v>14</v>
      </c>
      <c r="G310">
        <v>2710318</v>
      </c>
      <c r="H310">
        <v>21.66</v>
      </c>
      <c r="I310">
        <v>-7.07</v>
      </c>
      <c r="J310" s="1">
        <v>45254</v>
      </c>
      <c r="K310">
        <v>309</v>
      </c>
      <c r="L310">
        <v>5.4794520547945212E-4</v>
      </c>
      <c r="M310">
        <v>1485.1057534246577</v>
      </c>
      <c r="N310">
        <v>458897.67780821922</v>
      </c>
    </row>
    <row r="311" spans="1:14" x14ac:dyDescent="0.25">
      <c r="A311" t="s">
        <v>627</v>
      </c>
      <c r="B311" t="s">
        <v>11</v>
      </c>
      <c r="C311">
        <v>28</v>
      </c>
      <c r="D311" t="s">
        <v>38</v>
      </c>
      <c r="E311" t="s">
        <v>19</v>
      </c>
      <c r="F311" t="s">
        <v>35</v>
      </c>
      <c r="G311">
        <v>882298</v>
      </c>
      <c r="H311">
        <v>31.12</v>
      </c>
      <c r="I311">
        <v>-3.44</v>
      </c>
      <c r="J311" s="1">
        <v>44425</v>
      </c>
      <c r="K311">
        <v>205</v>
      </c>
      <c r="L311">
        <v>5.4794520547945212E-4</v>
      </c>
      <c r="M311">
        <v>483.45095890410965</v>
      </c>
      <c r="N311">
        <v>99107.446575342474</v>
      </c>
    </row>
    <row r="312" spans="1:14" x14ac:dyDescent="0.25">
      <c r="A312" t="s">
        <v>629</v>
      </c>
      <c r="B312" t="s">
        <v>11</v>
      </c>
      <c r="C312">
        <v>60</v>
      </c>
      <c r="D312" t="s">
        <v>28</v>
      </c>
      <c r="E312" t="s">
        <v>19</v>
      </c>
      <c r="F312" t="s">
        <v>14</v>
      </c>
      <c r="G312">
        <v>2310441</v>
      </c>
      <c r="H312">
        <v>6.72</v>
      </c>
      <c r="I312">
        <v>27.28</v>
      </c>
      <c r="J312" s="1">
        <v>43855</v>
      </c>
      <c r="K312">
        <v>203</v>
      </c>
      <c r="L312">
        <v>5.4794520547945212E-4</v>
      </c>
      <c r="M312">
        <v>1265.9950684931509</v>
      </c>
      <c r="N312">
        <v>256996.99890410964</v>
      </c>
    </row>
    <row r="313" spans="1:14" x14ac:dyDescent="0.25">
      <c r="A313" t="s">
        <v>631</v>
      </c>
      <c r="B313" t="s">
        <v>11</v>
      </c>
      <c r="C313">
        <v>61</v>
      </c>
      <c r="D313" t="s">
        <v>12</v>
      </c>
      <c r="E313" t="s">
        <v>23</v>
      </c>
      <c r="F313" t="s">
        <v>30</v>
      </c>
      <c r="G313">
        <v>3037368</v>
      </c>
      <c r="H313">
        <v>22.28</v>
      </c>
      <c r="I313">
        <v>36.35</v>
      </c>
      <c r="J313" s="1">
        <v>44028</v>
      </c>
      <c r="K313">
        <v>145</v>
      </c>
      <c r="L313">
        <v>5.4794520547945212E-4</v>
      </c>
      <c r="M313">
        <v>1664.3112328767124</v>
      </c>
      <c r="N313">
        <v>241325.1287671233</v>
      </c>
    </row>
    <row r="314" spans="1:14" x14ac:dyDescent="0.25">
      <c r="A314" t="s">
        <v>633</v>
      </c>
      <c r="B314" t="s">
        <v>17</v>
      </c>
      <c r="C314">
        <v>50</v>
      </c>
      <c r="D314" t="s">
        <v>12</v>
      </c>
      <c r="E314" t="s">
        <v>57</v>
      </c>
      <c r="F314" t="s">
        <v>47</v>
      </c>
      <c r="G314">
        <v>1933934</v>
      </c>
      <c r="H314">
        <v>19.55</v>
      </c>
      <c r="I314">
        <v>11.85</v>
      </c>
      <c r="J314" s="1">
        <v>43453</v>
      </c>
      <c r="K314">
        <v>39</v>
      </c>
      <c r="L314">
        <v>5.4794520547945212E-4</v>
      </c>
      <c r="M314">
        <v>1059.6898630136989</v>
      </c>
      <c r="N314">
        <v>41327.904657534258</v>
      </c>
    </row>
    <row r="315" spans="1:14" x14ac:dyDescent="0.25">
      <c r="A315" t="s">
        <v>635</v>
      </c>
      <c r="B315" t="s">
        <v>11</v>
      </c>
      <c r="C315">
        <v>53</v>
      </c>
      <c r="D315" t="s">
        <v>12</v>
      </c>
      <c r="E315" t="s">
        <v>29</v>
      </c>
      <c r="F315" t="s">
        <v>47</v>
      </c>
      <c r="G315">
        <v>3014988</v>
      </c>
      <c r="H315">
        <v>11.26</v>
      </c>
      <c r="I315">
        <v>38.53</v>
      </c>
      <c r="J315" s="1">
        <v>44855</v>
      </c>
      <c r="K315">
        <v>354</v>
      </c>
      <c r="L315">
        <v>5.4794520547945212E-4</v>
      </c>
      <c r="M315">
        <v>1652.0482191780825</v>
      </c>
      <c r="N315">
        <v>584825.06958904117</v>
      </c>
    </row>
    <row r="316" spans="1:14" x14ac:dyDescent="0.25">
      <c r="A316" t="s">
        <v>637</v>
      </c>
      <c r="B316" t="s">
        <v>17</v>
      </c>
      <c r="C316">
        <v>45</v>
      </c>
      <c r="D316" t="s">
        <v>18</v>
      </c>
      <c r="E316" t="s">
        <v>29</v>
      </c>
      <c r="F316" t="s">
        <v>14</v>
      </c>
      <c r="G316">
        <v>1879072</v>
      </c>
      <c r="H316">
        <v>12.26</v>
      </c>
      <c r="I316">
        <v>34.67</v>
      </c>
      <c r="J316" s="1">
        <v>44833</v>
      </c>
      <c r="K316">
        <v>108</v>
      </c>
      <c r="L316">
        <v>5.4794520547945212E-4</v>
      </c>
      <c r="M316">
        <v>1029.628493150685</v>
      </c>
      <c r="N316">
        <v>111199.87726027398</v>
      </c>
    </row>
    <row r="317" spans="1:14" x14ac:dyDescent="0.25">
      <c r="A317" t="s">
        <v>639</v>
      </c>
      <c r="B317" t="s">
        <v>17</v>
      </c>
      <c r="C317">
        <v>52</v>
      </c>
      <c r="D317" t="s">
        <v>28</v>
      </c>
      <c r="E317" t="s">
        <v>50</v>
      </c>
      <c r="F317" t="s">
        <v>30</v>
      </c>
      <c r="G317">
        <v>879288</v>
      </c>
      <c r="H317">
        <v>11.85</v>
      </c>
      <c r="I317">
        <v>3.17</v>
      </c>
      <c r="J317" s="1">
        <v>45386</v>
      </c>
      <c r="K317">
        <v>30</v>
      </c>
      <c r="L317">
        <v>5.4794520547945212E-4</v>
      </c>
      <c r="M317">
        <v>481.80164383561652</v>
      </c>
      <c r="N317">
        <v>14454.049315068496</v>
      </c>
    </row>
    <row r="318" spans="1:14" x14ac:dyDescent="0.25">
      <c r="A318" t="s">
        <v>641</v>
      </c>
      <c r="B318" t="s">
        <v>17</v>
      </c>
      <c r="C318">
        <v>33</v>
      </c>
      <c r="D318" t="s">
        <v>46</v>
      </c>
      <c r="E318" t="s">
        <v>23</v>
      </c>
      <c r="F318" t="s">
        <v>30</v>
      </c>
      <c r="G318">
        <v>1650176</v>
      </c>
      <c r="H318">
        <v>21.54</v>
      </c>
      <c r="I318">
        <v>44.92</v>
      </c>
      <c r="J318" s="1">
        <v>44510</v>
      </c>
      <c r="K318">
        <v>304</v>
      </c>
      <c r="L318">
        <v>5.4794520547945212E-4</v>
      </c>
      <c r="M318">
        <v>904.20602739726041</v>
      </c>
      <c r="N318">
        <v>274878.63232876715</v>
      </c>
    </row>
    <row r="319" spans="1:14" x14ac:dyDescent="0.25">
      <c r="A319" t="s">
        <v>643</v>
      </c>
      <c r="B319" t="s">
        <v>11</v>
      </c>
      <c r="C319">
        <v>52</v>
      </c>
      <c r="D319" t="s">
        <v>12</v>
      </c>
      <c r="E319" t="s">
        <v>13</v>
      </c>
      <c r="F319" t="s">
        <v>41</v>
      </c>
      <c r="G319">
        <v>1441921</v>
      </c>
      <c r="H319">
        <v>32.090000000000003</v>
      </c>
      <c r="I319">
        <v>10.14</v>
      </c>
      <c r="J319" s="1">
        <v>45308</v>
      </c>
      <c r="K319">
        <v>235</v>
      </c>
      <c r="L319">
        <v>5.4794520547945212E-4</v>
      </c>
      <c r="M319">
        <v>790.09369863013706</v>
      </c>
      <c r="N319">
        <v>185672.01917808221</v>
      </c>
    </row>
    <row r="320" spans="1:14" x14ac:dyDescent="0.25">
      <c r="A320" t="s">
        <v>645</v>
      </c>
      <c r="B320" t="s">
        <v>11</v>
      </c>
      <c r="C320">
        <v>51</v>
      </c>
      <c r="D320" t="s">
        <v>28</v>
      </c>
      <c r="E320" t="s">
        <v>13</v>
      </c>
      <c r="F320" t="s">
        <v>30</v>
      </c>
      <c r="G320">
        <v>298538</v>
      </c>
      <c r="H320">
        <v>32.840000000000003</v>
      </c>
      <c r="I320">
        <v>43.91</v>
      </c>
      <c r="J320" s="1">
        <v>45552</v>
      </c>
      <c r="K320">
        <v>248</v>
      </c>
      <c r="L320">
        <v>5.4794520547945212E-4</v>
      </c>
      <c r="M320">
        <v>163.58246575342469</v>
      </c>
      <c r="N320">
        <v>40568.45150684932</v>
      </c>
    </row>
    <row r="321" spans="1:14" x14ac:dyDescent="0.25">
      <c r="A321" t="s">
        <v>646</v>
      </c>
      <c r="B321" t="s">
        <v>17</v>
      </c>
      <c r="C321">
        <v>50</v>
      </c>
      <c r="D321" t="s">
        <v>28</v>
      </c>
      <c r="E321" t="s">
        <v>50</v>
      </c>
      <c r="F321" t="s">
        <v>20</v>
      </c>
      <c r="G321">
        <v>3070234</v>
      </c>
      <c r="H321">
        <v>6.63</v>
      </c>
      <c r="I321">
        <v>26.28</v>
      </c>
      <c r="J321" s="1">
        <v>44717</v>
      </c>
      <c r="K321">
        <v>219</v>
      </c>
      <c r="L321">
        <v>5.4794520547945212E-4</v>
      </c>
      <c r="M321">
        <v>1682.3200000000002</v>
      </c>
      <c r="N321">
        <v>368428.08</v>
      </c>
    </row>
    <row r="322" spans="1:14" x14ac:dyDescent="0.25">
      <c r="A322" t="s">
        <v>648</v>
      </c>
      <c r="B322" t="s">
        <v>17</v>
      </c>
      <c r="C322">
        <v>37</v>
      </c>
      <c r="D322" t="s">
        <v>38</v>
      </c>
      <c r="E322" t="s">
        <v>23</v>
      </c>
      <c r="F322" t="s">
        <v>41</v>
      </c>
      <c r="G322">
        <v>3980007</v>
      </c>
      <c r="H322">
        <v>34.39</v>
      </c>
      <c r="I322">
        <v>-4</v>
      </c>
      <c r="J322" s="1">
        <v>44899</v>
      </c>
      <c r="K322">
        <v>19</v>
      </c>
      <c r="L322">
        <v>5.4794520547945212E-4</v>
      </c>
      <c r="M322">
        <v>2180.8257534246577</v>
      </c>
      <c r="N322">
        <v>41435.689315068499</v>
      </c>
    </row>
    <row r="323" spans="1:14" x14ac:dyDescent="0.25">
      <c r="A323" t="s">
        <v>649</v>
      </c>
      <c r="B323" t="s">
        <v>11</v>
      </c>
      <c r="C323">
        <v>34</v>
      </c>
      <c r="D323" t="s">
        <v>46</v>
      </c>
      <c r="E323" t="s">
        <v>13</v>
      </c>
      <c r="F323" t="s">
        <v>47</v>
      </c>
      <c r="G323">
        <v>1283408</v>
      </c>
      <c r="H323">
        <v>27.09</v>
      </c>
      <c r="I323">
        <v>29.8</v>
      </c>
      <c r="J323" s="1">
        <v>43179</v>
      </c>
      <c r="K323">
        <v>305</v>
      </c>
      <c r="L323">
        <v>5.4794520547945212E-4</v>
      </c>
      <c r="M323">
        <v>703.23726027397265</v>
      </c>
      <c r="N323">
        <v>214487.36438356165</v>
      </c>
    </row>
    <row r="324" spans="1:14" x14ac:dyDescent="0.25">
      <c r="A324" t="s">
        <v>651</v>
      </c>
      <c r="B324" t="s">
        <v>17</v>
      </c>
      <c r="C324">
        <v>33</v>
      </c>
      <c r="D324" t="s">
        <v>46</v>
      </c>
      <c r="E324" t="s">
        <v>57</v>
      </c>
      <c r="F324" t="s">
        <v>14</v>
      </c>
      <c r="G324">
        <v>4275728</v>
      </c>
      <c r="H324">
        <v>5.81</v>
      </c>
      <c r="I324">
        <v>14.64</v>
      </c>
      <c r="J324" s="1">
        <v>45424</v>
      </c>
      <c r="K324">
        <v>255</v>
      </c>
      <c r="L324">
        <v>5.4794520547945212E-4</v>
      </c>
      <c r="M324">
        <v>2342.8646575342468</v>
      </c>
      <c r="N324">
        <v>597430.4876712329</v>
      </c>
    </row>
    <row r="325" spans="1:14" x14ac:dyDescent="0.25">
      <c r="A325" t="s">
        <v>653</v>
      </c>
      <c r="B325" t="s">
        <v>11</v>
      </c>
      <c r="C325">
        <v>45</v>
      </c>
      <c r="D325" t="s">
        <v>18</v>
      </c>
      <c r="E325" t="s">
        <v>19</v>
      </c>
      <c r="F325" t="s">
        <v>41</v>
      </c>
      <c r="G325">
        <v>157432</v>
      </c>
      <c r="H325">
        <v>21.13</v>
      </c>
      <c r="I325">
        <v>40.74</v>
      </c>
      <c r="J325" s="1">
        <v>43696</v>
      </c>
      <c r="K325">
        <v>139</v>
      </c>
      <c r="L325">
        <v>5.4794520547945212E-4</v>
      </c>
      <c r="M325">
        <v>86.264109589041112</v>
      </c>
      <c r="N325">
        <v>11990.711232876714</v>
      </c>
    </row>
    <row r="326" spans="1:14" x14ac:dyDescent="0.25">
      <c r="A326" t="s">
        <v>655</v>
      </c>
      <c r="B326" t="s">
        <v>11</v>
      </c>
      <c r="C326">
        <v>58</v>
      </c>
      <c r="D326" t="s">
        <v>38</v>
      </c>
      <c r="E326" t="s">
        <v>23</v>
      </c>
      <c r="F326" t="s">
        <v>14</v>
      </c>
      <c r="G326">
        <v>2934220</v>
      </c>
      <c r="H326">
        <v>14.08</v>
      </c>
      <c r="I326">
        <v>16.38</v>
      </c>
      <c r="J326" s="1">
        <v>44755</v>
      </c>
      <c r="K326">
        <v>36</v>
      </c>
      <c r="L326">
        <v>5.4794520547945212E-4</v>
      </c>
      <c r="M326">
        <v>1607.7917808219181</v>
      </c>
      <c r="N326">
        <v>57880.504109589048</v>
      </c>
    </row>
    <row r="327" spans="1:14" x14ac:dyDescent="0.25">
      <c r="A327" t="s">
        <v>657</v>
      </c>
      <c r="B327" t="s">
        <v>17</v>
      </c>
      <c r="C327">
        <v>31</v>
      </c>
      <c r="D327" t="s">
        <v>18</v>
      </c>
      <c r="E327" t="s">
        <v>23</v>
      </c>
      <c r="F327" t="s">
        <v>14</v>
      </c>
      <c r="G327">
        <v>4468757</v>
      </c>
      <c r="H327">
        <v>24.35</v>
      </c>
      <c r="I327">
        <v>41.49</v>
      </c>
      <c r="J327" s="1">
        <v>43549</v>
      </c>
      <c r="K327">
        <v>182</v>
      </c>
      <c r="L327">
        <v>5.4794520547945212E-4</v>
      </c>
      <c r="M327">
        <v>2448.63397260274</v>
      </c>
      <c r="N327">
        <v>445651.38301369868</v>
      </c>
    </row>
    <row r="328" spans="1:14" x14ac:dyDescent="0.25">
      <c r="A328" t="s">
        <v>659</v>
      </c>
      <c r="B328" t="s">
        <v>11</v>
      </c>
      <c r="C328">
        <v>56</v>
      </c>
      <c r="D328" t="s">
        <v>46</v>
      </c>
      <c r="E328" t="s">
        <v>57</v>
      </c>
      <c r="F328" t="s">
        <v>41</v>
      </c>
      <c r="G328">
        <v>1451352</v>
      </c>
      <c r="H328">
        <v>16.91</v>
      </c>
      <c r="I328">
        <v>27.77</v>
      </c>
      <c r="J328" s="1">
        <v>44398</v>
      </c>
      <c r="K328">
        <v>30</v>
      </c>
      <c r="L328">
        <v>5.4794520547945212E-4</v>
      </c>
      <c r="M328">
        <v>795.26136986301378</v>
      </c>
      <c r="N328">
        <v>23857.841095890413</v>
      </c>
    </row>
    <row r="329" spans="1:14" x14ac:dyDescent="0.25">
      <c r="A329" t="s">
        <v>661</v>
      </c>
      <c r="B329" t="s">
        <v>11</v>
      </c>
      <c r="C329">
        <v>51</v>
      </c>
      <c r="D329" t="s">
        <v>12</v>
      </c>
      <c r="E329" t="s">
        <v>50</v>
      </c>
      <c r="F329" t="s">
        <v>20</v>
      </c>
      <c r="G329">
        <v>509397</v>
      </c>
      <c r="H329">
        <v>8.59</v>
      </c>
      <c r="I329">
        <v>14.43</v>
      </c>
      <c r="J329" s="1">
        <v>44057</v>
      </c>
      <c r="K329">
        <v>216</v>
      </c>
      <c r="L329">
        <v>5.4794520547945212E-4</v>
      </c>
      <c r="M329">
        <v>279.12164383561645</v>
      </c>
      <c r="N329">
        <v>60290.275068493153</v>
      </c>
    </row>
    <row r="330" spans="1:14" x14ac:dyDescent="0.25">
      <c r="A330" t="s">
        <v>663</v>
      </c>
      <c r="B330" t="s">
        <v>17</v>
      </c>
      <c r="C330">
        <v>57</v>
      </c>
      <c r="D330" t="s">
        <v>12</v>
      </c>
      <c r="E330" t="s">
        <v>50</v>
      </c>
      <c r="F330" t="s">
        <v>47</v>
      </c>
      <c r="G330">
        <v>3302162</v>
      </c>
      <c r="H330">
        <v>24.67</v>
      </c>
      <c r="I330">
        <v>8.3699999999999992</v>
      </c>
      <c r="J330" s="1">
        <v>43894</v>
      </c>
      <c r="K330">
        <v>264</v>
      </c>
      <c r="L330">
        <v>5.4794520547945212E-4</v>
      </c>
      <c r="M330">
        <v>1809.4038356164385</v>
      </c>
      <c r="N330">
        <v>477682.61260273977</v>
      </c>
    </row>
    <row r="331" spans="1:14" x14ac:dyDescent="0.25">
      <c r="A331" t="s">
        <v>665</v>
      </c>
      <c r="B331" t="s">
        <v>17</v>
      </c>
      <c r="C331">
        <v>55</v>
      </c>
      <c r="D331" t="s">
        <v>38</v>
      </c>
      <c r="E331" t="s">
        <v>19</v>
      </c>
      <c r="F331" t="s">
        <v>30</v>
      </c>
      <c r="G331">
        <v>4862186</v>
      </c>
      <c r="H331">
        <v>32.299999999999997</v>
      </c>
      <c r="I331">
        <v>5.47</v>
      </c>
      <c r="J331" s="1">
        <v>43999</v>
      </c>
      <c r="K331">
        <v>290</v>
      </c>
      <c r="L331">
        <v>5.4794520547945212E-4</v>
      </c>
      <c r="M331">
        <v>2664.2115068493154</v>
      </c>
      <c r="N331">
        <v>772621.33698630147</v>
      </c>
    </row>
    <row r="332" spans="1:14" x14ac:dyDescent="0.25">
      <c r="A332" t="s">
        <v>667</v>
      </c>
      <c r="B332" t="s">
        <v>11</v>
      </c>
      <c r="C332">
        <v>55</v>
      </c>
      <c r="D332" t="s">
        <v>18</v>
      </c>
      <c r="E332" t="s">
        <v>13</v>
      </c>
      <c r="F332" t="s">
        <v>41</v>
      </c>
      <c r="G332">
        <v>726540</v>
      </c>
      <c r="H332">
        <v>34.159999999999997</v>
      </c>
      <c r="I332">
        <v>39.700000000000003</v>
      </c>
      <c r="J332" s="1">
        <v>44728</v>
      </c>
      <c r="K332">
        <v>362</v>
      </c>
      <c r="L332">
        <v>5.4794520547945212E-4</v>
      </c>
      <c r="M332">
        <v>398.10410958904117</v>
      </c>
      <c r="N332">
        <v>144113.68767123291</v>
      </c>
    </row>
    <row r="333" spans="1:14" x14ac:dyDescent="0.25">
      <c r="A333" t="s">
        <v>669</v>
      </c>
      <c r="B333" t="s">
        <v>17</v>
      </c>
      <c r="C333">
        <v>57</v>
      </c>
      <c r="D333" t="s">
        <v>46</v>
      </c>
      <c r="E333" t="s">
        <v>29</v>
      </c>
      <c r="F333" t="s">
        <v>47</v>
      </c>
      <c r="G333">
        <v>4450403</v>
      </c>
      <c r="H333">
        <v>9.59</v>
      </c>
      <c r="I333">
        <v>28.06</v>
      </c>
      <c r="J333" s="1">
        <v>45458</v>
      </c>
      <c r="K333">
        <v>200</v>
      </c>
      <c r="L333">
        <v>5.4794520547945212E-4</v>
      </c>
      <c r="M333">
        <v>2438.5769863013702</v>
      </c>
      <c r="N333">
        <v>487715.39726027404</v>
      </c>
    </row>
    <row r="334" spans="1:14" x14ac:dyDescent="0.25">
      <c r="A334" t="s">
        <v>671</v>
      </c>
      <c r="B334" t="s">
        <v>11</v>
      </c>
      <c r="C334">
        <v>46</v>
      </c>
      <c r="D334" t="s">
        <v>46</v>
      </c>
      <c r="E334" t="s">
        <v>23</v>
      </c>
      <c r="F334" t="s">
        <v>35</v>
      </c>
      <c r="G334">
        <v>4955257</v>
      </c>
      <c r="H334">
        <v>9.58</v>
      </c>
      <c r="I334">
        <v>10.37</v>
      </c>
      <c r="J334" s="1">
        <v>43205</v>
      </c>
      <c r="K334">
        <v>110</v>
      </c>
      <c r="L334">
        <v>5.4794520547945212E-4</v>
      </c>
      <c r="M334">
        <v>2715.2093150684937</v>
      </c>
      <c r="N334">
        <v>298673.02465753432</v>
      </c>
    </row>
    <row r="335" spans="1:14" x14ac:dyDescent="0.25">
      <c r="A335" t="s">
        <v>673</v>
      </c>
      <c r="B335" t="s">
        <v>11</v>
      </c>
      <c r="C335">
        <v>24</v>
      </c>
      <c r="D335" t="s">
        <v>18</v>
      </c>
      <c r="E335" t="s">
        <v>13</v>
      </c>
      <c r="F335" t="s">
        <v>41</v>
      </c>
      <c r="G335">
        <v>1717175</v>
      </c>
      <c r="H335">
        <v>15.61</v>
      </c>
      <c r="I335">
        <v>36.39</v>
      </c>
      <c r="J335" s="1">
        <v>44559</v>
      </c>
      <c r="K335">
        <v>313</v>
      </c>
      <c r="L335">
        <v>5.4794520547945212E-4</v>
      </c>
      <c r="M335">
        <v>940.91780821917826</v>
      </c>
      <c r="N335">
        <v>294507.27397260279</v>
      </c>
    </row>
    <row r="336" spans="1:14" x14ac:dyDescent="0.25">
      <c r="A336" t="s">
        <v>675</v>
      </c>
      <c r="B336" t="s">
        <v>17</v>
      </c>
      <c r="C336">
        <v>38</v>
      </c>
      <c r="D336" t="s">
        <v>28</v>
      </c>
      <c r="E336" t="s">
        <v>29</v>
      </c>
      <c r="F336" t="s">
        <v>47</v>
      </c>
      <c r="G336">
        <v>4555542</v>
      </c>
      <c r="H336">
        <v>29.86</v>
      </c>
      <c r="I336">
        <v>-8.4499999999999993</v>
      </c>
      <c r="J336" s="1">
        <v>43196</v>
      </c>
      <c r="K336">
        <v>294</v>
      </c>
      <c r="L336">
        <v>5.4794520547945212E-4</v>
      </c>
      <c r="M336">
        <v>2496.1873972602743</v>
      </c>
      <c r="N336">
        <v>733879.09479452064</v>
      </c>
    </row>
    <row r="337" spans="1:14" x14ac:dyDescent="0.25">
      <c r="A337" t="s">
        <v>677</v>
      </c>
      <c r="B337" t="s">
        <v>11</v>
      </c>
      <c r="C337">
        <v>29</v>
      </c>
      <c r="D337" t="s">
        <v>38</v>
      </c>
      <c r="E337" t="s">
        <v>23</v>
      </c>
      <c r="F337" t="s">
        <v>30</v>
      </c>
      <c r="G337">
        <v>723720</v>
      </c>
      <c r="H337">
        <v>31.2</v>
      </c>
      <c r="I337">
        <v>23.32</v>
      </c>
      <c r="J337" s="1">
        <v>45090</v>
      </c>
      <c r="K337">
        <v>177</v>
      </c>
      <c r="L337">
        <v>5.4794520547945212E-4</v>
      </c>
      <c r="M337">
        <v>396.55890410958909</v>
      </c>
      <c r="N337">
        <v>70190.926027397276</v>
      </c>
    </row>
    <row r="338" spans="1:14" x14ac:dyDescent="0.25">
      <c r="A338" t="s">
        <v>679</v>
      </c>
      <c r="B338" t="s">
        <v>11</v>
      </c>
      <c r="C338">
        <v>43</v>
      </c>
      <c r="D338" t="s">
        <v>46</v>
      </c>
      <c r="E338" t="s">
        <v>57</v>
      </c>
      <c r="F338" t="s">
        <v>20</v>
      </c>
      <c r="G338">
        <v>2337758</v>
      </c>
      <c r="H338">
        <v>12.98</v>
      </c>
      <c r="I338">
        <v>8.57</v>
      </c>
      <c r="J338" s="1">
        <v>45569</v>
      </c>
      <c r="K338">
        <v>184</v>
      </c>
      <c r="L338">
        <v>5.4794520547945212E-4</v>
      </c>
      <c r="M338">
        <v>1280.963287671233</v>
      </c>
      <c r="N338">
        <v>235697.24493150687</v>
      </c>
    </row>
    <row r="339" spans="1:14" x14ac:dyDescent="0.25">
      <c r="A339" t="s">
        <v>681</v>
      </c>
      <c r="B339" t="s">
        <v>11</v>
      </c>
      <c r="C339">
        <v>47</v>
      </c>
      <c r="D339" t="s">
        <v>12</v>
      </c>
      <c r="E339" t="s">
        <v>29</v>
      </c>
      <c r="F339" t="s">
        <v>35</v>
      </c>
      <c r="G339">
        <v>1275945</v>
      </c>
      <c r="H339">
        <v>5.28</v>
      </c>
      <c r="I339">
        <v>1.03</v>
      </c>
      <c r="J339" s="1">
        <v>43183</v>
      </c>
      <c r="K339">
        <v>179</v>
      </c>
      <c r="L339">
        <v>5.4794520547945212E-4</v>
      </c>
      <c r="M339">
        <v>699.14794520547957</v>
      </c>
      <c r="N339">
        <v>125147.48219178084</v>
      </c>
    </row>
    <row r="340" spans="1:14" x14ac:dyDescent="0.25">
      <c r="A340" t="s">
        <v>683</v>
      </c>
      <c r="B340" t="s">
        <v>11</v>
      </c>
      <c r="C340">
        <v>45</v>
      </c>
      <c r="D340" t="s">
        <v>12</v>
      </c>
      <c r="E340" t="s">
        <v>50</v>
      </c>
      <c r="F340" t="s">
        <v>30</v>
      </c>
      <c r="G340">
        <v>3513481</v>
      </c>
      <c r="H340">
        <v>8.32</v>
      </c>
      <c r="I340">
        <v>37.82</v>
      </c>
      <c r="J340" s="1">
        <v>44569</v>
      </c>
      <c r="K340">
        <v>89</v>
      </c>
      <c r="L340">
        <v>5.4794520547945212E-4</v>
      </c>
      <c r="M340">
        <v>1925.195068493151</v>
      </c>
      <c r="N340">
        <v>171342.36109589043</v>
      </c>
    </row>
    <row r="341" spans="1:14" x14ac:dyDescent="0.25">
      <c r="A341" t="s">
        <v>685</v>
      </c>
      <c r="B341" t="s">
        <v>17</v>
      </c>
      <c r="C341">
        <v>56</v>
      </c>
      <c r="D341" t="s">
        <v>46</v>
      </c>
      <c r="E341" t="s">
        <v>29</v>
      </c>
      <c r="F341" t="s">
        <v>47</v>
      </c>
      <c r="G341">
        <v>4594503</v>
      </c>
      <c r="H341">
        <v>13.14</v>
      </c>
      <c r="I341">
        <v>19.62</v>
      </c>
      <c r="J341" s="1">
        <v>44744</v>
      </c>
      <c r="K341">
        <v>56</v>
      </c>
      <c r="L341">
        <v>5.4794520547945212E-4</v>
      </c>
      <c r="M341">
        <v>2517.5358904109594</v>
      </c>
      <c r="N341">
        <v>140982.00986301372</v>
      </c>
    </row>
    <row r="342" spans="1:14" x14ac:dyDescent="0.25">
      <c r="A342" t="s">
        <v>687</v>
      </c>
      <c r="B342" t="s">
        <v>17</v>
      </c>
      <c r="C342">
        <v>59</v>
      </c>
      <c r="D342" t="s">
        <v>38</v>
      </c>
      <c r="E342" t="s">
        <v>50</v>
      </c>
      <c r="F342" t="s">
        <v>41</v>
      </c>
      <c r="G342">
        <v>1012514</v>
      </c>
      <c r="H342">
        <v>23.49</v>
      </c>
      <c r="I342">
        <v>6.7</v>
      </c>
      <c r="J342" s="1">
        <v>44650</v>
      </c>
      <c r="K342">
        <v>352</v>
      </c>
      <c r="L342">
        <v>5.4794520547945212E-4</v>
      </c>
      <c r="M342">
        <v>554.802191780822</v>
      </c>
      <c r="N342">
        <v>195290.37150684933</v>
      </c>
    </row>
    <row r="343" spans="1:14" x14ac:dyDescent="0.25">
      <c r="A343" t="s">
        <v>689</v>
      </c>
      <c r="B343" t="s">
        <v>11</v>
      </c>
      <c r="C343">
        <v>36</v>
      </c>
      <c r="D343" t="s">
        <v>28</v>
      </c>
      <c r="E343" t="s">
        <v>50</v>
      </c>
      <c r="F343" t="s">
        <v>30</v>
      </c>
      <c r="G343">
        <v>869196</v>
      </c>
      <c r="H343">
        <v>23.71</v>
      </c>
      <c r="I343">
        <v>35.85</v>
      </c>
      <c r="J343" s="1">
        <v>44287</v>
      </c>
      <c r="K343">
        <v>173</v>
      </c>
      <c r="L343">
        <v>5.4794520547945212E-4</v>
      </c>
      <c r="M343">
        <v>476.27178082191784</v>
      </c>
      <c r="N343">
        <v>82395.018082191789</v>
      </c>
    </row>
    <row r="344" spans="1:14" x14ac:dyDescent="0.25">
      <c r="A344" t="s">
        <v>691</v>
      </c>
      <c r="B344" t="s">
        <v>17</v>
      </c>
      <c r="C344">
        <v>34</v>
      </c>
      <c r="D344" t="s">
        <v>46</v>
      </c>
      <c r="E344" t="s">
        <v>29</v>
      </c>
      <c r="F344" t="s">
        <v>47</v>
      </c>
      <c r="G344">
        <v>3342471</v>
      </c>
      <c r="H344">
        <v>23.81</v>
      </c>
      <c r="I344">
        <v>16.89</v>
      </c>
      <c r="J344" s="1">
        <v>44592</v>
      </c>
      <c r="K344">
        <v>50</v>
      </c>
      <c r="L344">
        <v>5.4794520547945212E-4</v>
      </c>
      <c r="M344">
        <v>1831.4909589041099</v>
      </c>
      <c r="N344">
        <v>91574.547945205501</v>
      </c>
    </row>
    <row r="345" spans="1:14" x14ac:dyDescent="0.25">
      <c r="A345" t="s">
        <v>693</v>
      </c>
      <c r="B345" t="s">
        <v>17</v>
      </c>
      <c r="C345">
        <v>31</v>
      </c>
      <c r="D345" t="s">
        <v>28</v>
      </c>
      <c r="E345" t="s">
        <v>57</v>
      </c>
      <c r="F345" t="s">
        <v>41</v>
      </c>
      <c r="G345">
        <v>3702137</v>
      </c>
      <c r="H345">
        <v>16.989999999999998</v>
      </c>
      <c r="I345">
        <v>21.34</v>
      </c>
      <c r="J345" s="1">
        <v>43988</v>
      </c>
      <c r="K345">
        <v>286</v>
      </c>
      <c r="L345">
        <v>5.4794520547945212E-4</v>
      </c>
      <c r="M345">
        <v>2028.5682191780825</v>
      </c>
      <c r="N345">
        <v>580170.51068493153</v>
      </c>
    </row>
    <row r="346" spans="1:14" x14ac:dyDescent="0.25">
      <c r="A346" t="s">
        <v>695</v>
      </c>
      <c r="B346" t="s">
        <v>17</v>
      </c>
      <c r="C346">
        <v>51</v>
      </c>
      <c r="D346" t="s">
        <v>46</v>
      </c>
      <c r="E346" t="s">
        <v>50</v>
      </c>
      <c r="F346" t="s">
        <v>14</v>
      </c>
      <c r="G346">
        <v>3864851</v>
      </c>
      <c r="H346">
        <v>31.77</v>
      </c>
      <c r="I346">
        <v>32.299999999999997</v>
      </c>
      <c r="J346" s="1">
        <v>44369</v>
      </c>
      <c r="K346">
        <v>165</v>
      </c>
      <c r="L346">
        <v>5.4794520547945212E-4</v>
      </c>
      <c r="M346">
        <v>2117.7265753424658</v>
      </c>
      <c r="N346">
        <v>349424.88493150688</v>
      </c>
    </row>
    <row r="347" spans="1:14" x14ac:dyDescent="0.25">
      <c r="A347" t="s">
        <v>697</v>
      </c>
      <c r="B347" t="s">
        <v>11</v>
      </c>
      <c r="C347">
        <v>33</v>
      </c>
      <c r="D347" t="s">
        <v>38</v>
      </c>
      <c r="E347" t="s">
        <v>13</v>
      </c>
      <c r="F347" t="s">
        <v>41</v>
      </c>
      <c r="G347">
        <v>3547505</v>
      </c>
      <c r="H347">
        <v>9.4</v>
      </c>
      <c r="I347">
        <v>27.97</v>
      </c>
      <c r="J347" s="1">
        <v>43422</v>
      </c>
      <c r="K347">
        <v>217</v>
      </c>
      <c r="L347">
        <v>5.4794520547945212E-4</v>
      </c>
      <c r="M347">
        <v>1943.8383561643839</v>
      </c>
      <c r="N347">
        <v>421812.92328767129</v>
      </c>
    </row>
    <row r="348" spans="1:14" x14ac:dyDescent="0.25">
      <c r="A348" t="s">
        <v>699</v>
      </c>
      <c r="B348" t="s">
        <v>17</v>
      </c>
      <c r="C348">
        <v>36</v>
      </c>
      <c r="D348" t="s">
        <v>38</v>
      </c>
      <c r="E348" t="s">
        <v>23</v>
      </c>
      <c r="F348" t="s">
        <v>14</v>
      </c>
      <c r="G348">
        <v>3404617</v>
      </c>
      <c r="H348">
        <v>8.42</v>
      </c>
      <c r="I348">
        <v>24.03</v>
      </c>
      <c r="J348" s="1">
        <v>44750</v>
      </c>
      <c r="K348">
        <v>42</v>
      </c>
      <c r="L348">
        <v>5.4794520547945212E-4</v>
      </c>
      <c r="M348">
        <v>1865.5435616438358</v>
      </c>
      <c r="N348">
        <v>78352.82958904111</v>
      </c>
    </row>
    <row r="349" spans="1:14" x14ac:dyDescent="0.25">
      <c r="A349" t="s">
        <v>701</v>
      </c>
      <c r="B349" t="s">
        <v>17</v>
      </c>
      <c r="C349">
        <v>27</v>
      </c>
      <c r="D349" t="s">
        <v>18</v>
      </c>
      <c r="E349" t="s">
        <v>50</v>
      </c>
      <c r="F349" t="s">
        <v>41</v>
      </c>
      <c r="G349">
        <v>2433496</v>
      </c>
      <c r="H349">
        <v>19.93</v>
      </c>
      <c r="I349">
        <v>28.48</v>
      </c>
      <c r="J349" s="1">
        <v>44020</v>
      </c>
      <c r="K349">
        <v>288</v>
      </c>
      <c r="L349">
        <v>5.4794520547945212E-4</v>
      </c>
      <c r="M349">
        <v>1333.4224657534248</v>
      </c>
      <c r="N349">
        <v>384025.67013698636</v>
      </c>
    </row>
    <row r="350" spans="1:14" x14ac:dyDescent="0.25">
      <c r="A350" t="s">
        <v>703</v>
      </c>
      <c r="B350" t="s">
        <v>11</v>
      </c>
      <c r="C350">
        <v>27</v>
      </c>
      <c r="D350" t="s">
        <v>46</v>
      </c>
      <c r="E350" t="s">
        <v>19</v>
      </c>
      <c r="F350" t="s">
        <v>20</v>
      </c>
      <c r="G350">
        <v>3517842</v>
      </c>
      <c r="H350">
        <v>20.16</v>
      </c>
      <c r="I350">
        <v>7.36</v>
      </c>
      <c r="J350" s="1">
        <v>43866</v>
      </c>
      <c r="K350">
        <v>330</v>
      </c>
      <c r="L350">
        <v>5.4794520547945212E-4</v>
      </c>
      <c r="M350">
        <v>1927.5846575342468</v>
      </c>
      <c r="N350">
        <v>636102.93698630144</v>
      </c>
    </row>
    <row r="351" spans="1:14" x14ac:dyDescent="0.25">
      <c r="A351" t="s">
        <v>705</v>
      </c>
      <c r="B351" t="s">
        <v>17</v>
      </c>
      <c r="C351">
        <v>40</v>
      </c>
      <c r="D351" t="s">
        <v>12</v>
      </c>
      <c r="E351" t="s">
        <v>23</v>
      </c>
      <c r="F351" t="s">
        <v>14</v>
      </c>
      <c r="G351">
        <v>2989344</v>
      </c>
      <c r="H351">
        <v>17.57</v>
      </c>
      <c r="I351">
        <v>12.5</v>
      </c>
      <c r="J351" s="1">
        <v>45148</v>
      </c>
      <c r="K351">
        <v>200</v>
      </c>
      <c r="L351">
        <v>5.4794520547945212E-4</v>
      </c>
      <c r="M351">
        <v>1637.9967123287674</v>
      </c>
      <c r="N351">
        <v>327599.34246575349</v>
      </c>
    </row>
    <row r="352" spans="1:14" x14ac:dyDescent="0.25">
      <c r="A352" t="s">
        <v>707</v>
      </c>
      <c r="B352" t="s">
        <v>11</v>
      </c>
      <c r="C352">
        <v>28</v>
      </c>
      <c r="D352" t="s">
        <v>18</v>
      </c>
      <c r="E352" t="s">
        <v>23</v>
      </c>
      <c r="F352" t="s">
        <v>47</v>
      </c>
      <c r="G352">
        <v>4178987</v>
      </c>
      <c r="H352">
        <v>15.69</v>
      </c>
      <c r="I352">
        <v>33.58</v>
      </c>
      <c r="J352" s="1">
        <v>45212</v>
      </c>
      <c r="K352">
        <v>362</v>
      </c>
      <c r="L352">
        <v>5.4794520547945212E-4</v>
      </c>
      <c r="M352">
        <v>2289.8558904109591</v>
      </c>
      <c r="N352">
        <v>828927.83232876717</v>
      </c>
    </row>
    <row r="353" spans="1:14" x14ac:dyDescent="0.25">
      <c r="A353" t="s">
        <v>709</v>
      </c>
      <c r="B353" t="s">
        <v>11</v>
      </c>
      <c r="C353">
        <v>44</v>
      </c>
      <c r="D353" t="s">
        <v>38</v>
      </c>
      <c r="E353" t="s">
        <v>57</v>
      </c>
      <c r="F353" t="s">
        <v>35</v>
      </c>
      <c r="G353">
        <v>1193481</v>
      </c>
      <c r="H353">
        <v>6.04</v>
      </c>
      <c r="I353">
        <v>19.48</v>
      </c>
      <c r="J353" s="1">
        <v>44234</v>
      </c>
      <c r="K353">
        <v>181</v>
      </c>
      <c r="L353">
        <v>5.4794520547945212E-4</v>
      </c>
      <c r="M353">
        <v>653.96219178082197</v>
      </c>
      <c r="N353">
        <v>118367.15671232878</v>
      </c>
    </row>
    <row r="354" spans="1:14" x14ac:dyDescent="0.25">
      <c r="A354" t="s">
        <v>711</v>
      </c>
      <c r="B354" t="s">
        <v>11</v>
      </c>
      <c r="C354">
        <v>46</v>
      </c>
      <c r="D354" t="s">
        <v>46</v>
      </c>
      <c r="E354" t="s">
        <v>13</v>
      </c>
      <c r="F354" t="s">
        <v>41</v>
      </c>
      <c r="G354">
        <v>1558610</v>
      </c>
      <c r="H354">
        <v>5.41</v>
      </c>
      <c r="I354">
        <v>44.41</v>
      </c>
      <c r="J354" s="1">
        <v>43956</v>
      </c>
      <c r="K354">
        <v>33</v>
      </c>
      <c r="L354">
        <v>5.4794520547945212E-4</v>
      </c>
      <c r="M354">
        <v>854.03287671232886</v>
      </c>
      <c r="N354">
        <v>28183.084931506852</v>
      </c>
    </row>
    <row r="355" spans="1:14" x14ac:dyDescent="0.25">
      <c r="A355" t="s">
        <v>713</v>
      </c>
      <c r="B355" t="s">
        <v>11</v>
      </c>
      <c r="C355">
        <v>24</v>
      </c>
      <c r="D355" t="s">
        <v>46</v>
      </c>
      <c r="E355" t="s">
        <v>50</v>
      </c>
      <c r="F355" t="s">
        <v>47</v>
      </c>
      <c r="G355">
        <v>3003878</v>
      </c>
      <c r="H355">
        <v>24.44</v>
      </c>
      <c r="I355">
        <v>-1.1100000000000001</v>
      </c>
      <c r="J355" s="1">
        <v>44196</v>
      </c>
      <c r="K355">
        <v>341</v>
      </c>
      <c r="L355">
        <v>5.4794520547945212E-4</v>
      </c>
      <c r="M355">
        <v>1645.9605479452057</v>
      </c>
      <c r="N355">
        <v>561272.54684931517</v>
      </c>
    </row>
    <row r="356" spans="1:14" x14ac:dyDescent="0.25">
      <c r="A356" t="s">
        <v>715</v>
      </c>
      <c r="B356" t="s">
        <v>17</v>
      </c>
      <c r="C356">
        <v>22</v>
      </c>
      <c r="D356" t="s">
        <v>12</v>
      </c>
      <c r="E356" t="s">
        <v>29</v>
      </c>
      <c r="F356" t="s">
        <v>47</v>
      </c>
      <c r="G356">
        <v>506337</v>
      </c>
      <c r="H356">
        <v>11.79</v>
      </c>
      <c r="I356">
        <v>32.58</v>
      </c>
      <c r="J356" s="1">
        <v>43551</v>
      </c>
      <c r="K356">
        <v>90</v>
      </c>
      <c r="L356">
        <v>5.4794520547945212E-4</v>
      </c>
      <c r="M356">
        <v>277.44493150684934</v>
      </c>
      <c r="N356">
        <v>24970.043835616441</v>
      </c>
    </row>
    <row r="357" spans="1:14" x14ac:dyDescent="0.25">
      <c r="A357" t="s">
        <v>716</v>
      </c>
      <c r="B357" t="s">
        <v>17</v>
      </c>
      <c r="C357">
        <v>57</v>
      </c>
      <c r="D357" t="s">
        <v>28</v>
      </c>
      <c r="E357" t="s">
        <v>57</v>
      </c>
      <c r="F357" t="s">
        <v>14</v>
      </c>
      <c r="G357">
        <v>2982519</v>
      </c>
      <c r="H357">
        <v>30.84</v>
      </c>
      <c r="I357">
        <v>12.99</v>
      </c>
      <c r="J357" s="1">
        <v>44282</v>
      </c>
      <c r="K357">
        <v>128</v>
      </c>
      <c r="L357">
        <v>5.4794520547945212E-4</v>
      </c>
      <c r="M357">
        <v>1634.25698630137</v>
      </c>
      <c r="N357">
        <v>209184.89424657536</v>
      </c>
    </row>
    <row r="358" spans="1:14" x14ac:dyDescent="0.25">
      <c r="A358" t="s">
        <v>718</v>
      </c>
      <c r="B358" t="s">
        <v>17</v>
      </c>
      <c r="C358">
        <v>32</v>
      </c>
      <c r="D358" t="s">
        <v>18</v>
      </c>
      <c r="E358" t="s">
        <v>23</v>
      </c>
      <c r="F358" t="s">
        <v>35</v>
      </c>
      <c r="G358">
        <v>629343</v>
      </c>
      <c r="H358">
        <v>19.09</v>
      </c>
      <c r="I358">
        <v>42.13</v>
      </c>
      <c r="J358" s="1">
        <v>45260</v>
      </c>
      <c r="K358">
        <v>310</v>
      </c>
      <c r="L358">
        <v>5.4794520547945212E-4</v>
      </c>
      <c r="M358">
        <v>344.84547945205486</v>
      </c>
      <c r="N358">
        <v>106902.09863013701</v>
      </c>
    </row>
    <row r="359" spans="1:14" x14ac:dyDescent="0.25">
      <c r="A359" t="s">
        <v>720</v>
      </c>
      <c r="B359" t="s">
        <v>11</v>
      </c>
      <c r="C359">
        <v>47</v>
      </c>
      <c r="D359" t="s">
        <v>38</v>
      </c>
      <c r="E359" t="s">
        <v>23</v>
      </c>
      <c r="F359" t="s">
        <v>41</v>
      </c>
      <c r="G359">
        <v>2515529</v>
      </c>
      <c r="H359">
        <v>8.32</v>
      </c>
      <c r="I359">
        <v>16.97</v>
      </c>
      <c r="J359" s="1">
        <v>45083</v>
      </c>
      <c r="K359">
        <v>361</v>
      </c>
      <c r="L359">
        <v>5.4794520547945212E-4</v>
      </c>
      <c r="M359">
        <v>1378.3720547945206</v>
      </c>
      <c r="N359">
        <v>497592.31178082194</v>
      </c>
    </row>
    <row r="360" spans="1:14" x14ac:dyDescent="0.25">
      <c r="A360" t="s">
        <v>722</v>
      </c>
      <c r="B360" t="s">
        <v>11</v>
      </c>
      <c r="C360">
        <v>45</v>
      </c>
      <c r="D360" t="s">
        <v>46</v>
      </c>
      <c r="E360" t="s">
        <v>57</v>
      </c>
      <c r="F360" t="s">
        <v>30</v>
      </c>
      <c r="G360">
        <v>1116056</v>
      </c>
      <c r="H360">
        <v>32.14</v>
      </c>
      <c r="I360">
        <v>19.100000000000001</v>
      </c>
      <c r="J360" s="1">
        <v>45332</v>
      </c>
      <c r="K360">
        <v>144</v>
      </c>
      <c r="L360">
        <v>5.4794520547945212E-4</v>
      </c>
      <c r="M360">
        <v>611.53753424657543</v>
      </c>
      <c r="N360">
        <v>88061.40493150687</v>
      </c>
    </row>
    <row r="361" spans="1:14" x14ac:dyDescent="0.25">
      <c r="A361" t="s">
        <v>724</v>
      </c>
      <c r="B361" t="s">
        <v>17</v>
      </c>
      <c r="C361">
        <v>39</v>
      </c>
      <c r="D361" t="s">
        <v>18</v>
      </c>
      <c r="E361" t="s">
        <v>13</v>
      </c>
      <c r="F361" t="s">
        <v>41</v>
      </c>
      <c r="G361">
        <v>871456</v>
      </c>
      <c r="H361">
        <v>20.51</v>
      </c>
      <c r="I361">
        <v>35.44</v>
      </c>
      <c r="J361" s="1">
        <v>44144</v>
      </c>
      <c r="K361">
        <v>39</v>
      </c>
      <c r="L361">
        <v>5.4794520547945212E-4</v>
      </c>
      <c r="M361">
        <v>477.5101369863014</v>
      </c>
      <c r="N361">
        <v>18622.895342465756</v>
      </c>
    </row>
    <row r="362" spans="1:14" x14ac:dyDescent="0.25">
      <c r="A362" t="s">
        <v>726</v>
      </c>
      <c r="B362" t="s">
        <v>17</v>
      </c>
      <c r="C362">
        <v>27</v>
      </c>
      <c r="D362" t="s">
        <v>12</v>
      </c>
      <c r="E362" t="s">
        <v>23</v>
      </c>
      <c r="F362" t="s">
        <v>30</v>
      </c>
      <c r="G362">
        <v>4088569</v>
      </c>
      <c r="H362">
        <v>18.420000000000002</v>
      </c>
      <c r="I362">
        <v>3.33</v>
      </c>
      <c r="J362" s="1">
        <v>43634</v>
      </c>
      <c r="K362">
        <v>343</v>
      </c>
      <c r="L362">
        <v>5.4794520547945212E-4</v>
      </c>
      <c r="M362">
        <v>2240.3117808219181</v>
      </c>
      <c r="N362">
        <v>768426.94082191796</v>
      </c>
    </row>
    <row r="363" spans="1:14" x14ac:dyDescent="0.25">
      <c r="A363" t="s">
        <v>728</v>
      </c>
      <c r="B363" t="s">
        <v>17</v>
      </c>
      <c r="C363">
        <v>25</v>
      </c>
      <c r="D363" t="s">
        <v>46</v>
      </c>
      <c r="E363" t="s">
        <v>13</v>
      </c>
      <c r="F363" t="s">
        <v>14</v>
      </c>
      <c r="G363">
        <v>108188</v>
      </c>
      <c r="H363">
        <v>6.89</v>
      </c>
      <c r="I363">
        <v>16.98</v>
      </c>
      <c r="J363" s="1">
        <v>44976</v>
      </c>
      <c r="K363">
        <v>329</v>
      </c>
      <c r="L363">
        <v>5.4794520547945212E-4</v>
      </c>
      <c r="M363">
        <v>59.281095890410967</v>
      </c>
      <c r="N363">
        <v>19503.480547945208</v>
      </c>
    </row>
    <row r="364" spans="1:14" x14ac:dyDescent="0.25">
      <c r="A364" t="s">
        <v>730</v>
      </c>
      <c r="B364" t="s">
        <v>11</v>
      </c>
      <c r="C364">
        <v>45</v>
      </c>
      <c r="D364" t="s">
        <v>38</v>
      </c>
      <c r="E364" t="s">
        <v>19</v>
      </c>
      <c r="F364" t="s">
        <v>30</v>
      </c>
      <c r="G364">
        <v>2706336</v>
      </c>
      <c r="H364">
        <v>34.57</v>
      </c>
      <c r="I364">
        <v>25.02</v>
      </c>
      <c r="J364" s="1">
        <v>43181</v>
      </c>
      <c r="K364">
        <v>263</v>
      </c>
      <c r="L364">
        <v>5.4794520547945212E-4</v>
      </c>
      <c r="M364">
        <v>1482.9238356164385</v>
      </c>
      <c r="N364">
        <v>390008.96876712336</v>
      </c>
    </row>
    <row r="365" spans="1:14" x14ac:dyDescent="0.25">
      <c r="A365" t="s">
        <v>731</v>
      </c>
      <c r="B365" t="s">
        <v>17</v>
      </c>
      <c r="C365">
        <v>60</v>
      </c>
      <c r="D365" t="s">
        <v>28</v>
      </c>
      <c r="E365" t="s">
        <v>29</v>
      </c>
      <c r="F365" t="s">
        <v>47</v>
      </c>
      <c r="G365">
        <v>686881</v>
      </c>
      <c r="H365">
        <v>12.07</v>
      </c>
      <c r="I365">
        <v>-6.48</v>
      </c>
      <c r="J365" s="1">
        <v>45348</v>
      </c>
      <c r="K365">
        <v>218</v>
      </c>
      <c r="L365">
        <v>5.4794520547945212E-4</v>
      </c>
      <c r="M365">
        <v>376.37315068493155</v>
      </c>
      <c r="N365">
        <v>82049.346849315072</v>
      </c>
    </row>
    <row r="366" spans="1:14" x14ac:dyDescent="0.25">
      <c r="A366" t="s">
        <v>732</v>
      </c>
      <c r="B366" t="s">
        <v>17</v>
      </c>
      <c r="C366">
        <v>47</v>
      </c>
      <c r="D366" t="s">
        <v>46</v>
      </c>
      <c r="E366" t="s">
        <v>19</v>
      </c>
      <c r="F366" t="s">
        <v>41</v>
      </c>
      <c r="G366">
        <v>1140912</v>
      </c>
      <c r="H366">
        <v>12.89</v>
      </c>
      <c r="I366">
        <v>12.17</v>
      </c>
      <c r="J366" s="1">
        <v>43874</v>
      </c>
      <c r="K366">
        <v>252</v>
      </c>
      <c r="L366">
        <v>5.4794520547945212E-4</v>
      </c>
      <c r="M366">
        <v>625.15726027397272</v>
      </c>
      <c r="N366">
        <v>157539.62958904111</v>
      </c>
    </row>
    <row r="367" spans="1:14" x14ac:dyDescent="0.25">
      <c r="A367" t="s">
        <v>734</v>
      </c>
      <c r="B367" t="s">
        <v>17</v>
      </c>
      <c r="C367">
        <v>49</v>
      </c>
      <c r="D367" t="s">
        <v>18</v>
      </c>
      <c r="E367" t="s">
        <v>29</v>
      </c>
      <c r="F367" t="s">
        <v>35</v>
      </c>
      <c r="G367">
        <v>3441110</v>
      </c>
      <c r="H367">
        <v>31.7</v>
      </c>
      <c r="I367">
        <v>39.5</v>
      </c>
      <c r="J367" s="1">
        <v>45599</v>
      </c>
      <c r="K367">
        <v>230</v>
      </c>
      <c r="L367">
        <v>5.4794520547945212E-4</v>
      </c>
      <c r="M367">
        <v>1885.5397260273976</v>
      </c>
      <c r="N367">
        <v>433674.13698630146</v>
      </c>
    </row>
    <row r="368" spans="1:14" x14ac:dyDescent="0.25">
      <c r="A368" t="s">
        <v>736</v>
      </c>
      <c r="B368" t="s">
        <v>11</v>
      </c>
      <c r="C368">
        <v>23</v>
      </c>
      <c r="D368" t="s">
        <v>18</v>
      </c>
      <c r="E368" t="s">
        <v>29</v>
      </c>
      <c r="F368" t="s">
        <v>35</v>
      </c>
      <c r="G368">
        <v>3767717</v>
      </c>
      <c r="H368">
        <v>23.14</v>
      </c>
      <c r="I368">
        <v>44.95</v>
      </c>
      <c r="J368" s="1">
        <v>44569</v>
      </c>
      <c r="K368">
        <v>176</v>
      </c>
      <c r="L368">
        <v>5.4794520547945212E-4</v>
      </c>
      <c r="M368">
        <v>2064.502465753425</v>
      </c>
      <c r="N368">
        <v>363352.43397260283</v>
      </c>
    </row>
    <row r="369" spans="1:14" x14ac:dyDescent="0.25">
      <c r="A369" t="s">
        <v>737</v>
      </c>
      <c r="B369" t="s">
        <v>17</v>
      </c>
      <c r="C369">
        <v>34</v>
      </c>
      <c r="D369" t="s">
        <v>12</v>
      </c>
      <c r="E369" t="s">
        <v>29</v>
      </c>
      <c r="F369" t="s">
        <v>35</v>
      </c>
      <c r="G369">
        <v>1941413</v>
      </c>
      <c r="H369">
        <v>24.79</v>
      </c>
      <c r="I369">
        <v>7.46</v>
      </c>
      <c r="J369" s="1">
        <v>43557</v>
      </c>
      <c r="K369">
        <v>308</v>
      </c>
      <c r="L369">
        <v>5.4794520547945212E-4</v>
      </c>
      <c r="M369">
        <v>1063.7879452054797</v>
      </c>
      <c r="N369">
        <v>327646.68712328776</v>
      </c>
    </row>
    <row r="370" spans="1:14" x14ac:dyDescent="0.25">
      <c r="A370" t="s">
        <v>739</v>
      </c>
      <c r="B370" t="s">
        <v>17</v>
      </c>
      <c r="C370">
        <v>55</v>
      </c>
      <c r="D370" t="s">
        <v>12</v>
      </c>
      <c r="E370" t="s">
        <v>57</v>
      </c>
      <c r="F370" t="s">
        <v>14</v>
      </c>
      <c r="G370">
        <v>3573454</v>
      </c>
      <c r="H370">
        <v>32.32</v>
      </c>
      <c r="I370">
        <v>5.61</v>
      </c>
      <c r="J370" s="1">
        <v>44165</v>
      </c>
      <c r="K370">
        <v>92</v>
      </c>
      <c r="L370">
        <v>5.4794520547945212E-4</v>
      </c>
      <c r="M370">
        <v>1958.0569863013702</v>
      </c>
      <c r="N370">
        <v>180141.24273972606</v>
      </c>
    </row>
    <row r="371" spans="1:14" x14ac:dyDescent="0.25">
      <c r="A371" t="s">
        <v>741</v>
      </c>
      <c r="B371" t="s">
        <v>11</v>
      </c>
      <c r="C371">
        <v>56</v>
      </c>
      <c r="D371" t="s">
        <v>38</v>
      </c>
      <c r="E371" t="s">
        <v>57</v>
      </c>
      <c r="F371" t="s">
        <v>47</v>
      </c>
      <c r="G371">
        <v>2771545</v>
      </c>
      <c r="H371">
        <v>12.15</v>
      </c>
      <c r="I371">
        <v>39.26</v>
      </c>
      <c r="J371" s="1">
        <v>45293</v>
      </c>
      <c r="K371">
        <v>321</v>
      </c>
      <c r="L371">
        <v>5.4794520547945212E-4</v>
      </c>
      <c r="M371">
        <v>1518.6547945205482</v>
      </c>
      <c r="N371">
        <v>487488.18904109596</v>
      </c>
    </row>
    <row r="372" spans="1:14" x14ac:dyDescent="0.25">
      <c r="A372" t="s">
        <v>743</v>
      </c>
      <c r="B372" t="s">
        <v>17</v>
      </c>
      <c r="C372">
        <v>62</v>
      </c>
      <c r="D372" t="s">
        <v>38</v>
      </c>
      <c r="E372" t="s">
        <v>13</v>
      </c>
      <c r="F372" t="s">
        <v>47</v>
      </c>
      <c r="G372">
        <v>4596930</v>
      </c>
      <c r="H372">
        <v>26.57</v>
      </c>
      <c r="I372">
        <v>-5.94</v>
      </c>
      <c r="J372" s="1">
        <v>45502</v>
      </c>
      <c r="K372">
        <v>295</v>
      </c>
      <c r="L372">
        <v>5.4794520547945212E-4</v>
      </c>
      <c r="M372">
        <v>2518.8657534246577</v>
      </c>
      <c r="N372">
        <v>743065.39726027404</v>
      </c>
    </row>
    <row r="373" spans="1:14" x14ac:dyDescent="0.25">
      <c r="A373" t="s">
        <v>745</v>
      </c>
      <c r="B373" t="s">
        <v>11</v>
      </c>
      <c r="C373">
        <v>27</v>
      </c>
      <c r="D373" t="s">
        <v>18</v>
      </c>
      <c r="E373" t="s">
        <v>57</v>
      </c>
      <c r="F373" t="s">
        <v>47</v>
      </c>
      <c r="G373">
        <v>1448830</v>
      </c>
      <c r="H373">
        <v>28.82</v>
      </c>
      <c r="I373">
        <v>21.66</v>
      </c>
      <c r="J373" s="1">
        <v>44857</v>
      </c>
      <c r="K373">
        <v>118</v>
      </c>
      <c r="L373">
        <v>5.4794520547945212E-4</v>
      </c>
      <c r="M373">
        <v>793.87945205479457</v>
      </c>
      <c r="N373">
        <v>93677.775342465757</v>
      </c>
    </row>
    <row r="374" spans="1:14" x14ac:dyDescent="0.25">
      <c r="A374" t="s">
        <v>747</v>
      </c>
      <c r="B374" t="s">
        <v>11</v>
      </c>
      <c r="C374">
        <v>38</v>
      </c>
      <c r="D374" t="s">
        <v>28</v>
      </c>
      <c r="E374" t="s">
        <v>19</v>
      </c>
      <c r="F374" t="s">
        <v>47</v>
      </c>
      <c r="G374">
        <v>75855</v>
      </c>
      <c r="H374">
        <v>25.06</v>
      </c>
      <c r="I374">
        <v>23.93</v>
      </c>
      <c r="J374" s="1">
        <v>45580</v>
      </c>
      <c r="K374">
        <v>35</v>
      </c>
      <c r="L374">
        <v>5.4794520547945212E-4</v>
      </c>
      <c r="M374">
        <v>41.564383561643844</v>
      </c>
      <c r="N374">
        <v>1454.7534246575344</v>
      </c>
    </row>
    <row r="375" spans="1:14" x14ac:dyDescent="0.25">
      <c r="A375" t="s">
        <v>749</v>
      </c>
      <c r="B375" t="s">
        <v>17</v>
      </c>
      <c r="C375">
        <v>42</v>
      </c>
      <c r="D375" t="s">
        <v>18</v>
      </c>
      <c r="E375" t="s">
        <v>29</v>
      </c>
      <c r="F375" t="s">
        <v>30</v>
      </c>
      <c r="G375">
        <v>3248777</v>
      </c>
      <c r="H375">
        <v>17.170000000000002</v>
      </c>
      <c r="I375">
        <v>6.57</v>
      </c>
      <c r="J375" s="1">
        <v>44130</v>
      </c>
      <c r="K375">
        <v>280</v>
      </c>
      <c r="L375">
        <v>5.4794520547945212E-4</v>
      </c>
      <c r="M375">
        <v>1780.151780821918</v>
      </c>
      <c r="N375">
        <v>498442.49863013707</v>
      </c>
    </row>
    <row r="376" spans="1:14" x14ac:dyDescent="0.25">
      <c r="A376" t="s">
        <v>751</v>
      </c>
      <c r="B376" t="s">
        <v>17</v>
      </c>
      <c r="C376">
        <v>45</v>
      </c>
      <c r="D376" t="s">
        <v>18</v>
      </c>
      <c r="E376" t="s">
        <v>29</v>
      </c>
      <c r="F376" t="s">
        <v>47</v>
      </c>
      <c r="G376">
        <v>3224214</v>
      </c>
      <c r="H376">
        <v>31.97</v>
      </c>
      <c r="I376">
        <v>21.03</v>
      </c>
      <c r="J376" s="1">
        <v>43197</v>
      </c>
      <c r="K376">
        <v>209</v>
      </c>
      <c r="L376">
        <v>5.4794520547945212E-4</v>
      </c>
      <c r="M376">
        <v>1766.6926027397262</v>
      </c>
      <c r="N376">
        <v>369238.75397260278</v>
      </c>
    </row>
    <row r="377" spans="1:14" x14ac:dyDescent="0.25">
      <c r="A377" t="s">
        <v>752</v>
      </c>
      <c r="B377" t="s">
        <v>11</v>
      </c>
      <c r="C377">
        <v>63</v>
      </c>
      <c r="D377" t="s">
        <v>18</v>
      </c>
      <c r="E377" t="s">
        <v>23</v>
      </c>
      <c r="F377" t="s">
        <v>14</v>
      </c>
      <c r="G377">
        <v>2622078</v>
      </c>
      <c r="H377">
        <v>26.95</v>
      </c>
      <c r="I377">
        <v>34.07</v>
      </c>
      <c r="J377" s="1">
        <v>44675</v>
      </c>
      <c r="K377">
        <v>351</v>
      </c>
      <c r="L377">
        <v>5.4794520547945212E-4</v>
      </c>
      <c r="M377">
        <v>1436.7550684931509</v>
      </c>
      <c r="N377">
        <v>504301.02904109599</v>
      </c>
    </row>
    <row r="378" spans="1:14" x14ac:dyDescent="0.25">
      <c r="A378" t="s">
        <v>754</v>
      </c>
      <c r="B378" t="s">
        <v>17</v>
      </c>
      <c r="C378">
        <v>24</v>
      </c>
      <c r="D378" t="s">
        <v>28</v>
      </c>
      <c r="E378" t="s">
        <v>19</v>
      </c>
      <c r="F378" t="s">
        <v>14</v>
      </c>
      <c r="G378">
        <v>4675994</v>
      </c>
      <c r="H378">
        <v>31.42</v>
      </c>
      <c r="I378">
        <v>11.08</v>
      </c>
      <c r="J378" s="1">
        <v>44954</v>
      </c>
      <c r="K378">
        <v>91</v>
      </c>
      <c r="L378">
        <v>5.4794520547945212E-4</v>
      </c>
      <c r="M378">
        <v>2562.1884931506852</v>
      </c>
      <c r="N378">
        <v>233159.15287671235</v>
      </c>
    </row>
    <row r="379" spans="1:14" x14ac:dyDescent="0.25">
      <c r="A379" t="s">
        <v>756</v>
      </c>
      <c r="B379" t="s">
        <v>11</v>
      </c>
      <c r="C379">
        <v>42</v>
      </c>
      <c r="D379" t="s">
        <v>18</v>
      </c>
      <c r="E379" t="s">
        <v>57</v>
      </c>
      <c r="F379" t="s">
        <v>35</v>
      </c>
      <c r="G379">
        <v>2204170</v>
      </c>
      <c r="H379">
        <v>31.91</v>
      </c>
      <c r="I379">
        <v>26</v>
      </c>
      <c r="J379" s="1">
        <v>45162</v>
      </c>
      <c r="K379">
        <v>200</v>
      </c>
      <c r="L379">
        <v>5.4794520547945212E-4</v>
      </c>
      <c r="M379">
        <v>1207.7643835616441</v>
      </c>
      <c r="N379">
        <v>241552.87671232881</v>
      </c>
    </row>
    <row r="380" spans="1:14" x14ac:dyDescent="0.25">
      <c r="A380" t="s">
        <v>757</v>
      </c>
      <c r="B380" t="s">
        <v>11</v>
      </c>
      <c r="C380">
        <v>57</v>
      </c>
      <c r="D380" t="s">
        <v>28</v>
      </c>
      <c r="E380" t="s">
        <v>23</v>
      </c>
      <c r="F380" t="s">
        <v>41</v>
      </c>
      <c r="G380">
        <v>3885459</v>
      </c>
      <c r="H380">
        <v>9.3699999999999992</v>
      </c>
      <c r="I380">
        <v>0.83</v>
      </c>
      <c r="J380" s="1">
        <v>44516</v>
      </c>
      <c r="K380">
        <v>327</v>
      </c>
      <c r="L380">
        <v>5.4794520547945212E-4</v>
      </c>
      <c r="M380">
        <v>2129.0186301369868</v>
      </c>
      <c r="N380">
        <v>696189.09205479466</v>
      </c>
    </row>
    <row r="381" spans="1:14" x14ac:dyDescent="0.25">
      <c r="A381" t="s">
        <v>759</v>
      </c>
      <c r="B381" t="s">
        <v>11</v>
      </c>
      <c r="C381">
        <v>52</v>
      </c>
      <c r="D381" t="s">
        <v>18</v>
      </c>
      <c r="E381" t="s">
        <v>23</v>
      </c>
      <c r="F381" t="s">
        <v>35</v>
      </c>
      <c r="G381">
        <v>4551738</v>
      </c>
      <c r="H381">
        <v>30.84</v>
      </c>
      <c r="I381">
        <v>29.79</v>
      </c>
      <c r="J381" s="1">
        <v>43686</v>
      </c>
      <c r="K381">
        <v>111</v>
      </c>
      <c r="L381">
        <v>5.4794520547945212E-4</v>
      </c>
      <c r="M381">
        <v>2494.1030136986305</v>
      </c>
      <c r="N381">
        <v>276845.43452054798</v>
      </c>
    </row>
    <row r="382" spans="1:14" x14ac:dyDescent="0.25">
      <c r="A382" t="s">
        <v>761</v>
      </c>
      <c r="B382" t="s">
        <v>11</v>
      </c>
      <c r="C382">
        <v>21</v>
      </c>
      <c r="D382" t="s">
        <v>12</v>
      </c>
      <c r="E382" t="s">
        <v>29</v>
      </c>
      <c r="F382" t="s">
        <v>30</v>
      </c>
      <c r="G382">
        <v>280943</v>
      </c>
      <c r="H382">
        <v>20.260000000000002</v>
      </c>
      <c r="I382">
        <v>-4.41</v>
      </c>
      <c r="J382" s="1">
        <v>45187</v>
      </c>
      <c r="K382">
        <v>235</v>
      </c>
      <c r="L382">
        <v>5.4794520547945212E-4</v>
      </c>
      <c r="M382">
        <v>153.9413698630137</v>
      </c>
      <c r="N382">
        <v>36176.221917808223</v>
      </c>
    </row>
    <row r="383" spans="1:14" x14ac:dyDescent="0.25">
      <c r="A383" t="s">
        <v>763</v>
      </c>
      <c r="B383" t="s">
        <v>17</v>
      </c>
      <c r="C383">
        <v>61</v>
      </c>
      <c r="D383" t="s">
        <v>28</v>
      </c>
      <c r="E383" t="s">
        <v>19</v>
      </c>
      <c r="F383" t="s">
        <v>20</v>
      </c>
      <c r="G383">
        <v>3401455</v>
      </c>
      <c r="H383">
        <v>18.11</v>
      </c>
      <c r="I383">
        <v>25</v>
      </c>
      <c r="J383" s="1">
        <v>43762</v>
      </c>
      <c r="K383">
        <v>329</v>
      </c>
      <c r="L383">
        <v>5.4794520547945212E-4</v>
      </c>
      <c r="M383">
        <v>1863.8109589041098</v>
      </c>
      <c r="N383">
        <v>613193.80547945213</v>
      </c>
    </row>
    <row r="384" spans="1:14" x14ac:dyDescent="0.25">
      <c r="A384" t="s">
        <v>765</v>
      </c>
      <c r="B384" t="s">
        <v>11</v>
      </c>
      <c r="C384">
        <v>34</v>
      </c>
      <c r="D384" t="s">
        <v>12</v>
      </c>
      <c r="E384" t="s">
        <v>13</v>
      </c>
      <c r="F384" t="s">
        <v>47</v>
      </c>
      <c r="G384">
        <v>2357894</v>
      </c>
      <c r="H384">
        <v>22.87</v>
      </c>
      <c r="I384">
        <v>42.19</v>
      </c>
      <c r="J384" s="1">
        <v>43663</v>
      </c>
      <c r="K384">
        <v>262</v>
      </c>
      <c r="L384">
        <v>5.4794520547945212E-4</v>
      </c>
      <c r="M384">
        <v>1291.9967123287672</v>
      </c>
      <c r="N384">
        <v>338503.13863013702</v>
      </c>
    </row>
    <row r="385" spans="1:14" x14ac:dyDescent="0.25">
      <c r="A385" t="s">
        <v>767</v>
      </c>
      <c r="B385" t="s">
        <v>11</v>
      </c>
      <c r="C385">
        <v>46</v>
      </c>
      <c r="D385" t="s">
        <v>46</v>
      </c>
      <c r="E385" t="s">
        <v>19</v>
      </c>
      <c r="F385" t="s">
        <v>41</v>
      </c>
      <c r="G385">
        <v>1408149</v>
      </c>
      <c r="H385">
        <v>9.86</v>
      </c>
      <c r="I385">
        <v>10.62</v>
      </c>
      <c r="J385" s="1">
        <v>45066</v>
      </c>
      <c r="K385">
        <v>95</v>
      </c>
      <c r="L385">
        <v>5.4794520547945212E-4</v>
      </c>
      <c r="M385">
        <v>771.58849315068505</v>
      </c>
      <c r="N385">
        <v>73300.906849315084</v>
      </c>
    </row>
    <row r="386" spans="1:14" x14ac:dyDescent="0.25">
      <c r="A386" t="s">
        <v>769</v>
      </c>
      <c r="B386" t="s">
        <v>11</v>
      </c>
      <c r="C386">
        <v>23</v>
      </c>
      <c r="D386" t="s">
        <v>28</v>
      </c>
      <c r="E386" t="s">
        <v>23</v>
      </c>
      <c r="F386" t="s">
        <v>41</v>
      </c>
      <c r="G386">
        <v>2013525</v>
      </c>
      <c r="H386">
        <v>33.86</v>
      </c>
      <c r="I386">
        <v>-9.4499999999999993</v>
      </c>
      <c r="J386" s="1">
        <v>43447</v>
      </c>
      <c r="K386">
        <v>26</v>
      </c>
      <c r="L386">
        <v>5.4794520547945212E-4</v>
      </c>
      <c r="M386">
        <v>1103.3013698630139</v>
      </c>
      <c r="N386">
        <v>28685.835616438359</v>
      </c>
    </row>
    <row r="387" spans="1:14" x14ac:dyDescent="0.25">
      <c r="A387" t="s">
        <v>770</v>
      </c>
      <c r="B387" t="s">
        <v>11</v>
      </c>
      <c r="C387">
        <v>59</v>
      </c>
      <c r="D387" t="s">
        <v>46</v>
      </c>
      <c r="E387" t="s">
        <v>19</v>
      </c>
      <c r="F387" t="s">
        <v>47</v>
      </c>
      <c r="G387">
        <v>2146298</v>
      </c>
      <c r="H387">
        <v>5.24</v>
      </c>
      <c r="I387">
        <v>12.94</v>
      </c>
      <c r="J387" s="1">
        <v>44172</v>
      </c>
      <c r="K387">
        <v>141</v>
      </c>
      <c r="L387">
        <v>5.4794520547945212E-4</v>
      </c>
      <c r="M387">
        <v>1176.0536986301372</v>
      </c>
      <c r="N387">
        <v>165823.57150684934</v>
      </c>
    </row>
    <row r="388" spans="1:14" x14ac:dyDescent="0.25">
      <c r="A388" t="s">
        <v>772</v>
      </c>
      <c r="B388" t="s">
        <v>11</v>
      </c>
      <c r="C388">
        <v>29</v>
      </c>
      <c r="D388" t="s">
        <v>18</v>
      </c>
      <c r="E388" t="s">
        <v>50</v>
      </c>
      <c r="F388" t="s">
        <v>41</v>
      </c>
      <c r="G388">
        <v>2799061</v>
      </c>
      <c r="H388">
        <v>14.41</v>
      </c>
      <c r="I388">
        <v>10.41</v>
      </c>
      <c r="J388" s="1">
        <v>45405</v>
      </c>
      <c r="K388">
        <v>275</v>
      </c>
      <c r="L388">
        <v>5.4794520547945212E-4</v>
      </c>
      <c r="M388">
        <v>1533.7320547945208</v>
      </c>
      <c r="N388">
        <v>421776.31506849319</v>
      </c>
    </row>
    <row r="389" spans="1:14" x14ac:dyDescent="0.25">
      <c r="A389" t="s">
        <v>774</v>
      </c>
      <c r="B389" t="s">
        <v>17</v>
      </c>
      <c r="C389">
        <v>58</v>
      </c>
      <c r="D389" t="s">
        <v>46</v>
      </c>
      <c r="E389" t="s">
        <v>57</v>
      </c>
      <c r="F389" t="s">
        <v>41</v>
      </c>
      <c r="G389">
        <v>1195769</v>
      </c>
      <c r="H389">
        <v>18.27</v>
      </c>
      <c r="I389">
        <v>21.65</v>
      </c>
      <c r="J389" s="1">
        <v>44705</v>
      </c>
      <c r="K389">
        <v>276</v>
      </c>
      <c r="L389">
        <v>5.4794520547945212E-4</v>
      </c>
      <c r="M389">
        <v>655.21589041095899</v>
      </c>
      <c r="N389">
        <v>180839.58575342468</v>
      </c>
    </row>
    <row r="390" spans="1:14" x14ac:dyDescent="0.25">
      <c r="A390" t="s">
        <v>776</v>
      </c>
      <c r="B390" t="s">
        <v>11</v>
      </c>
      <c r="C390">
        <v>42</v>
      </c>
      <c r="D390" t="s">
        <v>12</v>
      </c>
      <c r="E390" t="s">
        <v>23</v>
      </c>
      <c r="F390" t="s">
        <v>35</v>
      </c>
      <c r="G390">
        <v>1830432</v>
      </c>
      <c r="H390">
        <v>30.35</v>
      </c>
      <c r="I390">
        <v>7.65</v>
      </c>
      <c r="J390" s="1">
        <v>44672</v>
      </c>
      <c r="K390">
        <v>232</v>
      </c>
      <c r="L390">
        <v>5.4794520547945212E-4</v>
      </c>
      <c r="M390">
        <v>1002.9764383561645</v>
      </c>
      <c r="N390">
        <v>232690.53369863017</v>
      </c>
    </row>
    <row r="391" spans="1:14" x14ac:dyDescent="0.25">
      <c r="A391" t="s">
        <v>778</v>
      </c>
      <c r="B391" t="s">
        <v>11</v>
      </c>
      <c r="C391">
        <v>61</v>
      </c>
      <c r="D391" t="s">
        <v>38</v>
      </c>
      <c r="E391" t="s">
        <v>13</v>
      </c>
      <c r="F391" t="s">
        <v>47</v>
      </c>
      <c r="G391">
        <v>4099922</v>
      </c>
      <c r="H391">
        <v>27.07</v>
      </c>
      <c r="I391">
        <v>13.3</v>
      </c>
      <c r="J391" s="1">
        <v>45241</v>
      </c>
      <c r="K391">
        <v>331</v>
      </c>
      <c r="L391">
        <v>5.4794520547945212E-4</v>
      </c>
      <c r="M391">
        <v>2246.5326027397264</v>
      </c>
      <c r="N391">
        <v>743602.29150684946</v>
      </c>
    </row>
    <row r="392" spans="1:14" x14ac:dyDescent="0.25">
      <c r="A392" t="s">
        <v>779</v>
      </c>
      <c r="B392" t="s">
        <v>17</v>
      </c>
      <c r="C392">
        <v>62</v>
      </c>
      <c r="D392" t="s">
        <v>46</v>
      </c>
      <c r="E392" t="s">
        <v>19</v>
      </c>
      <c r="F392" t="s">
        <v>20</v>
      </c>
      <c r="G392">
        <v>4428808</v>
      </c>
      <c r="H392">
        <v>12.28</v>
      </c>
      <c r="I392">
        <v>18.02</v>
      </c>
      <c r="J392" s="1">
        <v>45027</v>
      </c>
      <c r="K392">
        <v>80</v>
      </c>
      <c r="L392">
        <v>5.4794520547945212E-4</v>
      </c>
      <c r="M392">
        <v>2426.7441095890413</v>
      </c>
      <c r="N392">
        <v>194139.52876712329</v>
      </c>
    </row>
    <row r="393" spans="1:14" x14ac:dyDescent="0.25">
      <c r="A393" t="s">
        <v>781</v>
      </c>
      <c r="B393" t="s">
        <v>11</v>
      </c>
      <c r="C393">
        <v>54</v>
      </c>
      <c r="D393" t="s">
        <v>12</v>
      </c>
      <c r="E393" t="s">
        <v>50</v>
      </c>
      <c r="F393" t="s">
        <v>47</v>
      </c>
      <c r="G393">
        <v>2552990</v>
      </c>
      <c r="H393">
        <v>7.13</v>
      </c>
      <c r="I393">
        <v>38.19</v>
      </c>
      <c r="J393" s="1">
        <v>43334</v>
      </c>
      <c r="K393">
        <v>243</v>
      </c>
      <c r="L393">
        <v>5.4794520547945212E-4</v>
      </c>
      <c r="M393">
        <v>1398.8986301369864</v>
      </c>
      <c r="N393">
        <v>339932.36712328769</v>
      </c>
    </row>
    <row r="394" spans="1:14" x14ac:dyDescent="0.25">
      <c r="A394" t="s">
        <v>783</v>
      </c>
      <c r="B394" t="s">
        <v>11</v>
      </c>
      <c r="C394">
        <v>43</v>
      </c>
      <c r="D394" t="s">
        <v>12</v>
      </c>
      <c r="E394" t="s">
        <v>13</v>
      </c>
      <c r="F394" t="s">
        <v>14</v>
      </c>
      <c r="G394">
        <v>177094</v>
      </c>
      <c r="H394">
        <v>9.3800000000000008</v>
      </c>
      <c r="I394">
        <v>31.24</v>
      </c>
      <c r="J394" s="1">
        <v>43701</v>
      </c>
      <c r="K394">
        <v>12</v>
      </c>
      <c r="L394">
        <v>5.4794520547945212E-4</v>
      </c>
      <c r="M394">
        <v>97.037808219178089</v>
      </c>
      <c r="N394">
        <v>1164.4536986301371</v>
      </c>
    </row>
    <row r="395" spans="1:14" x14ac:dyDescent="0.25">
      <c r="A395" t="s">
        <v>785</v>
      </c>
      <c r="B395" t="s">
        <v>17</v>
      </c>
      <c r="C395">
        <v>43</v>
      </c>
      <c r="D395" t="s">
        <v>46</v>
      </c>
      <c r="E395" t="s">
        <v>57</v>
      </c>
      <c r="F395" t="s">
        <v>30</v>
      </c>
      <c r="G395">
        <v>3863414</v>
      </c>
      <c r="H395">
        <v>32.04</v>
      </c>
      <c r="I395">
        <v>25.74</v>
      </c>
      <c r="J395" s="1">
        <v>43685</v>
      </c>
      <c r="K395">
        <v>212</v>
      </c>
      <c r="L395">
        <v>5.4794520547945212E-4</v>
      </c>
      <c r="M395">
        <v>2116.939178082192</v>
      </c>
      <c r="N395">
        <v>448791.10575342469</v>
      </c>
    </row>
    <row r="396" spans="1:14" x14ac:dyDescent="0.25">
      <c r="A396" t="s">
        <v>787</v>
      </c>
      <c r="B396" t="s">
        <v>17</v>
      </c>
      <c r="C396">
        <v>28</v>
      </c>
      <c r="D396" t="s">
        <v>28</v>
      </c>
      <c r="E396" t="s">
        <v>57</v>
      </c>
      <c r="F396" t="s">
        <v>47</v>
      </c>
      <c r="G396">
        <v>4693454</v>
      </c>
      <c r="H396">
        <v>12.48</v>
      </c>
      <c r="I396">
        <v>0.33</v>
      </c>
      <c r="J396" s="1">
        <v>45019</v>
      </c>
      <c r="K396">
        <v>214</v>
      </c>
      <c r="L396">
        <v>5.4794520547945212E-4</v>
      </c>
      <c r="M396">
        <v>2571.7556164383564</v>
      </c>
      <c r="N396">
        <v>550355.70191780827</v>
      </c>
    </row>
    <row r="397" spans="1:14" x14ac:dyDescent="0.25">
      <c r="A397" t="s">
        <v>789</v>
      </c>
      <c r="B397" t="s">
        <v>11</v>
      </c>
      <c r="C397">
        <v>39</v>
      </c>
      <c r="D397" t="s">
        <v>18</v>
      </c>
      <c r="E397" t="s">
        <v>13</v>
      </c>
      <c r="F397" t="s">
        <v>35</v>
      </c>
      <c r="G397">
        <v>4041370</v>
      </c>
      <c r="H397">
        <v>21.7</v>
      </c>
      <c r="I397">
        <v>21.21</v>
      </c>
      <c r="J397" s="1">
        <v>43293</v>
      </c>
      <c r="K397">
        <v>339</v>
      </c>
      <c r="L397">
        <v>5.4794520547945212E-4</v>
      </c>
      <c r="M397">
        <v>2214.4493150684934</v>
      </c>
      <c r="N397">
        <v>750698.31780821923</v>
      </c>
    </row>
    <row r="398" spans="1:14" x14ac:dyDescent="0.25">
      <c r="A398" t="s">
        <v>791</v>
      </c>
      <c r="B398" t="s">
        <v>11</v>
      </c>
      <c r="C398">
        <v>34</v>
      </c>
      <c r="D398" t="s">
        <v>28</v>
      </c>
      <c r="E398" t="s">
        <v>29</v>
      </c>
      <c r="F398" t="s">
        <v>20</v>
      </c>
      <c r="G398">
        <v>1550067</v>
      </c>
      <c r="H398">
        <v>26.06</v>
      </c>
      <c r="I398">
        <v>5.13</v>
      </c>
      <c r="J398" s="1">
        <v>45306</v>
      </c>
      <c r="K398">
        <v>119</v>
      </c>
      <c r="L398">
        <v>5.4794520547945212E-4</v>
      </c>
      <c r="M398">
        <v>849.35178082191794</v>
      </c>
      <c r="N398">
        <v>101072.86191780823</v>
      </c>
    </row>
    <row r="399" spans="1:14" x14ac:dyDescent="0.25">
      <c r="A399" t="s">
        <v>793</v>
      </c>
      <c r="B399" t="s">
        <v>11</v>
      </c>
      <c r="C399">
        <v>22</v>
      </c>
      <c r="D399" t="s">
        <v>38</v>
      </c>
      <c r="E399" t="s">
        <v>29</v>
      </c>
      <c r="F399" t="s">
        <v>35</v>
      </c>
      <c r="G399">
        <v>496281</v>
      </c>
      <c r="H399">
        <v>30.39</v>
      </c>
      <c r="I399">
        <v>37.08</v>
      </c>
      <c r="J399" s="1">
        <v>44950</v>
      </c>
      <c r="K399">
        <v>66</v>
      </c>
      <c r="L399">
        <v>5.4794520547945212E-4</v>
      </c>
      <c r="M399">
        <v>271.934794520548</v>
      </c>
      <c r="N399">
        <v>17947.696438356168</v>
      </c>
    </row>
    <row r="400" spans="1:14" x14ac:dyDescent="0.25">
      <c r="A400" t="s">
        <v>795</v>
      </c>
      <c r="B400" t="s">
        <v>11</v>
      </c>
      <c r="C400">
        <v>59</v>
      </c>
      <c r="D400" t="s">
        <v>12</v>
      </c>
      <c r="E400" t="s">
        <v>13</v>
      </c>
      <c r="F400" t="s">
        <v>35</v>
      </c>
      <c r="G400">
        <v>2096975</v>
      </c>
      <c r="H400">
        <v>14.1</v>
      </c>
      <c r="I400">
        <v>28.96</v>
      </c>
      <c r="J400" s="1">
        <v>44922</v>
      </c>
      <c r="K400">
        <v>198</v>
      </c>
      <c r="L400">
        <v>5.4794520547945212E-4</v>
      </c>
      <c r="M400">
        <v>1149.027397260274</v>
      </c>
      <c r="N400">
        <v>227507.42465753425</v>
      </c>
    </row>
    <row r="401" spans="1:14" x14ac:dyDescent="0.25">
      <c r="A401" t="s">
        <v>796</v>
      </c>
      <c r="B401" t="s">
        <v>17</v>
      </c>
      <c r="C401">
        <v>29</v>
      </c>
      <c r="D401" t="s">
        <v>18</v>
      </c>
      <c r="E401" t="s">
        <v>50</v>
      </c>
      <c r="F401" t="s">
        <v>47</v>
      </c>
      <c r="G401">
        <v>1191908</v>
      </c>
      <c r="H401">
        <v>8.41</v>
      </c>
      <c r="I401">
        <v>22.73</v>
      </c>
      <c r="J401" s="1">
        <v>43541</v>
      </c>
      <c r="K401">
        <v>41</v>
      </c>
      <c r="L401">
        <v>5.4794520547945212E-4</v>
      </c>
      <c r="M401">
        <v>653.10027397260285</v>
      </c>
      <c r="N401">
        <v>26777.111232876716</v>
      </c>
    </row>
    <row r="402" spans="1:14" x14ac:dyDescent="0.25">
      <c r="A402" t="s">
        <v>798</v>
      </c>
      <c r="B402" t="s">
        <v>17</v>
      </c>
      <c r="C402">
        <v>54</v>
      </c>
      <c r="D402" t="s">
        <v>12</v>
      </c>
      <c r="E402" t="s">
        <v>29</v>
      </c>
      <c r="F402" t="s">
        <v>35</v>
      </c>
      <c r="G402">
        <v>567392</v>
      </c>
      <c r="H402">
        <v>9.1199999999999992</v>
      </c>
      <c r="I402">
        <v>-0.73</v>
      </c>
      <c r="J402" s="1">
        <v>45003</v>
      </c>
      <c r="K402">
        <v>144</v>
      </c>
      <c r="L402">
        <v>5.4794520547945212E-4</v>
      </c>
      <c r="M402">
        <v>310.89972602739732</v>
      </c>
      <c r="N402">
        <v>44769.560547945213</v>
      </c>
    </row>
    <row r="403" spans="1:14" x14ac:dyDescent="0.25">
      <c r="A403" t="s">
        <v>799</v>
      </c>
      <c r="B403" t="s">
        <v>11</v>
      </c>
      <c r="C403">
        <v>52</v>
      </c>
      <c r="D403" t="s">
        <v>18</v>
      </c>
      <c r="E403" t="s">
        <v>50</v>
      </c>
      <c r="F403" t="s">
        <v>41</v>
      </c>
      <c r="G403">
        <v>2615188</v>
      </c>
      <c r="H403">
        <v>14.16</v>
      </c>
      <c r="I403">
        <v>23.99</v>
      </c>
      <c r="J403" s="1">
        <v>45333</v>
      </c>
      <c r="K403">
        <v>242</v>
      </c>
      <c r="L403">
        <v>5.4794520547945212E-4</v>
      </c>
      <c r="M403">
        <v>1432.9797260273974</v>
      </c>
      <c r="N403">
        <v>346781.09369863017</v>
      </c>
    </row>
    <row r="404" spans="1:14" x14ac:dyDescent="0.25">
      <c r="A404" t="s">
        <v>801</v>
      </c>
      <c r="B404" t="s">
        <v>17</v>
      </c>
      <c r="C404">
        <v>23</v>
      </c>
      <c r="D404" t="s">
        <v>46</v>
      </c>
      <c r="E404" t="s">
        <v>57</v>
      </c>
      <c r="F404" t="s">
        <v>47</v>
      </c>
      <c r="G404">
        <v>1454481</v>
      </c>
      <c r="H404">
        <v>31.09</v>
      </c>
      <c r="I404">
        <v>21.92</v>
      </c>
      <c r="J404" s="1">
        <v>44977</v>
      </c>
      <c r="K404">
        <v>273</v>
      </c>
      <c r="L404">
        <v>5.4794520547945212E-4</v>
      </c>
      <c r="M404">
        <v>796.97589041095898</v>
      </c>
      <c r="N404">
        <v>217574.41808219181</v>
      </c>
    </row>
    <row r="405" spans="1:14" x14ac:dyDescent="0.25">
      <c r="A405" t="s">
        <v>803</v>
      </c>
      <c r="B405" t="s">
        <v>17</v>
      </c>
      <c r="C405">
        <v>27</v>
      </c>
      <c r="D405" t="s">
        <v>38</v>
      </c>
      <c r="E405" t="s">
        <v>50</v>
      </c>
      <c r="F405" t="s">
        <v>14</v>
      </c>
      <c r="G405">
        <v>1804138</v>
      </c>
      <c r="H405">
        <v>24.36</v>
      </c>
      <c r="I405">
        <v>21.12</v>
      </c>
      <c r="J405" s="1">
        <v>45085</v>
      </c>
      <c r="K405">
        <v>65</v>
      </c>
      <c r="L405">
        <v>5.4794520547945212E-4</v>
      </c>
      <c r="M405">
        <v>988.56876712328778</v>
      </c>
      <c r="N405">
        <v>64256.969863013706</v>
      </c>
    </row>
    <row r="406" spans="1:14" x14ac:dyDescent="0.25">
      <c r="A406" t="s">
        <v>805</v>
      </c>
      <c r="B406" t="s">
        <v>17</v>
      </c>
      <c r="C406">
        <v>25</v>
      </c>
      <c r="D406" t="s">
        <v>38</v>
      </c>
      <c r="E406" t="s">
        <v>23</v>
      </c>
      <c r="F406" t="s">
        <v>30</v>
      </c>
      <c r="G406">
        <v>3098118</v>
      </c>
      <c r="H406">
        <v>32.869999999999997</v>
      </c>
      <c r="I406">
        <v>1.42</v>
      </c>
      <c r="J406" s="1">
        <v>44187</v>
      </c>
      <c r="K406">
        <v>336</v>
      </c>
      <c r="L406">
        <v>5.4794520547945212E-4</v>
      </c>
      <c r="M406">
        <v>1697.5989041095893</v>
      </c>
      <c r="N406">
        <v>570393.23178082204</v>
      </c>
    </row>
    <row r="407" spans="1:14" x14ac:dyDescent="0.25">
      <c r="A407" t="s">
        <v>807</v>
      </c>
      <c r="B407" t="s">
        <v>11</v>
      </c>
      <c r="C407">
        <v>40</v>
      </c>
      <c r="D407" t="s">
        <v>18</v>
      </c>
      <c r="E407" t="s">
        <v>19</v>
      </c>
      <c r="F407" t="s">
        <v>41</v>
      </c>
      <c r="G407">
        <v>4321178</v>
      </c>
      <c r="H407">
        <v>32.130000000000003</v>
      </c>
      <c r="I407">
        <v>-6.89</v>
      </c>
      <c r="J407" s="1">
        <v>43736</v>
      </c>
      <c r="K407">
        <v>35</v>
      </c>
      <c r="L407">
        <v>5.4794520547945212E-4</v>
      </c>
      <c r="M407">
        <v>2367.7687671232879</v>
      </c>
      <c r="N407">
        <v>82871.906849315084</v>
      </c>
    </row>
    <row r="408" spans="1:14" x14ac:dyDescent="0.25">
      <c r="A408" t="s">
        <v>809</v>
      </c>
      <c r="B408" t="s">
        <v>11</v>
      </c>
      <c r="C408">
        <v>30</v>
      </c>
      <c r="D408" t="s">
        <v>46</v>
      </c>
      <c r="E408" t="s">
        <v>23</v>
      </c>
      <c r="F408" t="s">
        <v>20</v>
      </c>
      <c r="G408">
        <v>4236657</v>
      </c>
      <c r="H408">
        <v>29.79</v>
      </c>
      <c r="I408">
        <v>43.21</v>
      </c>
      <c r="J408" s="1">
        <v>45183</v>
      </c>
      <c r="K408">
        <v>204</v>
      </c>
      <c r="L408">
        <v>5.4794520547945212E-4</v>
      </c>
      <c r="M408">
        <v>2321.455890410959</v>
      </c>
      <c r="N408">
        <v>473577.00164383563</v>
      </c>
    </row>
    <row r="409" spans="1:14" x14ac:dyDescent="0.25">
      <c r="A409" t="s">
        <v>811</v>
      </c>
      <c r="B409" t="s">
        <v>17</v>
      </c>
      <c r="C409">
        <v>54</v>
      </c>
      <c r="D409" t="s">
        <v>12</v>
      </c>
      <c r="E409" t="s">
        <v>23</v>
      </c>
      <c r="F409" t="s">
        <v>14</v>
      </c>
      <c r="G409">
        <v>2558276</v>
      </c>
      <c r="H409">
        <v>16.46</v>
      </c>
      <c r="I409">
        <v>26.56</v>
      </c>
      <c r="J409" s="1">
        <v>44850</v>
      </c>
      <c r="K409">
        <v>341</v>
      </c>
      <c r="L409">
        <v>5.4794520547945212E-4</v>
      </c>
      <c r="M409">
        <v>1401.7950684931509</v>
      </c>
      <c r="N409">
        <v>478012.11835616443</v>
      </c>
    </row>
    <row r="410" spans="1:14" x14ac:dyDescent="0.25">
      <c r="A410" t="s">
        <v>813</v>
      </c>
      <c r="B410" t="s">
        <v>17</v>
      </c>
      <c r="C410">
        <v>39</v>
      </c>
      <c r="D410" t="s">
        <v>28</v>
      </c>
      <c r="E410" t="s">
        <v>23</v>
      </c>
      <c r="F410" t="s">
        <v>47</v>
      </c>
      <c r="G410">
        <v>3365493</v>
      </c>
      <c r="H410">
        <v>12</v>
      </c>
      <c r="I410">
        <v>32.75</v>
      </c>
      <c r="J410" s="1">
        <v>43627</v>
      </c>
      <c r="K410">
        <v>21</v>
      </c>
      <c r="L410">
        <v>5.4794520547945212E-4</v>
      </c>
      <c r="M410">
        <v>1844.1057534246577</v>
      </c>
      <c r="N410">
        <v>38726.220821917814</v>
      </c>
    </row>
    <row r="411" spans="1:14" x14ac:dyDescent="0.25">
      <c r="A411" t="s">
        <v>815</v>
      </c>
      <c r="B411" t="s">
        <v>17</v>
      </c>
      <c r="C411">
        <v>46</v>
      </c>
      <c r="D411" t="s">
        <v>38</v>
      </c>
      <c r="E411" t="s">
        <v>57</v>
      </c>
      <c r="F411" t="s">
        <v>41</v>
      </c>
      <c r="G411">
        <v>2192658</v>
      </c>
      <c r="H411">
        <v>22.86</v>
      </c>
      <c r="I411">
        <v>-8.24</v>
      </c>
      <c r="J411" s="1">
        <v>44241</v>
      </c>
      <c r="K411">
        <v>37</v>
      </c>
      <c r="L411">
        <v>5.4794520547945212E-4</v>
      </c>
      <c r="M411">
        <v>1201.4564383561644</v>
      </c>
      <c r="N411">
        <v>44453.888219178087</v>
      </c>
    </row>
    <row r="412" spans="1:14" x14ac:dyDescent="0.25">
      <c r="A412" t="s">
        <v>817</v>
      </c>
      <c r="B412" t="s">
        <v>11</v>
      </c>
      <c r="C412">
        <v>51</v>
      </c>
      <c r="D412" t="s">
        <v>28</v>
      </c>
      <c r="E412" t="s">
        <v>19</v>
      </c>
      <c r="F412" t="s">
        <v>47</v>
      </c>
      <c r="G412">
        <v>4386827</v>
      </c>
      <c r="H412">
        <v>14.4</v>
      </c>
      <c r="I412">
        <v>37.53</v>
      </c>
      <c r="J412" s="1">
        <v>44187</v>
      </c>
      <c r="K412">
        <v>216</v>
      </c>
      <c r="L412">
        <v>5.4794520547945212E-4</v>
      </c>
      <c r="M412">
        <v>2403.7408219178087</v>
      </c>
      <c r="N412">
        <v>519208.01753424667</v>
      </c>
    </row>
    <row r="413" spans="1:14" x14ac:dyDescent="0.25">
      <c r="A413" t="s">
        <v>818</v>
      </c>
      <c r="B413" t="s">
        <v>11</v>
      </c>
      <c r="C413">
        <v>39</v>
      </c>
      <c r="D413" t="s">
        <v>46</v>
      </c>
      <c r="E413" t="s">
        <v>19</v>
      </c>
      <c r="F413" t="s">
        <v>14</v>
      </c>
      <c r="G413">
        <v>3295779</v>
      </c>
      <c r="H413">
        <v>27.96</v>
      </c>
      <c r="I413">
        <v>33.15</v>
      </c>
      <c r="J413" s="1">
        <v>43986</v>
      </c>
      <c r="K413">
        <v>170</v>
      </c>
      <c r="L413">
        <v>5.4794520547945212E-4</v>
      </c>
      <c r="M413">
        <v>1805.9063013698633</v>
      </c>
      <c r="N413">
        <v>307004.07123287674</v>
      </c>
    </row>
    <row r="414" spans="1:14" x14ac:dyDescent="0.25">
      <c r="A414" t="s">
        <v>820</v>
      </c>
      <c r="B414" t="s">
        <v>17</v>
      </c>
      <c r="C414">
        <v>54</v>
      </c>
      <c r="D414" t="s">
        <v>38</v>
      </c>
      <c r="E414" t="s">
        <v>50</v>
      </c>
      <c r="F414" t="s">
        <v>41</v>
      </c>
      <c r="G414">
        <v>237661</v>
      </c>
      <c r="H414">
        <v>20.5</v>
      </c>
      <c r="I414">
        <v>36.79</v>
      </c>
      <c r="J414" s="1">
        <v>45039</v>
      </c>
      <c r="K414">
        <v>222</v>
      </c>
      <c r="L414">
        <v>5.4794520547945212E-4</v>
      </c>
      <c r="M414">
        <v>130.22520547945206</v>
      </c>
      <c r="N414">
        <v>28909.995616438358</v>
      </c>
    </row>
    <row r="415" spans="1:14" x14ac:dyDescent="0.25">
      <c r="A415" t="s">
        <v>822</v>
      </c>
      <c r="B415" t="s">
        <v>11</v>
      </c>
      <c r="C415">
        <v>54</v>
      </c>
      <c r="D415" t="s">
        <v>46</v>
      </c>
      <c r="E415" t="s">
        <v>50</v>
      </c>
      <c r="F415" t="s">
        <v>41</v>
      </c>
      <c r="G415">
        <v>2976983</v>
      </c>
      <c r="H415">
        <v>17.59</v>
      </c>
      <c r="I415">
        <v>25.69</v>
      </c>
      <c r="J415" s="1">
        <v>44266</v>
      </c>
      <c r="K415">
        <v>28</v>
      </c>
      <c r="L415">
        <v>5.4794520547945212E-4</v>
      </c>
      <c r="M415">
        <v>1631.2235616438359</v>
      </c>
      <c r="N415">
        <v>45674.259726027405</v>
      </c>
    </row>
    <row r="416" spans="1:14" x14ac:dyDescent="0.25">
      <c r="A416" t="s">
        <v>824</v>
      </c>
      <c r="B416" t="s">
        <v>11</v>
      </c>
      <c r="C416">
        <v>52</v>
      </c>
      <c r="D416" t="s">
        <v>46</v>
      </c>
      <c r="E416" t="s">
        <v>23</v>
      </c>
      <c r="F416" t="s">
        <v>30</v>
      </c>
      <c r="G416">
        <v>2731462</v>
      </c>
      <c r="H416">
        <v>33.03</v>
      </c>
      <c r="I416">
        <v>8.36</v>
      </c>
      <c r="J416" s="1">
        <v>45546</v>
      </c>
      <c r="K416">
        <v>38</v>
      </c>
      <c r="L416">
        <v>5.4794520547945212E-4</v>
      </c>
      <c r="M416">
        <v>1496.6915068493151</v>
      </c>
      <c r="N416">
        <v>56874.277260273979</v>
      </c>
    </row>
    <row r="417" spans="1:14" x14ac:dyDescent="0.25">
      <c r="A417" t="s">
        <v>826</v>
      </c>
      <c r="B417" t="s">
        <v>11</v>
      </c>
      <c r="C417">
        <v>42</v>
      </c>
      <c r="D417" t="s">
        <v>28</v>
      </c>
      <c r="E417" t="s">
        <v>23</v>
      </c>
      <c r="F417" t="s">
        <v>20</v>
      </c>
      <c r="G417">
        <v>829978</v>
      </c>
      <c r="H417">
        <v>34.43</v>
      </c>
      <c r="I417">
        <v>17.25</v>
      </c>
      <c r="J417" s="1">
        <v>45033</v>
      </c>
      <c r="K417">
        <v>190</v>
      </c>
      <c r="L417">
        <v>5.4794520547945212E-4</v>
      </c>
      <c r="M417">
        <v>454.78246575342473</v>
      </c>
      <c r="N417">
        <v>86408.668493150704</v>
      </c>
    </row>
    <row r="418" spans="1:14" x14ac:dyDescent="0.25">
      <c r="A418" t="s">
        <v>828</v>
      </c>
      <c r="B418" t="s">
        <v>11</v>
      </c>
      <c r="C418">
        <v>53</v>
      </c>
      <c r="D418" t="s">
        <v>12</v>
      </c>
      <c r="E418" t="s">
        <v>50</v>
      </c>
      <c r="F418" t="s">
        <v>41</v>
      </c>
      <c r="G418">
        <v>3545017</v>
      </c>
      <c r="H418">
        <v>30.16</v>
      </c>
      <c r="I418">
        <v>10.48</v>
      </c>
      <c r="J418" s="1">
        <v>44673</v>
      </c>
      <c r="K418">
        <v>166</v>
      </c>
      <c r="L418">
        <v>5.4794520547945212E-4</v>
      </c>
      <c r="M418">
        <v>1942.475068493151</v>
      </c>
      <c r="N418">
        <v>322450.86136986304</v>
      </c>
    </row>
    <row r="419" spans="1:14" x14ac:dyDescent="0.25">
      <c r="A419" t="s">
        <v>830</v>
      </c>
      <c r="B419" t="s">
        <v>17</v>
      </c>
      <c r="C419">
        <v>65</v>
      </c>
      <c r="D419" t="s">
        <v>38</v>
      </c>
      <c r="E419" t="s">
        <v>23</v>
      </c>
      <c r="F419" t="s">
        <v>47</v>
      </c>
      <c r="G419">
        <v>1879311</v>
      </c>
      <c r="H419">
        <v>10.01</v>
      </c>
      <c r="I419">
        <v>43.89</v>
      </c>
      <c r="J419" s="1">
        <v>45529</v>
      </c>
      <c r="K419">
        <v>293</v>
      </c>
      <c r="L419">
        <v>5.4794520547945212E-4</v>
      </c>
      <c r="M419">
        <v>1029.7594520547946</v>
      </c>
      <c r="N419">
        <v>301719.51945205481</v>
      </c>
    </row>
    <row r="420" spans="1:14" x14ac:dyDescent="0.25">
      <c r="A420" t="s">
        <v>832</v>
      </c>
      <c r="B420" t="s">
        <v>11</v>
      </c>
      <c r="C420">
        <v>33</v>
      </c>
      <c r="D420" t="s">
        <v>28</v>
      </c>
      <c r="E420" t="s">
        <v>29</v>
      </c>
      <c r="F420" t="s">
        <v>41</v>
      </c>
      <c r="G420">
        <v>1621981</v>
      </c>
      <c r="H420">
        <v>6.74</v>
      </c>
      <c r="I420">
        <v>19.579999999999998</v>
      </c>
      <c r="J420" s="1">
        <v>45263</v>
      </c>
      <c r="K420">
        <v>249</v>
      </c>
      <c r="L420">
        <v>5.4794520547945212E-4</v>
      </c>
      <c r="M420">
        <v>888.75671232876721</v>
      </c>
      <c r="N420">
        <v>221300.42136986303</v>
      </c>
    </row>
    <row r="421" spans="1:14" x14ac:dyDescent="0.25">
      <c r="A421" t="s">
        <v>834</v>
      </c>
      <c r="B421" t="s">
        <v>17</v>
      </c>
      <c r="C421">
        <v>53</v>
      </c>
      <c r="D421" t="s">
        <v>12</v>
      </c>
      <c r="E421" t="s">
        <v>13</v>
      </c>
      <c r="F421" t="s">
        <v>35</v>
      </c>
      <c r="G421">
        <v>2817853</v>
      </c>
      <c r="H421">
        <v>27.26</v>
      </c>
      <c r="I421">
        <v>34.590000000000003</v>
      </c>
      <c r="J421" s="1">
        <v>45248</v>
      </c>
      <c r="K421">
        <v>215</v>
      </c>
      <c r="L421">
        <v>5.4794520547945212E-4</v>
      </c>
      <c r="M421">
        <v>1544.0290410958905</v>
      </c>
      <c r="N421">
        <v>331966.24383561645</v>
      </c>
    </row>
    <row r="422" spans="1:14" x14ac:dyDescent="0.25">
      <c r="A422" t="s">
        <v>836</v>
      </c>
      <c r="B422" t="s">
        <v>17</v>
      </c>
      <c r="C422">
        <v>38</v>
      </c>
      <c r="D422" t="s">
        <v>46</v>
      </c>
      <c r="E422" t="s">
        <v>29</v>
      </c>
      <c r="F422" t="s">
        <v>30</v>
      </c>
      <c r="G422">
        <v>4404107</v>
      </c>
      <c r="H422">
        <v>26.04</v>
      </c>
      <c r="I422">
        <v>11.59</v>
      </c>
      <c r="J422" s="1">
        <v>45413</v>
      </c>
      <c r="K422">
        <v>332</v>
      </c>
      <c r="L422">
        <v>5.4794520547945212E-4</v>
      </c>
      <c r="M422">
        <v>2413.2093150684937</v>
      </c>
      <c r="N422">
        <v>801185.49260273995</v>
      </c>
    </row>
    <row r="423" spans="1:14" x14ac:dyDescent="0.25">
      <c r="A423" t="s">
        <v>838</v>
      </c>
      <c r="B423" t="s">
        <v>17</v>
      </c>
      <c r="C423">
        <v>25</v>
      </c>
      <c r="D423" t="s">
        <v>18</v>
      </c>
      <c r="E423" t="s">
        <v>57</v>
      </c>
      <c r="F423" t="s">
        <v>47</v>
      </c>
      <c r="G423">
        <v>1674429</v>
      </c>
      <c r="H423">
        <v>14.19</v>
      </c>
      <c r="I423">
        <v>42.1</v>
      </c>
      <c r="J423" s="1">
        <v>44903</v>
      </c>
      <c r="K423">
        <v>98</v>
      </c>
      <c r="L423">
        <v>5.4794520547945212E-4</v>
      </c>
      <c r="M423">
        <v>917.49534246575354</v>
      </c>
      <c r="N423">
        <v>89914.543561643848</v>
      </c>
    </row>
    <row r="424" spans="1:14" x14ac:dyDescent="0.25">
      <c r="A424" t="s">
        <v>839</v>
      </c>
      <c r="B424" t="s">
        <v>17</v>
      </c>
      <c r="C424">
        <v>33</v>
      </c>
      <c r="D424" t="s">
        <v>18</v>
      </c>
      <c r="E424" t="s">
        <v>50</v>
      </c>
      <c r="F424" t="s">
        <v>20</v>
      </c>
      <c r="G424">
        <v>56032</v>
      </c>
      <c r="H424">
        <v>28.1</v>
      </c>
      <c r="I424">
        <v>43.69</v>
      </c>
      <c r="J424" s="1">
        <v>44144</v>
      </c>
      <c r="K424">
        <v>332</v>
      </c>
      <c r="L424">
        <v>5.4794520547945212E-4</v>
      </c>
      <c r="M424">
        <v>30.702465753424661</v>
      </c>
      <c r="N424">
        <v>10193.218630136987</v>
      </c>
    </row>
    <row r="425" spans="1:14" x14ac:dyDescent="0.25">
      <c r="A425" t="s">
        <v>840</v>
      </c>
      <c r="B425" t="s">
        <v>17</v>
      </c>
      <c r="C425">
        <v>42</v>
      </c>
      <c r="D425" t="s">
        <v>46</v>
      </c>
      <c r="E425" t="s">
        <v>50</v>
      </c>
      <c r="F425" t="s">
        <v>47</v>
      </c>
      <c r="G425">
        <v>2998416</v>
      </c>
      <c r="H425">
        <v>17.86</v>
      </c>
      <c r="I425">
        <v>40.340000000000003</v>
      </c>
      <c r="J425" s="1">
        <v>45562</v>
      </c>
      <c r="K425">
        <v>330</v>
      </c>
      <c r="L425">
        <v>5.4794520547945212E-4</v>
      </c>
      <c r="M425">
        <v>1642.9676712328769</v>
      </c>
      <c r="N425">
        <v>542179.33150684938</v>
      </c>
    </row>
    <row r="426" spans="1:14" x14ac:dyDescent="0.25">
      <c r="A426" t="s">
        <v>842</v>
      </c>
      <c r="B426" t="s">
        <v>11</v>
      </c>
      <c r="C426">
        <v>27</v>
      </c>
      <c r="D426" t="s">
        <v>12</v>
      </c>
      <c r="E426" t="s">
        <v>57</v>
      </c>
      <c r="F426" t="s">
        <v>20</v>
      </c>
      <c r="G426">
        <v>1956860</v>
      </c>
      <c r="H426">
        <v>17.3</v>
      </c>
      <c r="I426">
        <v>10.39</v>
      </c>
      <c r="J426" s="1">
        <v>44354</v>
      </c>
      <c r="K426">
        <v>156</v>
      </c>
      <c r="L426">
        <v>5.4794520547945212E-4</v>
      </c>
      <c r="M426">
        <v>1072.2520547945207</v>
      </c>
      <c r="N426">
        <v>167271.32054794524</v>
      </c>
    </row>
    <row r="427" spans="1:14" x14ac:dyDescent="0.25">
      <c r="A427" t="s">
        <v>843</v>
      </c>
      <c r="B427" t="s">
        <v>17</v>
      </c>
      <c r="C427">
        <v>34</v>
      </c>
      <c r="D427" t="s">
        <v>18</v>
      </c>
      <c r="E427" t="s">
        <v>13</v>
      </c>
      <c r="F427" t="s">
        <v>41</v>
      </c>
      <c r="G427">
        <v>1707058</v>
      </c>
      <c r="H427">
        <v>14.91</v>
      </c>
      <c r="I427">
        <v>-5.66</v>
      </c>
      <c r="J427" s="1">
        <v>43222</v>
      </c>
      <c r="K427">
        <v>330</v>
      </c>
      <c r="L427">
        <v>5.4794520547945212E-4</v>
      </c>
      <c r="M427">
        <v>935.37424657534257</v>
      </c>
      <c r="N427">
        <v>308673.50136986305</v>
      </c>
    </row>
    <row r="428" spans="1:14" x14ac:dyDescent="0.25">
      <c r="A428" t="s">
        <v>845</v>
      </c>
      <c r="B428" t="s">
        <v>11</v>
      </c>
      <c r="C428">
        <v>54</v>
      </c>
      <c r="D428" t="s">
        <v>28</v>
      </c>
      <c r="E428" t="s">
        <v>57</v>
      </c>
      <c r="F428" t="s">
        <v>41</v>
      </c>
      <c r="G428">
        <v>3733978</v>
      </c>
      <c r="H428">
        <v>6.52</v>
      </c>
      <c r="I428">
        <v>-6.93</v>
      </c>
      <c r="J428" s="1">
        <v>44347</v>
      </c>
      <c r="K428">
        <v>108</v>
      </c>
      <c r="L428">
        <v>5.4794520547945212E-4</v>
      </c>
      <c r="M428">
        <v>2046.0153424657537</v>
      </c>
      <c r="N428">
        <v>220969.65698630142</v>
      </c>
    </row>
    <row r="429" spans="1:14" x14ac:dyDescent="0.25">
      <c r="A429" t="s">
        <v>847</v>
      </c>
      <c r="B429" t="s">
        <v>11</v>
      </c>
      <c r="C429">
        <v>47</v>
      </c>
      <c r="D429" t="s">
        <v>18</v>
      </c>
      <c r="E429" t="s">
        <v>29</v>
      </c>
      <c r="F429" t="s">
        <v>41</v>
      </c>
      <c r="G429">
        <v>2547385</v>
      </c>
      <c r="H429">
        <v>24.73</v>
      </c>
      <c r="I429">
        <v>6.66</v>
      </c>
      <c r="J429" s="1">
        <v>44145</v>
      </c>
      <c r="K429">
        <v>273</v>
      </c>
      <c r="L429">
        <v>5.4794520547945212E-4</v>
      </c>
      <c r="M429">
        <v>1395.8273972602742</v>
      </c>
      <c r="N429">
        <v>381060.87945205485</v>
      </c>
    </row>
    <row r="430" spans="1:14" x14ac:dyDescent="0.25">
      <c r="A430" t="s">
        <v>849</v>
      </c>
      <c r="B430" t="s">
        <v>17</v>
      </c>
      <c r="C430">
        <v>26</v>
      </c>
      <c r="D430" t="s">
        <v>46</v>
      </c>
      <c r="E430" t="s">
        <v>23</v>
      </c>
      <c r="F430" t="s">
        <v>20</v>
      </c>
      <c r="G430">
        <v>231613</v>
      </c>
      <c r="H430">
        <v>10.92</v>
      </c>
      <c r="I430">
        <v>35.24</v>
      </c>
      <c r="J430" s="1">
        <v>44292</v>
      </c>
      <c r="K430">
        <v>92</v>
      </c>
      <c r="L430">
        <v>5.4794520547945212E-4</v>
      </c>
      <c r="M430">
        <v>126.91123287671235</v>
      </c>
      <c r="N430">
        <v>11675.833424657536</v>
      </c>
    </row>
    <row r="431" spans="1:14" x14ac:dyDescent="0.25">
      <c r="A431" t="s">
        <v>851</v>
      </c>
      <c r="B431" t="s">
        <v>17</v>
      </c>
      <c r="C431">
        <v>60</v>
      </c>
      <c r="D431" t="s">
        <v>38</v>
      </c>
      <c r="E431" t="s">
        <v>50</v>
      </c>
      <c r="F431" t="s">
        <v>30</v>
      </c>
      <c r="G431">
        <v>2122436</v>
      </c>
      <c r="H431">
        <v>20.23</v>
      </c>
      <c r="I431">
        <v>39.25</v>
      </c>
      <c r="J431" s="1">
        <v>45280</v>
      </c>
      <c r="K431">
        <v>362</v>
      </c>
      <c r="L431">
        <v>5.4794520547945212E-4</v>
      </c>
      <c r="M431">
        <v>1162.9786301369863</v>
      </c>
      <c r="N431">
        <v>420998.26410958904</v>
      </c>
    </row>
    <row r="432" spans="1:14" x14ac:dyDescent="0.25">
      <c r="A432" t="s">
        <v>853</v>
      </c>
      <c r="B432" t="s">
        <v>11</v>
      </c>
      <c r="C432">
        <v>53</v>
      </c>
      <c r="D432" t="s">
        <v>12</v>
      </c>
      <c r="E432" t="s">
        <v>57</v>
      </c>
      <c r="F432" t="s">
        <v>14</v>
      </c>
      <c r="G432">
        <v>4894450</v>
      </c>
      <c r="H432">
        <v>14.71</v>
      </c>
      <c r="I432">
        <v>24.35</v>
      </c>
      <c r="J432" s="1">
        <v>44869</v>
      </c>
      <c r="K432">
        <v>151</v>
      </c>
      <c r="L432">
        <v>5.4794520547945212E-4</v>
      </c>
      <c r="M432">
        <v>2681.8904109589043</v>
      </c>
      <c r="N432">
        <v>404965.45205479453</v>
      </c>
    </row>
    <row r="433" spans="1:14" x14ac:dyDescent="0.25">
      <c r="A433" t="s">
        <v>855</v>
      </c>
      <c r="B433" t="s">
        <v>17</v>
      </c>
      <c r="C433">
        <v>41</v>
      </c>
      <c r="D433" t="s">
        <v>12</v>
      </c>
      <c r="E433" t="s">
        <v>29</v>
      </c>
      <c r="F433" t="s">
        <v>20</v>
      </c>
      <c r="G433">
        <v>2507490</v>
      </c>
      <c r="H433">
        <v>18.13</v>
      </c>
      <c r="I433">
        <v>16.29</v>
      </c>
      <c r="J433" s="1">
        <v>44031</v>
      </c>
      <c r="K433">
        <v>319</v>
      </c>
      <c r="L433">
        <v>5.4794520547945212E-4</v>
      </c>
      <c r="M433">
        <v>1373.9671232876715</v>
      </c>
      <c r="N433">
        <v>438295.51232876722</v>
      </c>
    </row>
    <row r="434" spans="1:14" x14ac:dyDescent="0.25">
      <c r="A434" t="s">
        <v>857</v>
      </c>
      <c r="B434" t="s">
        <v>17</v>
      </c>
      <c r="C434">
        <v>48</v>
      </c>
      <c r="D434" t="s">
        <v>38</v>
      </c>
      <c r="E434" t="s">
        <v>13</v>
      </c>
      <c r="F434" t="s">
        <v>20</v>
      </c>
      <c r="G434">
        <v>459801</v>
      </c>
      <c r="H434">
        <v>24.91</v>
      </c>
      <c r="I434">
        <v>28.09</v>
      </c>
      <c r="J434" s="1">
        <v>44055</v>
      </c>
      <c r="K434">
        <v>237</v>
      </c>
      <c r="L434">
        <v>5.4794520547945212E-4</v>
      </c>
      <c r="M434">
        <v>251.94575342465757</v>
      </c>
      <c r="N434">
        <v>59711.143561643847</v>
      </c>
    </row>
    <row r="435" spans="1:14" x14ac:dyDescent="0.25">
      <c r="A435" t="s">
        <v>858</v>
      </c>
      <c r="B435" t="s">
        <v>11</v>
      </c>
      <c r="C435">
        <v>63</v>
      </c>
      <c r="D435" t="s">
        <v>18</v>
      </c>
      <c r="E435" t="s">
        <v>29</v>
      </c>
      <c r="F435" t="s">
        <v>41</v>
      </c>
      <c r="G435">
        <v>3273914</v>
      </c>
      <c r="H435">
        <v>7.02</v>
      </c>
      <c r="I435">
        <v>4.93</v>
      </c>
      <c r="J435" s="1">
        <v>45130</v>
      </c>
      <c r="K435">
        <v>280</v>
      </c>
      <c r="L435">
        <v>5.4794520547945212E-4</v>
      </c>
      <c r="M435">
        <v>1793.925479452055</v>
      </c>
      <c r="N435">
        <v>502299.13424657541</v>
      </c>
    </row>
    <row r="436" spans="1:14" x14ac:dyDescent="0.25">
      <c r="A436" t="s">
        <v>860</v>
      </c>
      <c r="B436" t="s">
        <v>17</v>
      </c>
      <c r="C436">
        <v>41</v>
      </c>
      <c r="D436" t="s">
        <v>46</v>
      </c>
      <c r="E436" t="s">
        <v>50</v>
      </c>
      <c r="F436" t="s">
        <v>20</v>
      </c>
      <c r="G436">
        <v>633933</v>
      </c>
      <c r="H436">
        <v>19.71</v>
      </c>
      <c r="I436">
        <v>12.31</v>
      </c>
      <c r="J436" s="1">
        <v>44604</v>
      </c>
      <c r="K436">
        <v>121</v>
      </c>
      <c r="L436">
        <v>5.4794520547945212E-4</v>
      </c>
      <c r="M436">
        <v>347.3605479452055</v>
      </c>
      <c r="N436">
        <v>42030.626301369863</v>
      </c>
    </row>
    <row r="437" spans="1:14" x14ac:dyDescent="0.25">
      <c r="A437" t="s">
        <v>861</v>
      </c>
      <c r="B437" t="s">
        <v>11</v>
      </c>
      <c r="C437">
        <v>36</v>
      </c>
      <c r="D437" t="s">
        <v>12</v>
      </c>
      <c r="E437" t="s">
        <v>50</v>
      </c>
      <c r="F437" t="s">
        <v>41</v>
      </c>
      <c r="G437">
        <v>2736159</v>
      </c>
      <c r="H437">
        <v>13</v>
      </c>
      <c r="I437">
        <v>43.2</v>
      </c>
      <c r="J437" s="1">
        <v>44838</v>
      </c>
      <c r="K437">
        <v>336</v>
      </c>
      <c r="L437">
        <v>5.4794520547945212E-4</v>
      </c>
      <c r="M437">
        <v>1499.2652054794523</v>
      </c>
      <c r="N437">
        <v>503753.109041096</v>
      </c>
    </row>
    <row r="438" spans="1:14" x14ac:dyDescent="0.25">
      <c r="A438" t="s">
        <v>863</v>
      </c>
      <c r="B438" t="s">
        <v>17</v>
      </c>
      <c r="C438">
        <v>24</v>
      </c>
      <c r="D438" t="s">
        <v>12</v>
      </c>
      <c r="E438" t="s">
        <v>29</v>
      </c>
      <c r="F438" t="s">
        <v>30</v>
      </c>
      <c r="G438">
        <v>2763799</v>
      </c>
      <c r="H438">
        <v>25.8</v>
      </c>
      <c r="I438">
        <v>26.46</v>
      </c>
      <c r="J438" s="1">
        <v>44541</v>
      </c>
      <c r="K438">
        <v>91</v>
      </c>
      <c r="L438">
        <v>5.4794520547945212E-4</v>
      </c>
      <c r="M438">
        <v>1514.4104109589043</v>
      </c>
      <c r="N438">
        <v>137811.34739726028</v>
      </c>
    </row>
    <row r="439" spans="1:14" x14ac:dyDescent="0.25">
      <c r="A439" t="s">
        <v>865</v>
      </c>
      <c r="B439" t="s">
        <v>11</v>
      </c>
      <c r="C439">
        <v>60</v>
      </c>
      <c r="D439" t="s">
        <v>18</v>
      </c>
      <c r="E439" t="s">
        <v>13</v>
      </c>
      <c r="F439" t="s">
        <v>30</v>
      </c>
      <c r="G439">
        <v>1042316</v>
      </c>
      <c r="H439">
        <v>29.49</v>
      </c>
      <c r="I439">
        <v>5.56</v>
      </c>
      <c r="J439" s="1">
        <v>43516</v>
      </c>
      <c r="K439">
        <v>32</v>
      </c>
      <c r="L439">
        <v>5.4794520547945212E-4</v>
      </c>
      <c r="M439">
        <v>571.13205479452063</v>
      </c>
      <c r="N439">
        <v>18276.22575342466</v>
      </c>
    </row>
    <row r="440" spans="1:14" x14ac:dyDescent="0.25">
      <c r="A440" t="s">
        <v>867</v>
      </c>
      <c r="B440" t="s">
        <v>11</v>
      </c>
      <c r="C440">
        <v>35</v>
      </c>
      <c r="D440" t="s">
        <v>38</v>
      </c>
      <c r="E440" t="s">
        <v>19</v>
      </c>
      <c r="F440" t="s">
        <v>14</v>
      </c>
      <c r="G440">
        <v>3866600</v>
      </c>
      <c r="H440">
        <v>17.89</v>
      </c>
      <c r="I440">
        <v>25.55</v>
      </c>
      <c r="J440" s="1">
        <v>45312</v>
      </c>
      <c r="K440">
        <v>149</v>
      </c>
      <c r="L440">
        <v>5.4794520547945212E-4</v>
      </c>
      <c r="M440">
        <v>2118.6849315068498</v>
      </c>
      <c r="N440">
        <v>315684.05479452061</v>
      </c>
    </row>
    <row r="441" spans="1:14" x14ac:dyDescent="0.25">
      <c r="A441" t="s">
        <v>869</v>
      </c>
      <c r="B441" t="s">
        <v>17</v>
      </c>
      <c r="C441">
        <v>53</v>
      </c>
      <c r="D441" t="s">
        <v>38</v>
      </c>
      <c r="E441" t="s">
        <v>57</v>
      </c>
      <c r="F441" t="s">
        <v>35</v>
      </c>
      <c r="G441">
        <v>277267</v>
      </c>
      <c r="H441">
        <v>34.619999999999997</v>
      </c>
      <c r="I441">
        <v>-1.1299999999999999</v>
      </c>
      <c r="J441" s="1">
        <v>43258</v>
      </c>
      <c r="K441">
        <v>102</v>
      </c>
      <c r="L441">
        <v>5.4794520547945212E-4</v>
      </c>
      <c r="M441">
        <v>151.92712328767126</v>
      </c>
      <c r="N441">
        <v>15496.566575342469</v>
      </c>
    </row>
    <row r="442" spans="1:14" x14ac:dyDescent="0.25">
      <c r="A442" t="s">
        <v>871</v>
      </c>
      <c r="B442" t="s">
        <v>11</v>
      </c>
      <c r="C442">
        <v>60</v>
      </c>
      <c r="D442" t="s">
        <v>12</v>
      </c>
      <c r="E442" t="s">
        <v>13</v>
      </c>
      <c r="F442" t="s">
        <v>30</v>
      </c>
      <c r="G442">
        <v>3855640</v>
      </c>
      <c r="H442">
        <v>17.079999999999998</v>
      </c>
      <c r="I442">
        <v>20.38</v>
      </c>
      <c r="J442" s="1">
        <v>45399</v>
      </c>
      <c r="K442">
        <v>202</v>
      </c>
      <c r="L442">
        <v>5.4794520547945212E-4</v>
      </c>
      <c r="M442">
        <v>2112.6794520547946</v>
      </c>
      <c r="N442">
        <v>426761.24931506853</v>
      </c>
    </row>
    <row r="443" spans="1:14" x14ac:dyDescent="0.25">
      <c r="A443" t="s">
        <v>873</v>
      </c>
      <c r="B443" t="s">
        <v>17</v>
      </c>
      <c r="C443">
        <v>52</v>
      </c>
      <c r="D443" t="s">
        <v>12</v>
      </c>
      <c r="E443" t="s">
        <v>57</v>
      </c>
      <c r="F443" t="s">
        <v>14</v>
      </c>
      <c r="G443">
        <v>2766967</v>
      </c>
      <c r="H443">
        <v>23.11</v>
      </c>
      <c r="I443">
        <v>21.37</v>
      </c>
      <c r="J443" s="1">
        <v>43917</v>
      </c>
      <c r="K443">
        <v>298</v>
      </c>
      <c r="L443">
        <v>5.4794520547945212E-4</v>
      </c>
      <c r="M443">
        <v>1516.1463013698633</v>
      </c>
      <c r="N443">
        <v>451811.59780821926</v>
      </c>
    </row>
    <row r="444" spans="1:14" x14ac:dyDescent="0.25">
      <c r="A444" t="s">
        <v>875</v>
      </c>
      <c r="B444" t="s">
        <v>11</v>
      </c>
      <c r="C444">
        <v>58</v>
      </c>
      <c r="D444" t="s">
        <v>28</v>
      </c>
      <c r="E444" t="s">
        <v>57</v>
      </c>
      <c r="F444" t="s">
        <v>14</v>
      </c>
      <c r="G444">
        <v>2232369</v>
      </c>
      <c r="H444">
        <v>29.42</v>
      </c>
      <c r="I444">
        <v>42.07</v>
      </c>
      <c r="J444" s="1">
        <v>44996</v>
      </c>
      <c r="K444">
        <v>38</v>
      </c>
      <c r="L444">
        <v>5.4794520547945212E-4</v>
      </c>
      <c r="M444">
        <v>1223.215890410959</v>
      </c>
      <c r="N444">
        <v>46482.203835616441</v>
      </c>
    </row>
    <row r="445" spans="1:14" x14ac:dyDescent="0.25">
      <c r="A445" t="s">
        <v>877</v>
      </c>
      <c r="B445" t="s">
        <v>17</v>
      </c>
      <c r="C445">
        <v>64</v>
      </c>
      <c r="D445" t="s">
        <v>38</v>
      </c>
      <c r="E445" t="s">
        <v>19</v>
      </c>
      <c r="F445" t="s">
        <v>14</v>
      </c>
      <c r="G445">
        <v>4534450</v>
      </c>
      <c r="H445">
        <v>19.420000000000002</v>
      </c>
      <c r="I445">
        <v>36.17</v>
      </c>
      <c r="J445" s="1">
        <v>44852</v>
      </c>
      <c r="K445">
        <v>278</v>
      </c>
      <c r="L445">
        <v>5.4794520547945212E-4</v>
      </c>
      <c r="M445">
        <v>2484.6301369863017</v>
      </c>
      <c r="N445">
        <v>690727.17808219185</v>
      </c>
    </row>
    <row r="446" spans="1:14" x14ac:dyDescent="0.25">
      <c r="A446" t="s">
        <v>878</v>
      </c>
      <c r="B446" t="s">
        <v>11</v>
      </c>
      <c r="C446">
        <v>41</v>
      </c>
      <c r="D446" t="s">
        <v>46</v>
      </c>
      <c r="E446" t="s">
        <v>13</v>
      </c>
      <c r="F446" t="s">
        <v>47</v>
      </c>
      <c r="G446">
        <v>3131575</v>
      </c>
      <c r="H446">
        <v>9.85</v>
      </c>
      <c r="I446">
        <v>15.39</v>
      </c>
      <c r="J446" s="1">
        <v>43931</v>
      </c>
      <c r="K446">
        <v>361</v>
      </c>
      <c r="L446">
        <v>5.4794520547945212E-4</v>
      </c>
      <c r="M446">
        <v>1715.9315068493154</v>
      </c>
      <c r="N446">
        <v>619451.27397260291</v>
      </c>
    </row>
    <row r="447" spans="1:14" x14ac:dyDescent="0.25">
      <c r="A447" t="s">
        <v>880</v>
      </c>
      <c r="B447" t="s">
        <v>17</v>
      </c>
      <c r="C447">
        <v>59</v>
      </c>
      <c r="D447" t="s">
        <v>18</v>
      </c>
      <c r="E447" t="s">
        <v>19</v>
      </c>
      <c r="F447" t="s">
        <v>35</v>
      </c>
      <c r="G447">
        <v>2720547</v>
      </c>
      <c r="H447">
        <v>31.77</v>
      </c>
      <c r="I447">
        <v>-1.5</v>
      </c>
      <c r="J447" s="1">
        <v>43420</v>
      </c>
      <c r="K447">
        <v>55</v>
      </c>
      <c r="L447">
        <v>5.4794520547945212E-4</v>
      </c>
      <c r="M447">
        <v>1490.7106849315071</v>
      </c>
      <c r="N447">
        <v>81989.08767123289</v>
      </c>
    </row>
    <row r="448" spans="1:14" x14ac:dyDescent="0.25">
      <c r="A448" t="s">
        <v>882</v>
      </c>
      <c r="B448" t="s">
        <v>17</v>
      </c>
      <c r="C448">
        <v>64</v>
      </c>
      <c r="D448" t="s">
        <v>28</v>
      </c>
      <c r="E448" t="s">
        <v>57</v>
      </c>
      <c r="F448" t="s">
        <v>30</v>
      </c>
      <c r="G448">
        <v>546705</v>
      </c>
      <c r="H448">
        <v>15.55</v>
      </c>
      <c r="I448">
        <v>31.51</v>
      </c>
      <c r="J448" s="1">
        <v>45360</v>
      </c>
      <c r="K448">
        <v>365</v>
      </c>
      <c r="L448">
        <v>5.4794520547945212E-4</v>
      </c>
      <c r="M448">
        <v>299.56438356164387</v>
      </c>
      <c r="N448">
        <v>109341.00000000001</v>
      </c>
    </row>
    <row r="449" spans="1:14" x14ac:dyDescent="0.25">
      <c r="A449" t="s">
        <v>884</v>
      </c>
      <c r="B449" t="s">
        <v>11</v>
      </c>
      <c r="C449">
        <v>37</v>
      </c>
      <c r="D449" t="s">
        <v>12</v>
      </c>
      <c r="E449" t="s">
        <v>19</v>
      </c>
      <c r="F449" t="s">
        <v>47</v>
      </c>
      <c r="G449">
        <v>4242337</v>
      </c>
      <c r="H449">
        <v>27.39</v>
      </c>
      <c r="I449">
        <v>6.16</v>
      </c>
      <c r="J449" s="1">
        <v>44522</v>
      </c>
      <c r="K449">
        <v>333</v>
      </c>
      <c r="L449">
        <v>5.4794520547945212E-4</v>
      </c>
      <c r="M449">
        <v>2324.5682191780825</v>
      </c>
      <c r="N449">
        <v>774081.21698630147</v>
      </c>
    </row>
    <row r="450" spans="1:14" x14ac:dyDescent="0.25">
      <c r="A450" t="s">
        <v>886</v>
      </c>
      <c r="B450" t="s">
        <v>11</v>
      </c>
      <c r="C450">
        <v>30</v>
      </c>
      <c r="D450" t="s">
        <v>38</v>
      </c>
      <c r="E450" t="s">
        <v>23</v>
      </c>
      <c r="F450" t="s">
        <v>20</v>
      </c>
      <c r="G450">
        <v>4379024</v>
      </c>
      <c r="H450">
        <v>5.91</v>
      </c>
      <c r="I450">
        <v>5.86</v>
      </c>
      <c r="J450" s="1">
        <v>44658</v>
      </c>
      <c r="K450">
        <v>260</v>
      </c>
      <c r="L450">
        <v>5.4794520547945212E-4</v>
      </c>
      <c r="M450">
        <v>2399.4652054794524</v>
      </c>
      <c r="N450">
        <v>623860.95342465758</v>
      </c>
    </row>
    <row r="451" spans="1:14" x14ac:dyDescent="0.25">
      <c r="A451" t="s">
        <v>888</v>
      </c>
      <c r="B451" t="s">
        <v>17</v>
      </c>
      <c r="C451">
        <v>53</v>
      </c>
      <c r="D451" t="s">
        <v>12</v>
      </c>
      <c r="E451" t="s">
        <v>50</v>
      </c>
      <c r="F451" t="s">
        <v>47</v>
      </c>
      <c r="G451">
        <v>2343358</v>
      </c>
      <c r="H451">
        <v>15.03</v>
      </c>
      <c r="I451">
        <v>25.9</v>
      </c>
      <c r="J451" s="1">
        <v>44384</v>
      </c>
      <c r="K451">
        <v>332</v>
      </c>
      <c r="L451">
        <v>5.4794520547945212E-4</v>
      </c>
      <c r="M451">
        <v>1284.0317808219179</v>
      </c>
      <c r="N451">
        <v>426298.55123287672</v>
      </c>
    </row>
    <row r="452" spans="1:14" x14ac:dyDescent="0.25">
      <c r="A452" t="s">
        <v>890</v>
      </c>
      <c r="B452" t="s">
        <v>17</v>
      </c>
      <c r="C452">
        <v>63</v>
      </c>
      <c r="D452" t="s">
        <v>28</v>
      </c>
      <c r="E452" t="s">
        <v>23</v>
      </c>
      <c r="F452" t="s">
        <v>41</v>
      </c>
      <c r="G452">
        <v>2395112</v>
      </c>
      <c r="H452">
        <v>32.020000000000003</v>
      </c>
      <c r="I452">
        <v>1.6</v>
      </c>
      <c r="J452" s="1">
        <v>43358</v>
      </c>
      <c r="K452">
        <v>66</v>
      </c>
      <c r="L452">
        <v>5.4794520547945212E-4</v>
      </c>
      <c r="M452">
        <v>1312.3901369863015</v>
      </c>
      <c r="N452">
        <v>86617.7490410959</v>
      </c>
    </row>
    <row r="453" spans="1:14" x14ac:dyDescent="0.25">
      <c r="A453" t="s">
        <v>892</v>
      </c>
      <c r="B453" t="s">
        <v>11</v>
      </c>
      <c r="C453">
        <v>44</v>
      </c>
      <c r="D453" t="s">
        <v>12</v>
      </c>
      <c r="E453" t="s">
        <v>13</v>
      </c>
      <c r="F453" t="s">
        <v>14</v>
      </c>
      <c r="G453">
        <v>4031968</v>
      </c>
      <c r="H453">
        <v>22.77</v>
      </c>
      <c r="I453">
        <v>41.58</v>
      </c>
      <c r="J453" s="1">
        <v>44218</v>
      </c>
      <c r="K453">
        <v>76</v>
      </c>
      <c r="L453">
        <v>5.4794520547945212E-4</v>
      </c>
      <c r="M453">
        <v>2209.2975342465757</v>
      </c>
      <c r="N453">
        <v>167906.61260273974</v>
      </c>
    </row>
    <row r="454" spans="1:14" x14ac:dyDescent="0.25">
      <c r="A454" t="s">
        <v>894</v>
      </c>
      <c r="B454" t="s">
        <v>11</v>
      </c>
      <c r="C454">
        <v>44</v>
      </c>
      <c r="D454" t="s">
        <v>12</v>
      </c>
      <c r="E454" t="s">
        <v>29</v>
      </c>
      <c r="F454" t="s">
        <v>20</v>
      </c>
      <c r="G454">
        <v>682376</v>
      </c>
      <c r="H454">
        <v>16.899999999999999</v>
      </c>
      <c r="I454">
        <v>29.99</v>
      </c>
      <c r="J454" s="1">
        <v>43918</v>
      </c>
      <c r="K454">
        <v>155</v>
      </c>
      <c r="L454">
        <v>5.4794520547945212E-4</v>
      </c>
      <c r="M454">
        <v>373.90465753424661</v>
      </c>
      <c r="N454">
        <v>57955.221917808223</v>
      </c>
    </row>
    <row r="455" spans="1:14" x14ac:dyDescent="0.25">
      <c r="A455" t="s">
        <v>896</v>
      </c>
      <c r="B455" t="s">
        <v>11</v>
      </c>
      <c r="C455">
        <v>47</v>
      </c>
      <c r="D455" t="s">
        <v>18</v>
      </c>
      <c r="E455" t="s">
        <v>29</v>
      </c>
      <c r="F455" t="s">
        <v>35</v>
      </c>
      <c r="G455">
        <v>4847536</v>
      </c>
      <c r="H455">
        <v>14.87</v>
      </c>
      <c r="I455">
        <v>20.09</v>
      </c>
      <c r="J455" s="1">
        <v>44049</v>
      </c>
      <c r="K455">
        <v>42</v>
      </c>
      <c r="L455">
        <v>5.4794520547945212E-4</v>
      </c>
      <c r="M455">
        <v>2656.1841095890413</v>
      </c>
      <c r="N455">
        <v>111559.73260273974</v>
      </c>
    </row>
    <row r="456" spans="1:14" x14ac:dyDescent="0.25">
      <c r="A456" t="s">
        <v>898</v>
      </c>
      <c r="B456" t="s">
        <v>11</v>
      </c>
      <c r="C456">
        <v>61</v>
      </c>
      <c r="D456" t="s">
        <v>46</v>
      </c>
      <c r="E456" t="s">
        <v>50</v>
      </c>
      <c r="F456" t="s">
        <v>30</v>
      </c>
      <c r="G456">
        <v>2641784</v>
      </c>
      <c r="H456">
        <v>8.34</v>
      </c>
      <c r="I456">
        <v>41.14</v>
      </c>
      <c r="J456" s="1">
        <v>45540</v>
      </c>
      <c r="K456">
        <v>73</v>
      </c>
      <c r="L456">
        <v>5.4794520547945212E-4</v>
      </c>
      <c r="M456">
        <v>1447.552876712329</v>
      </c>
      <c r="N456">
        <v>105671.36000000002</v>
      </c>
    </row>
    <row r="457" spans="1:14" x14ac:dyDescent="0.25">
      <c r="A457" t="s">
        <v>900</v>
      </c>
      <c r="B457" t="s">
        <v>17</v>
      </c>
      <c r="C457">
        <v>54</v>
      </c>
      <c r="D457" t="s">
        <v>38</v>
      </c>
      <c r="E457" t="s">
        <v>29</v>
      </c>
      <c r="F457" t="s">
        <v>30</v>
      </c>
      <c r="G457">
        <v>2048635</v>
      </c>
      <c r="H457">
        <v>17.93</v>
      </c>
      <c r="I457">
        <v>12.47</v>
      </c>
      <c r="J457" s="1">
        <v>44211</v>
      </c>
      <c r="K457">
        <v>160</v>
      </c>
      <c r="L457">
        <v>5.4794520547945212E-4</v>
      </c>
      <c r="M457">
        <v>1122.5397260273974</v>
      </c>
      <c r="N457">
        <v>179606.35616438359</v>
      </c>
    </row>
    <row r="458" spans="1:14" x14ac:dyDescent="0.25">
      <c r="A458" t="s">
        <v>901</v>
      </c>
      <c r="B458" t="s">
        <v>17</v>
      </c>
      <c r="C458">
        <v>25</v>
      </c>
      <c r="D458" t="s">
        <v>38</v>
      </c>
      <c r="E458" t="s">
        <v>19</v>
      </c>
      <c r="F458" t="s">
        <v>20</v>
      </c>
      <c r="G458">
        <v>921492</v>
      </c>
      <c r="H458">
        <v>6.28</v>
      </c>
      <c r="I458">
        <v>18.32</v>
      </c>
      <c r="J458" s="1">
        <v>44464</v>
      </c>
      <c r="K458">
        <v>351</v>
      </c>
      <c r="L458">
        <v>5.4794520547945212E-4</v>
      </c>
      <c r="M458">
        <v>504.92712328767129</v>
      </c>
      <c r="N458">
        <v>177229.42027397262</v>
      </c>
    </row>
    <row r="459" spans="1:14" x14ac:dyDescent="0.25">
      <c r="A459" t="s">
        <v>903</v>
      </c>
      <c r="B459" t="s">
        <v>17</v>
      </c>
      <c r="C459">
        <v>33</v>
      </c>
      <c r="D459" t="s">
        <v>46</v>
      </c>
      <c r="E459" t="s">
        <v>50</v>
      </c>
      <c r="F459" t="s">
        <v>30</v>
      </c>
      <c r="G459">
        <v>4286266</v>
      </c>
      <c r="H459">
        <v>32.57</v>
      </c>
      <c r="I459">
        <v>28.72</v>
      </c>
      <c r="J459" s="1">
        <v>43117</v>
      </c>
      <c r="K459">
        <v>332</v>
      </c>
      <c r="L459">
        <v>5.4794520547945212E-4</v>
      </c>
      <c r="M459">
        <v>2348.6389041095895</v>
      </c>
      <c r="N459">
        <v>779748.11616438371</v>
      </c>
    </row>
    <row r="460" spans="1:14" x14ac:dyDescent="0.25">
      <c r="A460" t="s">
        <v>905</v>
      </c>
      <c r="B460" t="s">
        <v>11</v>
      </c>
      <c r="C460">
        <v>50</v>
      </c>
      <c r="D460" t="s">
        <v>38</v>
      </c>
      <c r="E460" t="s">
        <v>29</v>
      </c>
      <c r="F460" t="s">
        <v>47</v>
      </c>
      <c r="G460">
        <v>4928607</v>
      </c>
      <c r="H460">
        <v>9.4700000000000006</v>
      </c>
      <c r="I460">
        <v>44.93</v>
      </c>
      <c r="J460" s="1">
        <v>44621</v>
      </c>
      <c r="K460">
        <v>94</v>
      </c>
      <c r="L460">
        <v>5.4794520547945212E-4</v>
      </c>
      <c r="M460">
        <v>2700.6065753424659</v>
      </c>
      <c r="N460">
        <v>253857.01808219179</v>
      </c>
    </row>
    <row r="461" spans="1:14" x14ac:dyDescent="0.25">
      <c r="A461" t="s">
        <v>907</v>
      </c>
      <c r="B461" t="s">
        <v>17</v>
      </c>
      <c r="C461">
        <v>24</v>
      </c>
      <c r="D461" t="s">
        <v>28</v>
      </c>
      <c r="E461" t="s">
        <v>23</v>
      </c>
      <c r="F461" t="s">
        <v>35</v>
      </c>
      <c r="G461">
        <v>4627814</v>
      </c>
      <c r="H461">
        <v>8.56</v>
      </c>
      <c r="I461">
        <v>5.32</v>
      </c>
      <c r="J461" s="1">
        <v>45388</v>
      </c>
      <c r="K461">
        <v>195</v>
      </c>
      <c r="L461">
        <v>5.4794520547945212E-4</v>
      </c>
      <c r="M461">
        <v>2535.7884931506851</v>
      </c>
      <c r="N461">
        <v>494478.75616438361</v>
      </c>
    </row>
    <row r="462" spans="1:14" x14ac:dyDescent="0.25">
      <c r="A462" t="s">
        <v>909</v>
      </c>
      <c r="B462" t="s">
        <v>11</v>
      </c>
      <c r="C462">
        <v>25</v>
      </c>
      <c r="D462" t="s">
        <v>12</v>
      </c>
      <c r="E462" t="s">
        <v>13</v>
      </c>
      <c r="F462" t="s">
        <v>30</v>
      </c>
      <c r="G462">
        <v>204632</v>
      </c>
      <c r="H462">
        <v>7.62</v>
      </c>
      <c r="I462">
        <v>5.9</v>
      </c>
      <c r="J462" s="1">
        <v>44526</v>
      </c>
      <c r="K462">
        <v>117</v>
      </c>
      <c r="L462">
        <v>5.4794520547945212E-4</v>
      </c>
      <c r="M462">
        <v>112.12712328767125</v>
      </c>
      <c r="N462">
        <v>13118.873424657537</v>
      </c>
    </row>
    <row r="463" spans="1:14" x14ac:dyDescent="0.25">
      <c r="A463" t="s">
        <v>911</v>
      </c>
      <c r="B463" t="s">
        <v>11</v>
      </c>
      <c r="C463">
        <v>56</v>
      </c>
      <c r="D463" t="s">
        <v>38</v>
      </c>
      <c r="E463" t="s">
        <v>57</v>
      </c>
      <c r="F463" t="s">
        <v>41</v>
      </c>
      <c r="G463">
        <v>2974151</v>
      </c>
      <c r="H463">
        <v>10.28</v>
      </c>
      <c r="I463">
        <v>27.23</v>
      </c>
      <c r="J463" s="1">
        <v>43560</v>
      </c>
      <c r="K463">
        <v>84</v>
      </c>
      <c r="L463">
        <v>5.4794520547945212E-4</v>
      </c>
      <c r="M463">
        <v>1629.671780821918</v>
      </c>
      <c r="N463">
        <v>136892.4295890411</v>
      </c>
    </row>
    <row r="464" spans="1:14" x14ac:dyDescent="0.25">
      <c r="A464" t="s">
        <v>913</v>
      </c>
      <c r="B464" t="s">
        <v>17</v>
      </c>
      <c r="C464">
        <v>55</v>
      </c>
      <c r="D464" t="s">
        <v>46</v>
      </c>
      <c r="E464" t="s">
        <v>23</v>
      </c>
      <c r="F464" t="s">
        <v>41</v>
      </c>
      <c r="G464">
        <v>1802914</v>
      </c>
      <c r="H464">
        <v>25.93</v>
      </c>
      <c r="I464">
        <v>11.93</v>
      </c>
      <c r="J464" s="1">
        <v>44504</v>
      </c>
      <c r="K464">
        <v>159</v>
      </c>
      <c r="L464">
        <v>5.4794520547945212E-4</v>
      </c>
      <c r="M464">
        <v>987.89808219178099</v>
      </c>
      <c r="N464">
        <v>157075.79506849317</v>
      </c>
    </row>
    <row r="465" spans="1:14" x14ac:dyDescent="0.25">
      <c r="A465" t="s">
        <v>915</v>
      </c>
      <c r="B465" t="s">
        <v>11</v>
      </c>
      <c r="C465">
        <v>40</v>
      </c>
      <c r="D465" t="s">
        <v>12</v>
      </c>
      <c r="E465" t="s">
        <v>19</v>
      </c>
      <c r="F465" t="s">
        <v>14</v>
      </c>
      <c r="G465">
        <v>808165</v>
      </c>
      <c r="H465">
        <v>13.99</v>
      </c>
      <c r="I465">
        <v>-5.15</v>
      </c>
      <c r="J465" s="1">
        <v>45549</v>
      </c>
      <c r="K465">
        <v>76</v>
      </c>
      <c r="L465">
        <v>5.4794520547945212E-4</v>
      </c>
      <c r="M465">
        <v>442.83013698630145</v>
      </c>
      <c r="N465">
        <v>33655.09041095891</v>
      </c>
    </row>
    <row r="466" spans="1:14" x14ac:dyDescent="0.25">
      <c r="A466" t="s">
        <v>917</v>
      </c>
      <c r="B466" t="s">
        <v>17</v>
      </c>
      <c r="C466">
        <v>60</v>
      </c>
      <c r="D466" t="s">
        <v>28</v>
      </c>
      <c r="E466" t="s">
        <v>29</v>
      </c>
      <c r="F466" t="s">
        <v>30</v>
      </c>
      <c r="G466">
        <v>3206026</v>
      </c>
      <c r="H466">
        <v>19.739999999999998</v>
      </c>
      <c r="I466">
        <v>1.97</v>
      </c>
      <c r="J466" s="1">
        <v>45572</v>
      </c>
      <c r="K466">
        <v>85</v>
      </c>
      <c r="L466">
        <v>5.4794520547945212E-4</v>
      </c>
      <c r="M466">
        <v>1756.726575342466</v>
      </c>
      <c r="N466">
        <v>149321.75890410962</v>
      </c>
    </row>
    <row r="467" spans="1:14" x14ac:dyDescent="0.25">
      <c r="A467" t="s">
        <v>919</v>
      </c>
      <c r="B467" t="s">
        <v>17</v>
      </c>
      <c r="C467">
        <v>41</v>
      </c>
      <c r="D467" t="s">
        <v>46</v>
      </c>
      <c r="E467" t="s">
        <v>57</v>
      </c>
      <c r="F467" t="s">
        <v>20</v>
      </c>
      <c r="G467">
        <v>4938652</v>
      </c>
      <c r="H467">
        <v>23.71</v>
      </c>
      <c r="I467">
        <v>3.04</v>
      </c>
      <c r="J467" s="1">
        <v>44933</v>
      </c>
      <c r="K467">
        <v>173</v>
      </c>
      <c r="L467">
        <v>5.4794520547945212E-4</v>
      </c>
      <c r="M467">
        <v>2706.110684931507</v>
      </c>
      <c r="N467">
        <v>468157.14849315071</v>
      </c>
    </row>
    <row r="468" spans="1:14" x14ac:dyDescent="0.25">
      <c r="A468" t="s">
        <v>921</v>
      </c>
      <c r="B468" t="s">
        <v>11</v>
      </c>
      <c r="C468">
        <v>26</v>
      </c>
      <c r="D468" t="s">
        <v>46</v>
      </c>
      <c r="E468" t="s">
        <v>23</v>
      </c>
      <c r="F468" t="s">
        <v>30</v>
      </c>
      <c r="G468">
        <v>2349472</v>
      </c>
      <c r="H468">
        <v>19.96</v>
      </c>
      <c r="I468">
        <v>36.36</v>
      </c>
      <c r="J468" s="1">
        <v>44034</v>
      </c>
      <c r="K468">
        <v>42</v>
      </c>
      <c r="L468">
        <v>5.4794520547945212E-4</v>
      </c>
      <c r="M468">
        <v>1287.3819178082194</v>
      </c>
      <c r="N468">
        <v>54070.040547945217</v>
      </c>
    </row>
    <row r="469" spans="1:14" x14ac:dyDescent="0.25">
      <c r="A469" t="s">
        <v>923</v>
      </c>
      <c r="B469" t="s">
        <v>17</v>
      </c>
      <c r="C469">
        <v>33</v>
      </c>
      <c r="D469" t="s">
        <v>12</v>
      </c>
      <c r="E469" t="s">
        <v>29</v>
      </c>
      <c r="F469" t="s">
        <v>35</v>
      </c>
      <c r="G469">
        <v>4269660</v>
      </c>
      <c r="H469">
        <v>7.21</v>
      </c>
      <c r="I469">
        <v>2.59</v>
      </c>
      <c r="J469" s="1">
        <v>44009</v>
      </c>
      <c r="K469">
        <v>140</v>
      </c>
      <c r="L469">
        <v>5.4794520547945212E-4</v>
      </c>
      <c r="M469">
        <v>2339.5397260273976</v>
      </c>
      <c r="N469">
        <v>327535.56164383568</v>
      </c>
    </row>
    <row r="470" spans="1:14" x14ac:dyDescent="0.25">
      <c r="A470" t="s">
        <v>925</v>
      </c>
      <c r="B470" t="s">
        <v>17</v>
      </c>
      <c r="C470">
        <v>22</v>
      </c>
      <c r="D470" t="s">
        <v>12</v>
      </c>
      <c r="E470" t="s">
        <v>13</v>
      </c>
      <c r="F470" t="s">
        <v>35</v>
      </c>
      <c r="G470">
        <v>4159437</v>
      </c>
      <c r="H470">
        <v>22.33</v>
      </c>
      <c r="I470">
        <v>29.16</v>
      </c>
      <c r="J470" s="1">
        <v>44074</v>
      </c>
      <c r="K470">
        <v>267</v>
      </c>
      <c r="L470">
        <v>5.4794520547945212E-4</v>
      </c>
      <c r="M470">
        <v>2279.1435616438357</v>
      </c>
      <c r="N470">
        <v>608531.33095890412</v>
      </c>
    </row>
    <row r="471" spans="1:14" x14ac:dyDescent="0.25">
      <c r="A471" t="s">
        <v>927</v>
      </c>
      <c r="B471" t="s">
        <v>17</v>
      </c>
      <c r="C471">
        <v>59</v>
      </c>
      <c r="D471" t="s">
        <v>28</v>
      </c>
      <c r="E471" t="s">
        <v>23</v>
      </c>
      <c r="F471" t="s">
        <v>30</v>
      </c>
      <c r="G471">
        <v>4528640</v>
      </c>
      <c r="H471">
        <v>20.94</v>
      </c>
      <c r="I471">
        <v>16.47</v>
      </c>
      <c r="J471" s="1">
        <v>43683</v>
      </c>
      <c r="K471">
        <v>183</v>
      </c>
      <c r="L471">
        <v>5.4794520547945212E-4</v>
      </c>
      <c r="M471">
        <v>2481.4465753424661</v>
      </c>
      <c r="N471">
        <v>454104.72328767128</v>
      </c>
    </row>
    <row r="472" spans="1:14" x14ac:dyDescent="0.25">
      <c r="A472" t="s">
        <v>928</v>
      </c>
      <c r="B472" t="s">
        <v>11</v>
      </c>
      <c r="C472">
        <v>63</v>
      </c>
      <c r="D472" t="s">
        <v>38</v>
      </c>
      <c r="E472" t="s">
        <v>57</v>
      </c>
      <c r="F472" t="s">
        <v>47</v>
      </c>
      <c r="G472">
        <v>3270605</v>
      </c>
      <c r="H472">
        <v>23.93</v>
      </c>
      <c r="I472">
        <v>-2.27</v>
      </c>
      <c r="J472" s="1">
        <v>43599</v>
      </c>
      <c r="K472">
        <v>172</v>
      </c>
      <c r="L472">
        <v>5.4794520547945212E-4</v>
      </c>
      <c r="M472">
        <v>1792.1123287671235</v>
      </c>
      <c r="N472">
        <v>308243.32054794522</v>
      </c>
    </row>
    <row r="473" spans="1:14" x14ac:dyDescent="0.25">
      <c r="A473" t="s">
        <v>930</v>
      </c>
      <c r="B473" t="s">
        <v>17</v>
      </c>
      <c r="C473">
        <v>27</v>
      </c>
      <c r="D473" t="s">
        <v>28</v>
      </c>
      <c r="E473" t="s">
        <v>50</v>
      </c>
      <c r="F473" t="s">
        <v>47</v>
      </c>
      <c r="G473">
        <v>3979757</v>
      </c>
      <c r="H473">
        <v>11.46</v>
      </c>
      <c r="I473">
        <v>20.77</v>
      </c>
      <c r="J473" s="1">
        <v>43822</v>
      </c>
      <c r="K473">
        <v>84</v>
      </c>
      <c r="L473">
        <v>5.4794520547945212E-4</v>
      </c>
      <c r="M473">
        <v>2180.688767123288</v>
      </c>
      <c r="N473">
        <v>183177.85643835619</v>
      </c>
    </row>
    <row r="474" spans="1:14" x14ac:dyDescent="0.25">
      <c r="A474" t="s">
        <v>932</v>
      </c>
      <c r="B474" t="s">
        <v>17</v>
      </c>
      <c r="C474">
        <v>23</v>
      </c>
      <c r="D474" t="s">
        <v>46</v>
      </c>
      <c r="E474" t="s">
        <v>29</v>
      </c>
      <c r="F474" t="s">
        <v>41</v>
      </c>
      <c r="G474">
        <v>3568943</v>
      </c>
      <c r="H474">
        <v>15.08</v>
      </c>
      <c r="I474">
        <v>17.88</v>
      </c>
      <c r="J474" s="1">
        <v>44407</v>
      </c>
      <c r="K474">
        <v>17</v>
      </c>
      <c r="L474">
        <v>5.4794520547945212E-4</v>
      </c>
      <c r="M474">
        <v>1955.5852054794523</v>
      </c>
      <c r="N474">
        <v>33244.948493150689</v>
      </c>
    </row>
    <row r="475" spans="1:14" x14ac:dyDescent="0.25">
      <c r="A475" t="s">
        <v>934</v>
      </c>
      <c r="B475" t="s">
        <v>11</v>
      </c>
      <c r="C475">
        <v>30</v>
      </c>
      <c r="D475" t="s">
        <v>38</v>
      </c>
      <c r="E475" t="s">
        <v>57</v>
      </c>
      <c r="F475" t="s">
        <v>14</v>
      </c>
      <c r="G475">
        <v>637323</v>
      </c>
      <c r="H475">
        <v>21.92</v>
      </c>
      <c r="I475">
        <v>-6.78</v>
      </c>
      <c r="J475" s="1">
        <v>43187</v>
      </c>
      <c r="K475">
        <v>136</v>
      </c>
      <c r="L475">
        <v>5.4794520547945212E-4</v>
      </c>
      <c r="M475">
        <v>349.21808219178087</v>
      </c>
      <c r="N475">
        <v>47493.659178082198</v>
      </c>
    </row>
    <row r="476" spans="1:14" x14ac:dyDescent="0.25">
      <c r="A476" t="s">
        <v>936</v>
      </c>
      <c r="B476" t="s">
        <v>11</v>
      </c>
      <c r="C476">
        <v>28</v>
      </c>
      <c r="D476" t="s">
        <v>38</v>
      </c>
      <c r="E476" t="s">
        <v>23</v>
      </c>
      <c r="F476" t="s">
        <v>20</v>
      </c>
      <c r="G476">
        <v>2247831</v>
      </c>
      <c r="H476">
        <v>34.26</v>
      </c>
      <c r="I476">
        <v>15.48</v>
      </c>
      <c r="J476" s="1">
        <v>44859</v>
      </c>
      <c r="K476">
        <v>342</v>
      </c>
      <c r="L476">
        <v>5.4794520547945212E-4</v>
      </c>
      <c r="M476">
        <v>1231.6882191780824</v>
      </c>
      <c r="N476">
        <v>421237.37095890415</v>
      </c>
    </row>
    <row r="477" spans="1:14" x14ac:dyDescent="0.25">
      <c r="A477" t="s">
        <v>938</v>
      </c>
      <c r="B477" t="s">
        <v>11</v>
      </c>
      <c r="C477">
        <v>49</v>
      </c>
      <c r="D477" t="s">
        <v>28</v>
      </c>
      <c r="E477" t="s">
        <v>13</v>
      </c>
      <c r="F477" t="s">
        <v>41</v>
      </c>
      <c r="G477">
        <v>636721</v>
      </c>
      <c r="H477">
        <v>18.75</v>
      </c>
      <c r="I477">
        <v>29.29</v>
      </c>
      <c r="J477" s="1">
        <v>44620</v>
      </c>
      <c r="K477">
        <v>89</v>
      </c>
      <c r="L477">
        <v>5.4794520547945212E-4</v>
      </c>
      <c r="M477">
        <v>348.88821917808224</v>
      </c>
      <c r="N477">
        <v>31051.051506849319</v>
      </c>
    </row>
    <row r="478" spans="1:14" x14ac:dyDescent="0.25">
      <c r="A478" t="s">
        <v>939</v>
      </c>
      <c r="B478" t="s">
        <v>17</v>
      </c>
      <c r="C478">
        <v>52</v>
      </c>
      <c r="D478" t="s">
        <v>46</v>
      </c>
      <c r="E478" t="s">
        <v>50</v>
      </c>
      <c r="F478" t="s">
        <v>20</v>
      </c>
      <c r="G478">
        <v>4183596</v>
      </c>
      <c r="H478">
        <v>12.15</v>
      </c>
      <c r="I478">
        <v>15.91</v>
      </c>
      <c r="J478" s="1">
        <v>43394</v>
      </c>
      <c r="K478">
        <v>108</v>
      </c>
      <c r="L478">
        <v>5.4794520547945212E-4</v>
      </c>
      <c r="M478">
        <v>2292.3813698630138</v>
      </c>
      <c r="N478">
        <v>247577.18794520549</v>
      </c>
    </row>
    <row r="479" spans="1:14" x14ac:dyDescent="0.25">
      <c r="A479" t="s">
        <v>941</v>
      </c>
      <c r="B479" t="s">
        <v>11</v>
      </c>
      <c r="C479">
        <v>51</v>
      </c>
      <c r="D479" t="s">
        <v>38</v>
      </c>
      <c r="E479" t="s">
        <v>19</v>
      </c>
      <c r="F479" t="s">
        <v>41</v>
      </c>
      <c r="G479">
        <v>1185697</v>
      </c>
      <c r="H479">
        <v>20.11</v>
      </c>
      <c r="I479">
        <v>36.6</v>
      </c>
      <c r="J479" s="1">
        <v>43172</v>
      </c>
      <c r="K479">
        <v>20</v>
      </c>
      <c r="L479">
        <v>5.4794520547945212E-4</v>
      </c>
      <c r="M479">
        <v>649.69698630136998</v>
      </c>
      <c r="N479">
        <v>12993.9397260274</v>
      </c>
    </row>
    <row r="480" spans="1:14" x14ac:dyDescent="0.25">
      <c r="A480" t="s">
        <v>943</v>
      </c>
      <c r="B480" t="s">
        <v>11</v>
      </c>
      <c r="C480">
        <v>63</v>
      </c>
      <c r="D480" t="s">
        <v>18</v>
      </c>
      <c r="E480" t="s">
        <v>50</v>
      </c>
      <c r="F480" t="s">
        <v>35</v>
      </c>
      <c r="G480">
        <v>3562372</v>
      </c>
      <c r="H480">
        <v>33.950000000000003</v>
      </c>
      <c r="I480">
        <v>-1.89</v>
      </c>
      <c r="J480" s="1">
        <v>43947</v>
      </c>
      <c r="K480">
        <v>65</v>
      </c>
      <c r="L480">
        <v>5.4794520547945212E-4</v>
      </c>
      <c r="M480">
        <v>1951.9846575342469</v>
      </c>
      <c r="N480">
        <v>126879.00273972606</v>
      </c>
    </row>
    <row r="481" spans="1:14" x14ac:dyDescent="0.25">
      <c r="A481" t="s">
        <v>945</v>
      </c>
      <c r="B481" t="s">
        <v>17</v>
      </c>
      <c r="C481">
        <v>58</v>
      </c>
      <c r="D481" t="s">
        <v>18</v>
      </c>
      <c r="E481" t="s">
        <v>50</v>
      </c>
      <c r="F481" t="s">
        <v>14</v>
      </c>
      <c r="G481">
        <v>4202753</v>
      </c>
      <c r="H481">
        <v>7.84</v>
      </c>
      <c r="I481">
        <v>-7.56</v>
      </c>
      <c r="J481" s="1">
        <v>44596</v>
      </c>
      <c r="K481">
        <v>114</v>
      </c>
      <c r="L481">
        <v>5.4794520547945212E-4</v>
      </c>
      <c r="M481">
        <v>2302.8783561643841</v>
      </c>
      <c r="N481">
        <v>262528.13260273979</v>
      </c>
    </row>
    <row r="482" spans="1:14" x14ac:dyDescent="0.25">
      <c r="A482" t="s">
        <v>947</v>
      </c>
      <c r="B482" t="s">
        <v>17</v>
      </c>
      <c r="C482">
        <v>51</v>
      </c>
      <c r="D482" t="s">
        <v>28</v>
      </c>
      <c r="E482" t="s">
        <v>29</v>
      </c>
      <c r="F482" t="s">
        <v>47</v>
      </c>
      <c r="G482">
        <v>2095006</v>
      </c>
      <c r="H482">
        <v>14.46</v>
      </c>
      <c r="I482">
        <v>-1.38</v>
      </c>
      <c r="J482" s="1">
        <v>43813</v>
      </c>
      <c r="K482">
        <v>33</v>
      </c>
      <c r="L482">
        <v>5.4794520547945212E-4</v>
      </c>
      <c r="M482">
        <v>1147.9484931506852</v>
      </c>
      <c r="N482">
        <v>37882.300273972614</v>
      </c>
    </row>
    <row r="483" spans="1:14" x14ac:dyDescent="0.25">
      <c r="A483" t="s">
        <v>949</v>
      </c>
      <c r="B483" t="s">
        <v>17</v>
      </c>
      <c r="C483">
        <v>25</v>
      </c>
      <c r="D483" t="s">
        <v>28</v>
      </c>
      <c r="E483" t="s">
        <v>13</v>
      </c>
      <c r="F483" t="s">
        <v>35</v>
      </c>
      <c r="G483">
        <v>3578639</v>
      </c>
      <c r="H483">
        <v>28.71</v>
      </c>
      <c r="I483">
        <v>44.62</v>
      </c>
      <c r="J483" s="1">
        <v>44794</v>
      </c>
      <c r="K483">
        <v>152</v>
      </c>
      <c r="L483">
        <v>5.4794520547945212E-4</v>
      </c>
      <c r="M483">
        <v>1960.898082191781</v>
      </c>
      <c r="N483">
        <v>298056.5084931507</v>
      </c>
    </row>
    <row r="484" spans="1:14" x14ac:dyDescent="0.25">
      <c r="A484" t="s">
        <v>951</v>
      </c>
      <c r="B484" t="s">
        <v>11</v>
      </c>
      <c r="C484">
        <v>63</v>
      </c>
      <c r="D484" t="s">
        <v>28</v>
      </c>
      <c r="E484" t="s">
        <v>13</v>
      </c>
      <c r="F484" t="s">
        <v>35</v>
      </c>
      <c r="G484">
        <v>1127606</v>
      </c>
      <c r="H484">
        <v>8.89</v>
      </c>
      <c r="I484">
        <v>2.08</v>
      </c>
      <c r="J484" s="1">
        <v>45304</v>
      </c>
      <c r="K484">
        <v>304</v>
      </c>
      <c r="L484">
        <v>5.4794520547945212E-4</v>
      </c>
      <c r="M484">
        <v>617.86630136986309</v>
      </c>
      <c r="N484">
        <v>187831.35561643838</v>
      </c>
    </row>
    <row r="485" spans="1:14" x14ac:dyDescent="0.25">
      <c r="A485" t="s">
        <v>953</v>
      </c>
      <c r="B485" t="s">
        <v>17</v>
      </c>
      <c r="C485">
        <v>26</v>
      </c>
      <c r="D485" t="s">
        <v>38</v>
      </c>
      <c r="E485" t="s">
        <v>19</v>
      </c>
      <c r="F485" t="s">
        <v>47</v>
      </c>
      <c r="G485">
        <v>2244682</v>
      </c>
      <c r="H485">
        <v>14.45</v>
      </c>
      <c r="I485">
        <v>-8.19</v>
      </c>
      <c r="J485" s="1">
        <v>43992</v>
      </c>
      <c r="K485">
        <v>200</v>
      </c>
      <c r="L485">
        <v>5.4794520547945212E-4</v>
      </c>
      <c r="M485">
        <v>1229.9627397260276</v>
      </c>
      <c r="N485">
        <v>245992.54794520553</v>
      </c>
    </row>
    <row r="486" spans="1:14" x14ac:dyDescent="0.25">
      <c r="A486" t="s">
        <v>955</v>
      </c>
      <c r="B486" t="s">
        <v>11</v>
      </c>
      <c r="C486">
        <v>34</v>
      </c>
      <c r="D486" t="s">
        <v>18</v>
      </c>
      <c r="E486" t="s">
        <v>23</v>
      </c>
      <c r="F486" t="s">
        <v>41</v>
      </c>
      <c r="G486">
        <v>4250353</v>
      </c>
      <c r="H486">
        <v>9.35</v>
      </c>
      <c r="I486">
        <v>29.55</v>
      </c>
      <c r="J486" s="1">
        <v>43503</v>
      </c>
      <c r="K486">
        <v>252</v>
      </c>
      <c r="L486">
        <v>5.4794520547945212E-4</v>
      </c>
      <c r="M486">
        <v>2328.9605479452057</v>
      </c>
      <c r="N486">
        <v>586898.05808219186</v>
      </c>
    </row>
    <row r="487" spans="1:14" x14ac:dyDescent="0.25">
      <c r="A487" t="s">
        <v>957</v>
      </c>
      <c r="B487" t="s">
        <v>17</v>
      </c>
      <c r="C487">
        <v>24</v>
      </c>
      <c r="D487" t="s">
        <v>12</v>
      </c>
      <c r="E487" t="s">
        <v>23</v>
      </c>
      <c r="F487" t="s">
        <v>20</v>
      </c>
      <c r="G487">
        <v>3587485</v>
      </c>
      <c r="H487">
        <v>11.31</v>
      </c>
      <c r="I487">
        <v>41</v>
      </c>
      <c r="J487" s="1">
        <v>45401</v>
      </c>
      <c r="K487">
        <v>111</v>
      </c>
      <c r="L487">
        <v>5.4794520547945212E-4</v>
      </c>
      <c r="M487">
        <v>1965.7452054794524</v>
      </c>
      <c r="N487">
        <v>218197.7178082192</v>
      </c>
    </row>
    <row r="488" spans="1:14" x14ac:dyDescent="0.25">
      <c r="A488" t="s">
        <v>959</v>
      </c>
      <c r="B488" t="s">
        <v>17</v>
      </c>
      <c r="C488">
        <v>41</v>
      </c>
      <c r="D488" t="s">
        <v>38</v>
      </c>
      <c r="E488" t="s">
        <v>13</v>
      </c>
      <c r="F488" t="s">
        <v>30</v>
      </c>
      <c r="G488">
        <v>1304052</v>
      </c>
      <c r="H488">
        <v>23.29</v>
      </c>
      <c r="I488">
        <v>-1.93</v>
      </c>
      <c r="J488" s="1">
        <v>44862</v>
      </c>
      <c r="K488">
        <v>283</v>
      </c>
      <c r="L488">
        <v>5.4794520547945212E-4</v>
      </c>
      <c r="M488">
        <v>714.54904109589052</v>
      </c>
      <c r="N488">
        <v>202217.37863013701</v>
      </c>
    </row>
    <row r="489" spans="1:14" x14ac:dyDescent="0.25">
      <c r="A489" t="s">
        <v>961</v>
      </c>
      <c r="B489" t="s">
        <v>11</v>
      </c>
      <c r="C489">
        <v>61</v>
      </c>
      <c r="D489" t="s">
        <v>18</v>
      </c>
      <c r="E489" t="s">
        <v>50</v>
      </c>
      <c r="F489" t="s">
        <v>41</v>
      </c>
      <c r="G489">
        <v>923680</v>
      </c>
      <c r="H489">
        <v>31.16</v>
      </c>
      <c r="I489">
        <v>37.01</v>
      </c>
      <c r="J489" s="1">
        <v>44611</v>
      </c>
      <c r="K489">
        <v>290</v>
      </c>
      <c r="L489">
        <v>5.4794520547945212E-4</v>
      </c>
      <c r="M489">
        <v>506.12602739726032</v>
      </c>
      <c r="N489">
        <v>146776.5479452055</v>
      </c>
    </row>
    <row r="490" spans="1:14" x14ac:dyDescent="0.25">
      <c r="A490" t="s">
        <v>963</v>
      </c>
      <c r="B490" t="s">
        <v>17</v>
      </c>
      <c r="C490">
        <v>49</v>
      </c>
      <c r="D490" t="s">
        <v>12</v>
      </c>
      <c r="E490" t="s">
        <v>23</v>
      </c>
      <c r="F490" t="s">
        <v>20</v>
      </c>
      <c r="G490">
        <v>3617916</v>
      </c>
      <c r="H490">
        <v>17</v>
      </c>
      <c r="I490">
        <v>5.97</v>
      </c>
      <c r="J490" s="1">
        <v>45508</v>
      </c>
      <c r="K490">
        <v>133</v>
      </c>
      <c r="L490">
        <v>5.4794520547945212E-4</v>
      </c>
      <c r="M490">
        <v>1982.4197260273975</v>
      </c>
      <c r="N490">
        <v>263661.82356164389</v>
      </c>
    </row>
    <row r="491" spans="1:14" x14ac:dyDescent="0.25">
      <c r="A491" t="s">
        <v>965</v>
      </c>
      <c r="B491" t="s">
        <v>17</v>
      </c>
      <c r="C491">
        <v>27</v>
      </c>
      <c r="D491" t="s">
        <v>38</v>
      </c>
      <c r="E491" t="s">
        <v>13</v>
      </c>
      <c r="F491" t="s">
        <v>14</v>
      </c>
      <c r="G491">
        <v>4780418</v>
      </c>
      <c r="H491">
        <v>24.91</v>
      </c>
      <c r="I491">
        <v>-6.65</v>
      </c>
      <c r="J491" s="1">
        <v>43227</v>
      </c>
      <c r="K491">
        <v>164</v>
      </c>
      <c r="L491">
        <v>5.4794520547945212E-4</v>
      </c>
      <c r="M491">
        <v>2619.4071232876718</v>
      </c>
      <c r="N491">
        <v>429582.76821917819</v>
      </c>
    </row>
    <row r="492" spans="1:14" x14ac:dyDescent="0.25">
      <c r="A492" t="s">
        <v>966</v>
      </c>
      <c r="B492" t="s">
        <v>17</v>
      </c>
      <c r="C492">
        <v>53</v>
      </c>
      <c r="D492" t="s">
        <v>18</v>
      </c>
      <c r="E492" t="s">
        <v>23</v>
      </c>
      <c r="F492" t="s">
        <v>20</v>
      </c>
      <c r="G492">
        <v>3316019</v>
      </c>
      <c r="H492">
        <v>7.83</v>
      </c>
      <c r="I492">
        <v>-9.75</v>
      </c>
      <c r="J492" s="1">
        <v>44288</v>
      </c>
      <c r="K492">
        <v>72</v>
      </c>
      <c r="L492">
        <v>5.4794520547945212E-4</v>
      </c>
      <c r="M492">
        <v>1816.9967123287674</v>
      </c>
      <c r="N492">
        <v>130823.76328767126</v>
      </c>
    </row>
    <row r="493" spans="1:14" x14ac:dyDescent="0.25">
      <c r="A493" t="s">
        <v>968</v>
      </c>
      <c r="B493" t="s">
        <v>11</v>
      </c>
      <c r="C493">
        <v>61</v>
      </c>
      <c r="D493" t="s">
        <v>38</v>
      </c>
      <c r="E493" t="s">
        <v>29</v>
      </c>
      <c r="F493" t="s">
        <v>30</v>
      </c>
      <c r="G493">
        <v>3391202</v>
      </c>
      <c r="H493">
        <v>29.66</v>
      </c>
      <c r="I493">
        <v>29.67</v>
      </c>
      <c r="J493" s="1">
        <v>45428</v>
      </c>
      <c r="K493">
        <v>130</v>
      </c>
      <c r="L493">
        <v>5.4794520547945212E-4</v>
      </c>
      <c r="M493">
        <v>1858.1928767123291</v>
      </c>
      <c r="N493">
        <v>241565.07397260278</v>
      </c>
    </row>
    <row r="494" spans="1:14" x14ac:dyDescent="0.25">
      <c r="A494" t="s">
        <v>970</v>
      </c>
      <c r="B494" t="s">
        <v>11</v>
      </c>
      <c r="C494">
        <v>56</v>
      </c>
      <c r="D494" t="s">
        <v>18</v>
      </c>
      <c r="E494" t="s">
        <v>19</v>
      </c>
      <c r="F494" t="s">
        <v>47</v>
      </c>
      <c r="G494">
        <v>204814</v>
      </c>
      <c r="H494">
        <v>26.47</v>
      </c>
      <c r="I494">
        <v>-7.51</v>
      </c>
      <c r="J494" s="1">
        <v>44272</v>
      </c>
      <c r="K494">
        <v>109</v>
      </c>
      <c r="L494">
        <v>5.4794520547945212E-4</v>
      </c>
      <c r="M494">
        <v>112.22684931506851</v>
      </c>
      <c r="N494">
        <v>12232.726575342467</v>
      </c>
    </row>
    <row r="495" spans="1:14" x14ac:dyDescent="0.25">
      <c r="A495" t="s">
        <v>972</v>
      </c>
      <c r="B495" t="s">
        <v>17</v>
      </c>
      <c r="C495">
        <v>36</v>
      </c>
      <c r="D495" t="s">
        <v>12</v>
      </c>
      <c r="E495" t="s">
        <v>23</v>
      </c>
      <c r="F495" t="s">
        <v>41</v>
      </c>
      <c r="G495">
        <v>1847047</v>
      </c>
      <c r="H495">
        <v>5.34</v>
      </c>
      <c r="I495">
        <v>3.91</v>
      </c>
      <c r="J495" s="1">
        <v>44867</v>
      </c>
      <c r="K495">
        <v>365</v>
      </c>
      <c r="L495">
        <v>5.4794520547945212E-4</v>
      </c>
      <c r="M495">
        <v>1012.0805479452056</v>
      </c>
      <c r="N495">
        <v>369409.4</v>
      </c>
    </row>
    <row r="496" spans="1:14" x14ac:dyDescent="0.25">
      <c r="A496" t="s">
        <v>974</v>
      </c>
      <c r="B496" t="s">
        <v>11</v>
      </c>
      <c r="C496">
        <v>49</v>
      </c>
      <c r="D496" t="s">
        <v>28</v>
      </c>
      <c r="E496" t="s">
        <v>19</v>
      </c>
      <c r="F496" t="s">
        <v>30</v>
      </c>
      <c r="G496">
        <v>963644</v>
      </c>
      <c r="H496">
        <v>34.11</v>
      </c>
      <c r="I496">
        <v>12.92</v>
      </c>
      <c r="J496" s="1">
        <v>43990</v>
      </c>
      <c r="K496">
        <v>86</v>
      </c>
      <c r="L496">
        <v>5.4794520547945212E-4</v>
      </c>
      <c r="M496">
        <v>528.02410958904113</v>
      </c>
      <c r="N496">
        <v>45410.073424657538</v>
      </c>
    </row>
    <row r="497" spans="1:14" x14ac:dyDescent="0.25">
      <c r="A497" t="s">
        <v>976</v>
      </c>
      <c r="B497" t="s">
        <v>17</v>
      </c>
      <c r="C497">
        <v>65</v>
      </c>
      <c r="D497" t="s">
        <v>28</v>
      </c>
      <c r="E497" t="s">
        <v>23</v>
      </c>
      <c r="F497" t="s">
        <v>20</v>
      </c>
      <c r="G497">
        <v>2813164</v>
      </c>
      <c r="H497">
        <v>16.760000000000002</v>
      </c>
      <c r="I497">
        <v>29.73</v>
      </c>
      <c r="J497" s="1">
        <v>43119</v>
      </c>
      <c r="K497">
        <v>189</v>
      </c>
      <c r="L497">
        <v>5.4794520547945212E-4</v>
      </c>
      <c r="M497">
        <v>1541.4597260273974</v>
      </c>
      <c r="N497">
        <v>291335.88821917813</v>
      </c>
    </row>
    <row r="498" spans="1:14" x14ac:dyDescent="0.25">
      <c r="A498" t="s">
        <v>978</v>
      </c>
      <c r="B498" t="s">
        <v>17</v>
      </c>
      <c r="C498">
        <v>52</v>
      </c>
      <c r="D498" t="s">
        <v>12</v>
      </c>
      <c r="E498" t="s">
        <v>29</v>
      </c>
      <c r="F498" t="s">
        <v>41</v>
      </c>
      <c r="G498">
        <v>203375</v>
      </c>
      <c r="H498">
        <v>7.77</v>
      </c>
      <c r="I498">
        <v>9.49</v>
      </c>
      <c r="J498" s="1">
        <v>43418</v>
      </c>
      <c r="K498">
        <v>270</v>
      </c>
      <c r="L498">
        <v>5.4794520547945212E-4</v>
      </c>
      <c r="M498">
        <v>111.43835616438358</v>
      </c>
      <c r="N498">
        <v>30088.356164383567</v>
      </c>
    </row>
    <row r="499" spans="1:14" x14ac:dyDescent="0.25">
      <c r="A499" t="s">
        <v>979</v>
      </c>
      <c r="B499" t="s">
        <v>17</v>
      </c>
      <c r="C499">
        <v>46</v>
      </c>
      <c r="D499" t="s">
        <v>28</v>
      </c>
      <c r="E499" t="s">
        <v>29</v>
      </c>
      <c r="F499" t="s">
        <v>41</v>
      </c>
      <c r="G499">
        <v>2426201</v>
      </c>
      <c r="H499">
        <v>24.11</v>
      </c>
      <c r="I499">
        <v>-5.21</v>
      </c>
      <c r="J499" s="1">
        <v>44529</v>
      </c>
      <c r="K499">
        <v>99</v>
      </c>
      <c r="L499">
        <v>5.4794520547945212E-4</v>
      </c>
      <c r="M499">
        <v>1329.4252054794522</v>
      </c>
      <c r="N499">
        <v>131613.09534246576</v>
      </c>
    </row>
    <row r="500" spans="1:14" x14ac:dyDescent="0.25">
      <c r="A500" t="s">
        <v>981</v>
      </c>
      <c r="B500" t="s">
        <v>17</v>
      </c>
      <c r="C500">
        <v>55</v>
      </c>
      <c r="D500" t="s">
        <v>18</v>
      </c>
      <c r="E500" t="s">
        <v>19</v>
      </c>
      <c r="F500" t="s">
        <v>41</v>
      </c>
      <c r="G500">
        <v>4150352</v>
      </c>
      <c r="H500">
        <v>28.95</v>
      </c>
      <c r="I500">
        <v>38.75</v>
      </c>
      <c r="J500" s="1">
        <v>44580</v>
      </c>
      <c r="K500">
        <v>259</v>
      </c>
      <c r="L500">
        <v>5.4794520547945212E-4</v>
      </c>
      <c r="M500">
        <v>2274.165479452055</v>
      </c>
      <c r="N500">
        <v>589008.8591780822</v>
      </c>
    </row>
    <row r="501" spans="1:14" x14ac:dyDescent="0.25">
      <c r="A501" t="s">
        <v>983</v>
      </c>
      <c r="B501" t="s">
        <v>17</v>
      </c>
      <c r="C501">
        <v>32</v>
      </c>
      <c r="D501" t="s">
        <v>12</v>
      </c>
      <c r="E501" t="s">
        <v>23</v>
      </c>
      <c r="F501" t="s">
        <v>14</v>
      </c>
      <c r="G501">
        <v>1151215</v>
      </c>
      <c r="H501">
        <v>27.92</v>
      </c>
      <c r="I501">
        <v>9.06</v>
      </c>
      <c r="J501" s="1">
        <v>43234</v>
      </c>
      <c r="K501">
        <v>272</v>
      </c>
      <c r="L501">
        <v>5.4794520547945212E-4</v>
      </c>
      <c r="M501">
        <v>630.80273972602743</v>
      </c>
      <c r="N501">
        <v>171578.34520547945</v>
      </c>
    </row>
    <row r="502" spans="1:14" x14ac:dyDescent="0.25">
      <c r="A502" t="s">
        <v>985</v>
      </c>
      <c r="B502" t="s">
        <v>17</v>
      </c>
      <c r="C502">
        <v>34</v>
      </c>
      <c r="D502" t="s">
        <v>46</v>
      </c>
      <c r="E502" t="s">
        <v>50</v>
      </c>
      <c r="F502" t="s">
        <v>47</v>
      </c>
      <c r="G502">
        <v>3329580</v>
      </c>
      <c r="H502">
        <v>10.19</v>
      </c>
      <c r="I502">
        <v>-7.4</v>
      </c>
      <c r="J502" s="1">
        <v>44879</v>
      </c>
      <c r="K502">
        <v>278</v>
      </c>
      <c r="L502">
        <v>5.4794520547945212E-4</v>
      </c>
      <c r="M502">
        <v>1824.4273972602741</v>
      </c>
      <c r="N502">
        <v>507190.81643835618</v>
      </c>
    </row>
    <row r="503" spans="1:14" x14ac:dyDescent="0.25">
      <c r="A503" t="s">
        <v>987</v>
      </c>
      <c r="B503" t="s">
        <v>11</v>
      </c>
      <c r="C503">
        <v>24</v>
      </c>
      <c r="D503" t="s">
        <v>12</v>
      </c>
      <c r="E503" t="s">
        <v>23</v>
      </c>
      <c r="F503" t="s">
        <v>30</v>
      </c>
      <c r="G503">
        <v>791301</v>
      </c>
      <c r="H503">
        <v>8.06</v>
      </c>
      <c r="I503">
        <v>30.15</v>
      </c>
      <c r="J503" s="1">
        <v>44232</v>
      </c>
      <c r="K503">
        <v>311</v>
      </c>
      <c r="L503">
        <v>5.4794520547945212E-4</v>
      </c>
      <c r="M503">
        <v>433.58958904109596</v>
      </c>
      <c r="N503">
        <v>134846.36219178085</v>
      </c>
    </row>
    <row r="504" spans="1:14" x14ac:dyDescent="0.25">
      <c r="A504" t="s">
        <v>989</v>
      </c>
      <c r="B504" t="s">
        <v>11</v>
      </c>
      <c r="C504">
        <v>43</v>
      </c>
      <c r="D504" t="s">
        <v>46</v>
      </c>
      <c r="E504" t="s">
        <v>13</v>
      </c>
      <c r="F504" t="s">
        <v>35</v>
      </c>
      <c r="G504">
        <v>1866966</v>
      </c>
      <c r="H504">
        <v>26.16</v>
      </c>
      <c r="I504">
        <v>-8.4600000000000009</v>
      </c>
      <c r="J504" s="1">
        <v>43879</v>
      </c>
      <c r="K504">
        <v>101</v>
      </c>
      <c r="L504">
        <v>5.4794520547945212E-4</v>
      </c>
      <c r="M504">
        <v>1022.9950684931508</v>
      </c>
      <c r="N504">
        <v>103322.50191780823</v>
      </c>
    </row>
    <row r="505" spans="1:14" x14ac:dyDescent="0.25">
      <c r="A505" t="s">
        <v>991</v>
      </c>
      <c r="B505" t="s">
        <v>11</v>
      </c>
      <c r="C505">
        <v>63</v>
      </c>
      <c r="D505" t="s">
        <v>46</v>
      </c>
      <c r="E505" t="s">
        <v>13</v>
      </c>
      <c r="F505" t="s">
        <v>30</v>
      </c>
      <c r="G505">
        <v>4375339</v>
      </c>
      <c r="H505">
        <v>16.87</v>
      </c>
      <c r="I505">
        <v>35.979999999999997</v>
      </c>
      <c r="J505" s="1">
        <v>44417</v>
      </c>
      <c r="K505">
        <v>248</v>
      </c>
      <c r="L505">
        <v>5.4794520547945212E-4</v>
      </c>
      <c r="M505">
        <v>2397.4460273972604</v>
      </c>
      <c r="N505">
        <v>594566.61479452054</v>
      </c>
    </row>
    <row r="506" spans="1:14" x14ac:dyDescent="0.25">
      <c r="A506" t="s">
        <v>993</v>
      </c>
      <c r="B506" t="s">
        <v>17</v>
      </c>
      <c r="C506">
        <v>51</v>
      </c>
      <c r="D506" t="s">
        <v>46</v>
      </c>
      <c r="E506" t="s">
        <v>50</v>
      </c>
      <c r="F506" t="s">
        <v>41</v>
      </c>
      <c r="G506">
        <v>1568055</v>
      </c>
      <c r="H506">
        <v>6.56</v>
      </c>
      <c r="I506">
        <v>-8.56</v>
      </c>
      <c r="J506" s="1">
        <v>44954</v>
      </c>
      <c r="K506">
        <v>339</v>
      </c>
      <c r="L506">
        <v>5.4794520547945212E-4</v>
      </c>
      <c r="M506">
        <v>859.20821917808235</v>
      </c>
      <c r="N506">
        <v>291271.58630136994</v>
      </c>
    </row>
    <row r="507" spans="1:14" x14ac:dyDescent="0.25">
      <c r="A507" t="s">
        <v>994</v>
      </c>
      <c r="B507" t="s">
        <v>11</v>
      </c>
      <c r="C507">
        <v>40</v>
      </c>
      <c r="D507" t="s">
        <v>12</v>
      </c>
      <c r="E507" t="s">
        <v>50</v>
      </c>
      <c r="F507" t="s">
        <v>20</v>
      </c>
      <c r="G507">
        <v>1712243</v>
      </c>
      <c r="H507">
        <v>32.15</v>
      </c>
      <c r="I507">
        <v>28.85</v>
      </c>
      <c r="J507" s="1">
        <v>44164</v>
      </c>
      <c r="K507">
        <v>214</v>
      </c>
      <c r="L507">
        <v>5.4794520547945212E-4</v>
      </c>
      <c r="M507">
        <v>938.21534246575357</v>
      </c>
      <c r="N507">
        <v>200778.08328767127</v>
      </c>
    </row>
    <row r="508" spans="1:14" x14ac:dyDescent="0.25">
      <c r="A508" t="s">
        <v>996</v>
      </c>
      <c r="B508" t="s">
        <v>11</v>
      </c>
      <c r="C508">
        <v>25</v>
      </c>
      <c r="D508" t="s">
        <v>46</v>
      </c>
      <c r="E508" t="s">
        <v>50</v>
      </c>
      <c r="F508" t="s">
        <v>20</v>
      </c>
      <c r="G508">
        <v>4550409</v>
      </c>
      <c r="H508">
        <v>17.760000000000002</v>
      </c>
      <c r="I508">
        <v>5.59</v>
      </c>
      <c r="J508" s="1">
        <v>45517</v>
      </c>
      <c r="K508">
        <v>77</v>
      </c>
      <c r="L508">
        <v>5.4794520547945212E-4</v>
      </c>
      <c r="M508">
        <v>2493.3747945205482</v>
      </c>
      <c r="N508">
        <v>191989.8591780822</v>
      </c>
    </row>
    <row r="509" spans="1:14" x14ac:dyDescent="0.25">
      <c r="A509" t="s">
        <v>998</v>
      </c>
      <c r="B509" t="s">
        <v>17</v>
      </c>
      <c r="C509">
        <v>59</v>
      </c>
      <c r="D509" t="s">
        <v>18</v>
      </c>
      <c r="E509" t="s">
        <v>29</v>
      </c>
      <c r="F509" t="s">
        <v>20</v>
      </c>
      <c r="G509">
        <v>761347</v>
      </c>
      <c r="H509">
        <v>12.71</v>
      </c>
      <c r="I509">
        <v>32.86</v>
      </c>
      <c r="J509" s="1">
        <v>44903</v>
      </c>
      <c r="K509">
        <v>89</v>
      </c>
      <c r="L509">
        <v>5.4794520547945212E-4</v>
      </c>
      <c r="M509">
        <v>417.17643835616445</v>
      </c>
      <c r="N509">
        <v>37128.703013698636</v>
      </c>
    </row>
    <row r="510" spans="1:14" x14ac:dyDescent="0.25">
      <c r="A510" t="s">
        <v>999</v>
      </c>
      <c r="B510" t="s">
        <v>17</v>
      </c>
      <c r="C510">
        <v>54</v>
      </c>
      <c r="D510" t="s">
        <v>46</v>
      </c>
      <c r="E510" t="s">
        <v>23</v>
      </c>
      <c r="F510" t="s">
        <v>35</v>
      </c>
      <c r="G510">
        <v>3466370</v>
      </c>
      <c r="H510">
        <v>12.91</v>
      </c>
      <c r="I510">
        <v>29.99</v>
      </c>
      <c r="J510" s="1">
        <v>44351</v>
      </c>
      <c r="K510">
        <v>224</v>
      </c>
      <c r="L510">
        <v>5.4794520547945212E-4</v>
      </c>
      <c r="M510">
        <v>1899.3808219178084</v>
      </c>
      <c r="N510">
        <v>425461.30410958908</v>
      </c>
    </row>
    <row r="511" spans="1:14" x14ac:dyDescent="0.25">
      <c r="A511" t="s">
        <v>1001</v>
      </c>
      <c r="B511" t="s">
        <v>11</v>
      </c>
      <c r="C511">
        <v>30</v>
      </c>
      <c r="D511" t="s">
        <v>18</v>
      </c>
      <c r="E511" t="s">
        <v>29</v>
      </c>
      <c r="F511" t="s">
        <v>41</v>
      </c>
      <c r="G511">
        <v>4343851</v>
      </c>
      <c r="H511">
        <v>16.21</v>
      </c>
      <c r="I511">
        <v>28.72</v>
      </c>
      <c r="J511" s="1">
        <v>44054</v>
      </c>
      <c r="K511">
        <v>300</v>
      </c>
      <c r="L511">
        <v>5.4794520547945212E-4</v>
      </c>
      <c r="M511">
        <v>2380.1923287671234</v>
      </c>
      <c r="N511">
        <v>714057.69863013702</v>
      </c>
    </row>
    <row r="512" spans="1:14" x14ac:dyDescent="0.25">
      <c r="A512" t="s">
        <v>1002</v>
      </c>
      <c r="B512" t="s">
        <v>17</v>
      </c>
      <c r="C512">
        <v>37</v>
      </c>
      <c r="D512" t="s">
        <v>46</v>
      </c>
      <c r="E512" t="s">
        <v>13</v>
      </c>
      <c r="F512" t="s">
        <v>35</v>
      </c>
      <c r="G512">
        <v>4323803</v>
      </c>
      <c r="H512">
        <v>18.559999999999999</v>
      </c>
      <c r="I512">
        <v>2.75</v>
      </c>
      <c r="J512" s="1">
        <v>45195</v>
      </c>
      <c r="K512">
        <v>248</v>
      </c>
      <c r="L512">
        <v>5.4794520547945212E-4</v>
      </c>
      <c r="M512">
        <v>2369.2071232876715</v>
      </c>
      <c r="N512">
        <v>587563.36657534249</v>
      </c>
    </row>
    <row r="513" spans="1:14" x14ac:dyDescent="0.25">
      <c r="A513" t="s">
        <v>1004</v>
      </c>
      <c r="B513" t="s">
        <v>11</v>
      </c>
      <c r="C513">
        <v>59</v>
      </c>
      <c r="D513" t="s">
        <v>38</v>
      </c>
      <c r="E513" t="s">
        <v>23</v>
      </c>
      <c r="F513" t="s">
        <v>41</v>
      </c>
      <c r="G513">
        <v>2858370</v>
      </c>
      <c r="H513">
        <v>13.62</v>
      </c>
      <c r="I513">
        <v>18.600000000000001</v>
      </c>
      <c r="J513" s="1">
        <v>43120</v>
      </c>
      <c r="K513">
        <v>192</v>
      </c>
      <c r="L513">
        <v>5.4794520547945212E-4</v>
      </c>
      <c r="M513">
        <v>1566.2301369863017</v>
      </c>
      <c r="N513">
        <v>300716.18630136992</v>
      </c>
    </row>
    <row r="514" spans="1:14" x14ac:dyDescent="0.25">
      <c r="A514" t="s">
        <v>1006</v>
      </c>
      <c r="B514" t="s">
        <v>11</v>
      </c>
      <c r="C514">
        <v>53</v>
      </c>
      <c r="D514" t="s">
        <v>18</v>
      </c>
      <c r="E514" t="s">
        <v>23</v>
      </c>
      <c r="F514" t="s">
        <v>35</v>
      </c>
      <c r="G514">
        <v>3622025</v>
      </c>
      <c r="H514">
        <v>21.7</v>
      </c>
      <c r="I514">
        <v>29.54</v>
      </c>
      <c r="J514" s="1">
        <v>44298</v>
      </c>
      <c r="K514">
        <v>128</v>
      </c>
      <c r="L514">
        <v>5.4794520547945212E-4</v>
      </c>
      <c r="M514">
        <v>1984.6712328767126</v>
      </c>
      <c r="N514">
        <v>254037.91780821921</v>
      </c>
    </row>
    <row r="515" spans="1:14" x14ac:dyDescent="0.25">
      <c r="A515" t="s">
        <v>1008</v>
      </c>
      <c r="B515" t="s">
        <v>11</v>
      </c>
      <c r="C515">
        <v>53</v>
      </c>
      <c r="D515" t="s">
        <v>28</v>
      </c>
      <c r="E515" t="s">
        <v>19</v>
      </c>
      <c r="F515" t="s">
        <v>35</v>
      </c>
      <c r="G515">
        <v>611287</v>
      </c>
      <c r="H515">
        <v>32.99</v>
      </c>
      <c r="I515">
        <v>17.440000000000001</v>
      </c>
      <c r="J515" s="1">
        <v>45300</v>
      </c>
      <c r="K515">
        <v>303</v>
      </c>
      <c r="L515">
        <v>5.4794520547945212E-4</v>
      </c>
      <c r="M515">
        <v>334.95178082191785</v>
      </c>
      <c r="N515">
        <v>101490.38958904111</v>
      </c>
    </row>
    <row r="516" spans="1:14" x14ac:dyDescent="0.25">
      <c r="A516" t="s">
        <v>1010</v>
      </c>
      <c r="B516" t="s">
        <v>17</v>
      </c>
      <c r="C516">
        <v>34</v>
      </c>
      <c r="D516" t="s">
        <v>46</v>
      </c>
      <c r="E516" t="s">
        <v>57</v>
      </c>
      <c r="F516" t="s">
        <v>47</v>
      </c>
      <c r="G516">
        <v>2059089</v>
      </c>
      <c r="H516">
        <v>7.92</v>
      </c>
      <c r="I516">
        <v>20.5</v>
      </c>
      <c r="J516" s="1">
        <v>43698</v>
      </c>
      <c r="K516">
        <v>110</v>
      </c>
      <c r="L516">
        <v>5.4794520547945212E-4</v>
      </c>
      <c r="M516">
        <v>1128.2679452054797</v>
      </c>
      <c r="N516">
        <v>124109.47397260276</v>
      </c>
    </row>
    <row r="517" spans="1:14" x14ac:dyDescent="0.25">
      <c r="A517" t="s">
        <v>1012</v>
      </c>
      <c r="B517" t="s">
        <v>17</v>
      </c>
      <c r="C517">
        <v>57</v>
      </c>
      <c r="D517" t="s">
        <v>12</v>
      </c>
      <c r="E517" t="s">
        <v>57</v>
      </c>
      <c r="F517" t="s">
        <v>41</v>
      </c>
      <c r="G517">
        <v>1347305</v>
      </c>
      <c r="H517">
        <v>31.7</v>
      </c>
      <c r="I517">
        <v>0.84</v>
      </c>
      <c r="J517" s="1">
        <v>45368</v>
      </c>
      <c r="K517">
        <v>10</v>
      </c>
      <c r="L517">
        <v>5.4794520547945212E-4</v>
      </c>
      <c r="M517">
        <v>738.24931506849327</v>
      </c>
      <c r="N517">
        <v>7382.4931506849325</v>
      </c>
    </row>
    <row r="518" spans="1:14" x14ac:dyDescent="0.25">
      <c r="A518" t="s">
        <v>1014</v>
      </c>
      <c r="B518" t="s">
        <v>17</v>
      </c>
      <c r="C518">
        <v>65</v>
      </c>
      <c r="D518" t="s">
        <v>46</v>
      </c>
      <c r="E518" t="s">
        <v>57</v>
      </c>
      <c r="F518" t="s">
        <v>14</v>
      </c>
      <c r="G518">
        <v>468378</v>
      </c>
      <c r="H518">
        <v>9.92</v>
      </c>
      <c r="I518">
        <v>44.65</v>
      </c>
      <c r="J518" s="1">
        <v>45429</v>
      </c>
      <c r="K518">
        <v>66</v>
      </c>
      <c r="L518">
        <v>5.4794520547945212E-4</v>
      </c>
      <c r="M518">
        <v>256.64547945205481</v>
      </c>
      <c r="N518">
        <v>16938.601643835616</v>
      </c>
    </row>
    <row r="519" spans="1:14" x14ac:dyDescent="0.25">
      <c r="A519" t="s">
        <v>1016</v>
      </c>
      <c r="B519" t="s">
        <v>17</v>
      </c>
      <c r="C519">
        <v>37</v>
      </c>
      <c r="D519" t="s">
        <v>28</v>
      </c>
      <c r="E519" t="s">
        <v>50</v>
      </c>
      <c r="F519" t="s">
        <v>41</v>
      </c>
      <c r="G519">
        <v>3006576</v>
      </c>
      <c r="H519">
        <v>15.4</v>
      </c>
      <c r="I519">
        <v>44.77</v>
      </c>
      <c r="J519" s="1">
        <v>43113</v>
      </c>
      <c r="K519">
        <v>287</v>
      </c>
      <c r="L519">
        <v>5.4794520547945212E-4</v>
      </c>
      <c r="M519">
        <v>1647.4389041095892</v>
      </c>
      <c r="N519">
        <v>472814.9654794521</v>
      </c>
    </row>
    <row r="520" spans="1:14" x14ac:dyDescent="0.25">
      <c r="A520" t="s">
        <v>1018</v>
      </c>
      <c r="B520" t="s">
        <v>11</v>
      </c>
      <c r="C520">
        <v>50</v>
      </c>
      <c r="D520" t="s">
        <v>28</v>
      </c>
      <c r="E520" t="s">
        <v>57</v>
      </c>
      <c r="F520" t="s">
        <v>41</v>
      </c>
      <c r="G520">
        <v>3283907</v>
      </c>
      <c r="H520">
        <v>12.93</v>
      </c>
      <c r="I520">
        <v>33.340000000000003</v>
      </c>
      <c r="J520" s="1">
        <v>44961</v>
      </c>
      <c r="K520">
        <v>141</v>
      </c>
      <c r="L520">
        <v>5.4794520547945212E-4</v>
      </c>
      <c r="M520">
        <v>1799.4010958904112</v>
      </c>
      <c r="N520">
        <v>253715.55452054797</v>
      </c>
    </row>
    <row r="521" spans="1:14" x14ac:dyDescent="0.25">
      <c r="A521" t="s">
        <v>1020</v>
      </c>
      <c r="B521" t="s">
        <v>11</v>
      </c>
      <c r="C521">
        <v>32</v>
      </c>
      <c r="D521" t="s">
        <v>46</v>
      </c>
      <c r="E521" t="s">
        <v>13</v>
      </c>
      <c r="F521" t="s">
        <v>41</v>
      </c>
      <c r="G521">
        <v>3842014</v>
      </c>
      <c r="H521">
        <v>24.32</v>
      </c>
      <c r="I521">
        <v>38.18</v>
      </c>
      <c r="J521" s="1">
        <v>43670</v>
      </c>
      <c r="K521">
        <v>204</v>
      </c>
      <c r="L521">
        <v>5.4794520547945212E-4</v>
      </c>
      <c r="M521">
        <v>2105.2131506849319</v>
      </c>
      <c r="N521">
        <v>429463.48273972608</v>
      </c>
    </row>
    <row r="522" spans="1:14" x14ac:dyDescent="0.25">
      <c r="A522" t="s">
        <v>1022</v>
      </c>
      <c r="B522" t="s">
        <v>17</v>
      </c>
      <c r="C522">
        <v>59</v>
      </c>
      <c r="D522" t="s">
        <v>38</v>
      </c>
      <c r="E522" t="s">
        <v>29</v>
      </c>
      <c r="F522" t="s">
        <v>47</v>
      </c>
      <c r="G522">
        <v>2476680</v>
      </c>
      <c r="H522">
        <v>9.16</v>
      </c>
      <c r="I522">
        <v>9.5500000000000007</v>
      </c>
      <c r="J522" s="1">
        <v>44632</v>
      </c>
      <c r="K522">
        <v>102</v>
      </c>
      <c r="L522">
        <v>5.4794520547945212E-4</v>
      </c>
      <c r="M522">
        <v>1357.0849315068494</v>
      </c>
      <c r="N522">
        <v>138422.66301369865</v>
      </c>
    </row>
    <row r="523" spans="1:14" x14ac:dyDescent="0.25">
      <c r="A523" t="s">
        <v>1024</v>
      </c>
      <c r="B523" t="s">
        <v>11</v>
      </c>
      <c r="C523">
        <v>51</v>
      </c>
      <c r="D523" t="s">
        <v>46</v>
      </c>
      <c r="E523" t="s">
        <v>13</v>
      </c>
      <c r="F523" t="s">
        <v>14</v>
      </c>
      <c r="G523">
        <v>830124</v>
      </c>
      <c r="H523">
        <v>17.059999999999999</v>
      </c>
      <c r="I523">
        <v>16.850000000000001</v>
      </c>
      <c r="J523" s="1">
        <v>43664</v>
      </c>
      <c r="K523">
        <v>30</v>
      </c>
      <c r="L523">
        <v>5.4794520547945212E-4</v>
      </c>
      <c r="M523">
        <v>454.86246575342471</v>
      </c>
      <c r="N523">
        <v>13645.873972602742</v>
      </c>
    </row>
    <row r="524" spans="1:14" x14ac:dyDescent="0.25">
      <c r="A524" t="s">
        <v>1026</v>
      </c>
      <c r="B524" t="s">
        <v>11</v>
      </c>
      <c r="C524">
        <v>46</v>
      </c>
      <c r="D524" t="s">
        <v>12</v>
      </c>
      <c r="E524" t="s">
        <v>13</v>
      </c>
      <c r="F524" t="s">
        <v>14</v>
      </c>
      <c r="G524">
        <v>1377316</v>
      </c>
      <c r="H524">
        <v>22.01</v>
      </c>
      <c r="I524">
        <v>6.53</v>
      </c>
      <c r="J524" s="1">
        <v>43638</v>
      </c>
      <c r="K524">
        <v>88</v>
      </c>
      <c r="L524">
        <v>5.4794520547945212E-4</v>
      </c>
      <c r="M524">
        <v>754.69369863013708</v>
      </c>
      <c r="N524">
        <v>66413.045479452063</v>
      </c>
    </row>
    <row r="525" spans="1:14" x14ac:dyDescent="0.25">
      <c r="A525" t="s">
        <v>1028</v>
      </c>
      <c r="B525" t="s">
        <v>11</v>
      </c>
      <c r="C525">
        <v>32</v>
      </c>
      <c r="D525" t="s">
        <v>18</v>
      </c>
      <c r="E525" t="s">
        <v>13</v>
      </c>
      <c r="F525" t="s">
        <v>35</v>
      </c>
      <c r="G525">
        <v>980153</v>
      </c>
      <c r="H525">
        <v>29.08</v>
      </c>
      <c r="I525">
        <v>-9.94</v>
      </c>
      <c r="J525" s="1">
        <v>44197</v>
      </c>
      <c r="K525">
        <v>97</v>
      </c>
      <c r="L525">
        <v>5.4794520547945212E-4</v>
      </c>
      <c r="M525">
        <v>537.07013698630146</v>
      </c>
      <c r="N525">
        <v>52095.803287671239</v>
      </c>
    </row>
    <row r="526" spans="1:14" x14ac:dyDescent="0.25">
      <c r="A526" t="s">
        <v>1029</v>
      </c>
      <c r="B526" t="s">
        <v>17</v>
      </c>
      <c r="C526">
        <v>24</v>
      </c>
      <c r="D526" t="s">
        <v>46</v>
      </c>
      <c r="E526" t="s">
        <v>50</v>
      </c>
      <c r="F526" t="s">
        <v>14</v>
      </c>
      <c r="G526">
        <v>3368375</v>
      </c>
      <c r="H526">
        <v>32.380000000000003</v>
      </c>
      <c r="I526">
        <v>26.91</v>
      </c>
      <c r="J526" s="1">
        <v>43706</v>
      </c>
      <c r="K526">
        <v>318</v>
      </c>
      <c r="L526">
        <v>5.4794520547945212E-4</v>
      </c>
      <c r="M526">
        <v>1845.6849315068496</v>
      </c>
      <c r="N526">
        <v>586927.80821917811</v>
      </c>
    </row>
    <row r="527" spans="1:14" x14ac:dyDescent="0.25">
      <c r="A527" t="s">
        <v>1031</v>
      </c>
      <c r="B527" t="s">
        <v>11</v>
      </c>
      <c r="C527">
        <v>40</v>
      </c>
      <c r="D527" t="s">
        <v>46</v>
      </c>
      <c r="E527" t="s">
        <v>50</v>
      </c>
      <c r="F527" t="s">
        <v>35</v>
      </c>
      <c r="G527">
        <v>1525024</v>
      </c>
      <c r="H527">
        <v>12.45</v>
      </c>
      <c r="I527">
        <v>28.98</v>
      </c>
      <c r="J527" s="1">
        <v>44662</v>
      </c>
      <c r="K527">
        <v>336</v>
      </c>
      <c r="L527">
        <v>5.4794520547945212E-4</v>
      </c>
      <c r="M527">
        <v>835.62958904109598</v>
      </c>
      <c r="N527">
        <v>280771.54191780824</v>
      </c>
    </row>
    <row r="528" spans="1:14" x14ac:dyDescent="0.25">
      <c r="A528" t="s">
        <v>1033</v>
      </c>
      <c r="B528" t="s">
        <v>11</v>
      </c>
      <c r="C528">
        <v>52</v>
      </c>
      <c r="D528" t="s">
        <v>12</v>
      </c>
      <c r="E528" t="s">
        <v>50</v>
      </c>
      <c r="F528" t="s">
        <v>35</v>
      </c>
      <c r="G528">
        <v>2591795</v>
      </c>
      <c r="H528">
        <v>33.6</v>
      </c>
      <c r="I528">
        <v>1.78</v>
      </c>
      <c r="J528" s="1">
        <v>44729</v>
      </c>
      <c r="K528">
        <v>26</v>
      </c>
      <c r="L528">
        <v>5.4794520547945212E-4</v>
      </c>
      <c r="M528">
        <v>1420.1616438356166</v>
      </c>
      <c r="N528">
        <v>36924.202739726032</v>
      </c>
    </row>
    <row r="529" spans="1:14" x14ac:dyDescent="0.25">
      <c r="A529" t="s">
        <v>1035</v>
      </c>
      <c r="B529" t="s">
        <v>17</v>
      </c>
      <c r="C529">
        <v>56</v>
      </c>
      <c r="D529" t="s">
        <v>12</v>
      </c>
      <c r="E529" t="s">
        <v>19</v>
      </c>
      <c r="F529" t="s">
        <v>30</v>
      </c>
      <c r="G529">
        <v>2979888</v>
      </c>
      <c r="H529">
        <v>24.45</v>
      </c>
      <c r="I529">
        <v>24.66</v>
      </c>
      <c r="J529" s="1">
        <v>44085</v>
      </c>
      <c r="K529">
        <v>362</v>
      </c>
      <c r="L529">
        <v>5.4794520547945212E-4</v>
      </c>
      <c r="M529">
        <v>1632.8153424657537</v>
      </c>
      <c r="N529">
        <v>591079.1539726028</v>
      </c>
    </row>
    <row r="530" spans="1:14" x14ac:dyDescent="0.25">
      <c r="A530" t="s">
        <v>1037</v>
      </c>
      <c r="B530" t="s">
        <v>17</v>
      </c>
      <c r="C530">
        <v>60</v>
      </c>
      <c r="D530" t="s">
        <v>28</v>
      </c>
      <c r="E530" t="s">
        <v>29</v>
      </c>
      <c r="F530" t="s">
        <v>20</v>
      </c>
      <c r="G530">
        <v>3730488</v>
      </c>
      <c r="H530">
        <v>15.98</v>
      </c>
      <c r="I530">
        <v>-1.5</v>
      </c>
      <c r="J530" s="1">
        <v>44771</v>
      </c>
      <c r="K530">
        <v>272</v>
      </c>
      <c r="L530">
        <v>5.4794520547945212E-4</v>
      </c>
      <c r="M530">
        <v>2044.1030136986303</v>
      </c>
      <c r="N530">
        <v>555996.0197260275</v>
      </c>
    </row>
    <row r="531" spans="1:14" x14ac:dyDescent="0.25">
      <c r="A531" t="s">
        <v>1039</v>
      </c>
      <c r="B531" t="s">
        <v>11</v>
      </c>
      <c r="C531">
        <v>25</v>
      </c>
      <c r="D531" t="s">
        <v>18</v>
      </c>
      <c r="E531" t="s">
        <v>23</v>
      </c>
      <c r="F531" t="s">
        <v>41</v>
      </c>
      <c r="G531">
        <v>2790538</v>
      </c>
      <c r="H531">
        <v>32.630000000000003</v>
      </c>
      <c r="I531">
        <v>39.18</v>
      </c>
      <c r="J531" s="1">
        <v>44849</v>
      </c>
      <c r="K531">
        <v>220</v>
      </c>
      <c r="L531">
        <v>5.4794520547945212E-4</v>
      </c>
      <c r="M531">
        <v>1529.0619178082193</v>
      </c>
      <c r="N531">
        <v>336393.62191780825</v>
      </c>
    </row>
    <row r="532" spans="1:14" x14ac:dyDescent="0.25">
      <c r="A532" t="s">
        <v>1041</v>
      </c>
      <c r="B532" t="s">
        <v>11</v>
      </c>
      <c r="C532">
        <v>55</v>
      </c>
      <c r="D532" t="s">
        <v>46</v>
      </c>
      <c r="E532" t="s">
        <v>13</v>
      </c>
      <c r="F532" t="s">
        <v>47</v>
      </c>
      <c r="G532">
        <v>4144205</v>
      </c>
      <c r="H532">
        <v>9.4</v>
      </c>
      <c r="I532">
        <v>13.69</v>
      </c>
      <c r="J532" s="1">
        <v>43901</v>
      </c>
      <c r="K532">
        <v>155</v>
      </c>
      <c r="L532">
        <v>5.4794520547945212E-4</v>
      </c>
      <c r="M532">
        <v>2270.7972602739728</v>
      </c>
      <c r="N532">
        <v>351973.57534246577</v>
      </c>
    </row>
    <row r="533" spans="1:14" x14ac:dyDescent="0.25">
      <c r="A533" t="s">
        <v>1043</v>
      </c>
      <c r="B533" t="s">
        <v>11</v>
      </c>
      <c r="C533">
        <v>60</v>
      </c>
      <c r="D533" t="s">
        <v>12</v>
      </c>
      <c r="E533" t="s">
        <v>57</v>
      </c>
      <c r="F533" t="s">
        <v>20</v>
      </c>
      <c r="G533">
        <v>3599472</v>
      </c>
      <c r="H533">
        <v>32.74</v>
      </c>
      <c r="I533">
        <v>12.04</v>
      </c>
      <c r="J533" s="1">
        <v>44364</v>
      </c>
      <c r="K533">
        <v>170</v>
      </c>
      <c r="L533">
        <v>5.4794520547945212E-4</v>
      </c>
      <c r="M533">
        <v>1972.3134246575346</v>
      </c>
      <c r="N533">
        <v>335293.28219178086</v>
      </c>
    </row>
    <row r="534" spans="1:14" x14ac:dyDescent="0.25">
      <c r="A534" t="s">
        <v>1044</v>
      </c>
      <c r="B534" t="s">
        <v>11</v>
      </c>
      <c r="C534">
        <v>26</v>
      </c>
      <c r="D534" t="s">
        <v>28</v>
      </c>
      <c r="E534" t="s">
        <v>29</v>
      </c>
      <c r="F534" t="s">
        <v>47</v>
      </c>
      <c r="G534">
        <v>2030228</v>
      </c>
      <c r="H534">
        <v>5.96</v>
      </c>
      <c r="I534">
        <v>38.07</v>
      </c>
      <c r="J534" s="1">
        <v>44090</v>
      </c>
      <c r="K534">
        <v>99</v>
      </c>
      <c r="L534">
        <v>5.4794520547945212E-4</v>
      </c>
      <c r="M534">
        <v>1112.4536986301371</v>
      </c>
      <c r="N534">
        <v>110132.91616438357</v>
      </c>
    </row>
    <row r="535" spans="1:14" x14ac:dyDescent="0.25">
      <c r="A535" t="s">
        <v>1046</v>
      </c>
      <c r="B535" t="s">
        <v>11</v>
      </c>
      <c r="C535">
        <v>44</v>
      </c>
      <c r="D535" t="s">
        <v>18</v>
      </c>
      <c r="E535" t="s">
        <v>13</v>
      </c>
      <c r="F535" t="s">
        <v>20</v>
      </c>
      <c r="G535">
        <v>3543797</v>
      </c>
      <c r="H535">
        <v>20.62</v>
      </c>
      <c r="I535">
        <v>9.44</v>
      </c>
      <c r="J535" s="1">
        <v>43494</v>
      </c>
      <c r="K535">
        <v>128</v>
      </c>
      <c r="L535">
        <v>5.4794520547945212E-4</v>
      </c>
      <c r="M535">
        <v>1941.806575342466</v>
      </c>
      <c r="N535">
        <v>248551.24164383564</v>
      </c>
    </row>
    <row r="536" spans="1:14" x14ac:dyDescent="0.25">
      <c r="A536" t="s">
        <v>1047</v>
      </c>
      <c r="B536" t="s">
        <v>11</v>
      </c>
      <c r="C536">
        <v>57</v>
      </c>
      <c r="D536" t="s">
        <v>12</v>
      </c>
      <c r="E536" t="s">
        <v>13</v>
      </c>
      <c r="F536" t="s">
        <v>35</v>
      </c>
      <c r="G536">
        <v>290361</v>
      </c>
      <c r="H536">
        <v>32.72</v>
      </c>
      <c r="I536">
        <v>5.81</v>
      </c>
      <c r="J536" s="1">
        <v>43996</v>
      </c>
      <c r="K536">
        <v>43</v>
      </c>
      <c r="L536">
        <v>5.4794520547945212E-4</v>
      </c>
      <c r="M536">
        <v>159.10191780821918</v>
      </c>
      <c r="N536">
        <v>6841.3824657534251</v>
      </c>
    </row>
    <row r="537" spans="1:14" x14ac:dyDescent="0.25">
      <c r="A537" t="s">
        <v>1048</v>
      </c>
      <c r="B537" t="s">
        <v>11</v>
      </c>
      <c r="C537">
        <v>24</v>
      </c>
      <c r="D537" t="s">
        <v>18</v>
      </c>
      <c r="E537" t="s">
        <v>13</v>
      </c>
      <c r="F537" t="s">
        <v>35</v>
      </c>
      <c r="G537">
        <v>3627499</v>
      </c>
      <c r="H537">
        <v>29.03</v>
      </c>
      <c r="I537">
        <v>38.76</v>
      </c>
      <c r="J537" s="1">
        <v>44842</v>
      </c>
      <c r="K537">
        <v>60</v>
      </c>
      <c r="L537">
        <v>5.4794520547945212E-4</v>
      </c>
      <c r="M537">
        <v>1987.6706849315071</v>
      </c>
      <c r="N537">
        <v>119260.24109589042</v>
      </c>
    </row>
    <row r="538" spans="1:14" x14ac:dyDescent="0.25">
      <c r="A538" t="s">
        <v>1049</v>
      </c>
      <c r="B538" t="s">
        <v>11</v>
      </c>
      <c r="C538">
        <v>50</v>
      </c>
      <c r="D538" t="s">
        <v>38</v>
      </c>
      <c r="E538" t="s">
        <v>19</v>
      </c>
      <c r="F538" t="s">
        <v>30</v>
      </c>
      <c r="G538">
        <v>793565</v>
      </c>
      <c r="H538">
        <v>26.61</v>
      </c>
      <c r="I538">
        <v>12.38</v>
      </c>
      <c r="J538" s="1">
        <v>43143</v>
      </c>
      <c r="K538">
        <v>257</v>
      </c>
      <c r="L538">
        <v>5.4794520547945212E-4</v>
      </c>
      <c r="M538">
        <v>434.8301369863014</v>
      </c>
      <c r="N538">
        <v>111751.34520547946</v>
      </c>
    </row>
    <row r="539" spans="1:14" x14ac:dyDescent="0.25">
      <c r="A539" t="s">
        <v>1051</v>
      </c>
      <c r="B539" t="s">
        <v>11</v>
      </c>
      <c r="C539">
        <v>27</v>
      </c>
      <c r="D539" t="s">
        <v>46</v>
      </c>
      <c r="E539" t="s">
        <v>29</v>
      </c>
      <c r="F539" t="s">
        <v>41</v>
      </c>
      <c r="G539">
        <v>4126605</v>
      </c>
      <c r="H539">
        <v>14.95</v>
      </c>
      <c r="I539">
        <v>31.61</v>
      </c>
      <c r="J539" s="1">
        <v>43361</v>
      </c>
      <c r="K539">
        <v>325</v>
      </c>
      <c r="L539">
        <v>5.4794520547945212E-4</v>
      </c>
      <c r="M539">
        <v>2261.1534246575347</v>
      </c>
      <c r="N539">
        <v>734874.86301369884</v>
      </c>
    </row>
    <row r="540" spans="1:14" x14ac:dyDescent="0.25">
      <c r="A540" t="s">
        <v>1053</v>
      </c>
      <c r="B540" t="s">
        <v>17</v>
      </c>
      <c r="C540">
        <v>32</v>
      </c>
      <c r="D540" t="s">
        <v>18</v>
      </c>
      <c r="E540" t="s">
        <v>57</v>
      </c>
      <c r="F540" t="s">
        <v>35</v>
      </c>
      <c r="G540">
        <v>3425960</v>
      </c>
      <c r="H540">
        <v>22.24</v>
      </c>
      <c r="I540">
        <v>41.55</v>
      </c>
      <c r="J540" s="1">
        <v>43412</v>
      </c>
      <c r="K540">
        <v>270</v>
      </c>
      <c r="L540">
        <v>5.4794520547945212E-4</v>
      </c>
      <c r="M540">
        <v>1877.2383561643837</v>
      </c>
      <c r="N540">
        <v>506854.35616438359</v>
      </c>
    </row>
    <row r="541" spans="1:14" x14ac:dyDescent="0.25">
      <c r="A541" t="s">
        <v>1055</v>
      </c>
      <c r="B541" t="s">
        <v>17</v>
      </c>
      <c r="C541">
        <v>22</v>
      </c>
      <c r="D541" t="s">
        <v>28</v>
      </c>
      <c r="E541" t="s">
        <v>13</v>
      </c>
      <c r="F541" t="s">
        <v>41</v>
      </c>
      <c r="G541">
        <v>2510472</v>
      </c>
      <c r="H541">
        <v>17.399999999999999</v>
      </c>
      <c r="I541">
        <v>41.85</v>
      </c>
      <c r="J541" s="1">
        <v>45367</v>
      </c>
      <c r="K541">
        <v>43</v>
      </c>
      <c r="L541">
        <v>5.4794520547945212E-4</v>
      </c>
      <c r="M541">
        <v>1375.6010958904112</v>
      </c>
      <c r="N541">
        <v>59150.847123287684</v>
      </c>
    </row>
    <row r="542" spans="1:14" x14ac:dyDescent="0.25">
      <c r="A542" t="s">
        <v>1057</v>
      </c>
      <c r="B542" t="s">
        <v>17</v>
      </c>
      <c r="C542">
        <v>47</v>
      </c>
      <c r="D542" t="s">
        <v>46</v>
      </c>
      <c r="E542" t="s">
        <v>13</v>
      </c>
      <c r="F542" t="s">
        <v>20</v>
      </c>
      <c r="G542">
        <v>918457</v>
      </c>
      <c r="H542">
        <v>19.72</v>
      </c>
      <c r="I542">
        <v>15.24</v>
      </c>
      <c r="J542" s="1">
        <v>44136</v>
      </c>
      <c r="K542">
        <v>153</v>
      </c>
      <c r="L542">
        <v>5.4794520547945212E-4</v>
      </c>
      <c r="M542">
        <v>503.26410958904114</v>
      </c>
      <c r="N542">
        <v>76999.408767123299</v>
      </c>
    </row>
    <row r="543" spans="1:14" x14ac:dyDescent="0.25">
      <c r="A543" t="s">
        <v>1059</v>
      </c>
      <c r="B543" t="s">
        <v>17</v>
      </c>
      <c r="C543">
        <v>29</v>
      </c>
      <c r="D543" t="s">
        <v>18</v>
      </c>
      <c r="E543" t="s">
        <v>19</v>
      </c>
      <c r="F543" t="s">
        <v>41</v>
      </c>
      <c r="G543">
        <v>4153711</v>
      </c>
      <c r="H543">
        <v>9</v>
      </c>
      <c r="I543">
        <v>-1.39</v>
      </c>
      <c r="J543" s="1">
        <v>45194</v>
      </c>
      <c r="K543">
        <v>363</v>
      </c>
      <c r="L543">
        <v>5.4794520547945212E-4</v>
      </c>
      <c r="M543">
        <v>2276.0060273972604</v>
      </c>
      <c r="N543">
        <v>826190.18794520549</v>
      </c>
    </row>
    <row r="544" spans="1:14" x14ac:dyDescent="0.25">
      <c r="A544" t="s">
        <v>1061</v>
      </c>
      <c r="B544" t="s">
        <v>11</v>
      </c>
      <c r="C544">
        <v>24</v>
      </c>
      <c r="D544" t="s">
        <v>38</v>
      </c>
      <c r="E544" t="s">
        <v>50</v>
      </c>
      <c r="F544" t="s">
        <v>47</v>
      </c>
      <c r="G544">
        <v>1581390</v>
      </c>
      <c r="H544">
        <v>5.37</v>
      </c>
      <c r="I544">
        <v>33.5</v>
      </c>
      <c r="J544" s="1">
        <v>43698</v>
      </c>
      <c r="K544">
        <v>185</v>
      </c>
      <c r="L544">
        <v>5.4794520547945212E-4</v>
      </c>
      <c r="M544">
        <v>866.51506849315081</v>
      </c>
      <c r="N544">
        <v>160305.28767123289</v>
      </c>
    </row>
    <row r="545" spans="1:14" x14ac:dyDescent="0.25">
      <c r="A545" t="s">
        <v>1062</v>
      </c>
      <c r="B545" t="s">
        <v>17</v>
      </c>
      <c r="C545">
        <v>50</v>
      </c>
      <c r="D545" t="s">
        <v>46</v>
      </c>
      <c r="E545" t="s">
        <v>50</v>
      </c>
      <c r="F545" t="s">
        <v>20</v>
      </c>
      <c r="G545">
        <v>4520925</v>
      </c>
      <c r="H545">
        <v>27.1</v>
      </c>
      <c r="I545">
        <v>13.18</v>
      </c>
      <c r="J545" s="1">
        <v>44239</v>
      </c>
      <c r="K545">
        <v>315</v>
      </c>
      <c r="L545">
        <v>5.4794520547945212E-4</v>
      </c>
      <c r="M545">
        <v>2477.2191780821922</v>
      </c>
      <c r="N545">
        <v>780324.04109589057</v>
      </c>
    </row>
    <row r="546" spans="1:14" x14ac:dyDescent="0.25">
      <c r="A546" t="s">
        <v>1064</v>
      </c>
      <c r="B546" t="s">
        <v>11</v>
      </c>
      <c r="C546">
        <v>35</v>
      </c>
      <c r="D546" t="s">
        <v>12</v>
      </c>
      <c r="E546" t="s">
        <v>57</v>
      </c>
      <c r="F546" t="s">
        <v>30</v>
      </c>
      <c r="G546">
        <v>4932168</v>
      </c>
      <c r="H546">
        <v>6.22</v>
      </c>
      <c r="I546">
        <v>18.920000000000002</v>
      </c>
      <c r="J546" s="1">
        <v>43921</v>
      </c>
      <c r="K546">
        <v>111</v>
      </c>
      <c r="L546">
        <v>5.4794520547945212E-4</v>
      </c>
      <c r="M546">
        <v>2702.5578082191782</v>
      </c>
      <c r="N546">
        <v>299983.91671232879</v>
      </c>
    </row>
    <row r="547" spans="1:14" x14ac:dyDescent="0.25">
      <c r="A547" t="s">
        <v>1065</v>
      </c>
      <c r="B547" t="s">
        <v>11</v>
      </c>
      <c r="C547">
        <v>55</v>
      </c>
      <c r="D547" t="s">
        <v>38</v>
      </c>
      <c r="E547" t="s">
        <v>57</v>
      </c>
      <c r="F547" t="s">
        <v>47</v>
      </c>
      <c r="G547">
        <v>3231475</v>
      </c>
      <c r="H547">
        <v>17.22</v>
      </c>
      <c r="I547">
        <v>-3.77</v>
      </c>
      <c r="J547" s="1">
        <v>43931</v>
      </c>
      <c r="K547">
        <v>148</v>
      </c>
      <c r="L547">
        <v>5.4794520547945212E-4</v>
      </c>
      <c r="M547">
        <v>1770.6712328767126</v>
      </c>
      <c r="N547">
        <v>262059.34246575346</v>
      </c>
    </row>
    <row r="548" spans="1:14" x14ac:dyDescent="0.25">
      <c r="A548" t="s">
        <v>1066</v>
      </c>
      <c r="B548" t="s">
        <v>11</v>
      </c>
      <c r="C548">
        <v>62</v>
      </c>
      <c r="D548" t="s">
        <v>46</v>
      </c>
      <c r="E548" t="s">
        <v>13</v>
      </c>
      <c r="F548" t="s">
        <v>30</v>
      </c>
      <c r="G548">
        <v>2417468</v>
      </c>
      <c r="H548">
        <v>34.79</v>
      </c>
      <c r="I548">
        <v>8.81</v>
      </c>
      <c r="J548" s="1">
        <v>43901</v>
      </c>
      <c r="K548">
        <v>48</v>
      </c>
      <c r="L548">
        <v>5.4794520547945212E-4</v>
      </c>
      <c r="M548">
        <v>1324.64</v>
      </c>
      <c r="N548">
        <v>63582.720000000001</v>
      </c>
    </row>
    <row r="549" spans="1:14" x14ac:dyDescent="0.25">
      <c r="A549" t="s">
        <v>1067</v>
      </c>
      <c r="B549" t="s">
        <v>11</v>
      </c>
      <c r="C549">
        <v>39</v>
      </c>
      <c r="D549" t="s">
        <v>12</v>
      </c>
      <c r="E549" t="s">
        <v>50</v>
      </c>
      <c r="F549" t="s">
        <v>47</v>
      </c>
      <c r="G549">
        <v>253393</v>
      </c>
      <c r="H549">
        <v>7.77</v>
      </c>
      <c r="I549">
        <v>30.03</v>
      </c>
      <c r="J549" s="1">
        <v>44000</v>
      </c>
      <c r="K549">
        <v>332</v>
      </c>
      <c r="L549">
        <v>5.4794520547945212E-4</v>
      </c>
      <c r="M549">
        <v>138.8454794520548</v>
      </c>
      <c r="N549">
        <v>46096.699178082192</v>
      </c>
    </row>
    <row r="550" spans="1:14" x14ac:dyDescent="0.25">
      <c r="A550" t="s">
        <v>1069</v>
      </c>
      <c r="B550" t="s">
        <v>17</v>
      </c>
      <c r="C550">
        <v>52</v>
      </c>
      <c r="D550" t="s">
        <v>46</v>
      </c>
      <c r="E550" t="s">
        <v>29</v>
      </c>
      <c r="F550" t="s">
        <v>30</v>
      </c>
      <c r="G550">
        <v>2747997</v>
      </c>
      <c r="H550">
        <v>19.670000000000002</v>
      </c>
      <c r="I550">
        <v>15.32</v>
      </c>
      <c r="J550" s="1">
        <v>45047</v>
      </c>
      <c r="K550">
        <v>194</v>
      </c>
      <c r="L550">
        <v>5.4794520547945212E-4</v>
      </c>
      <c r="M550">
        <v>1505.7517808219179</v>
      </c>
      <c r="N550">
        <v>292115.84547945205</v>
      </c>
    </row>
    <row r="551" spans="1:14" x14ac:dyDescent="0.25">
      <c r="A551" t="s">
        <v>1071</v>
      </c>
      <c r="B551" t="s">
        <v>17</v>
      </c>
      <c r="C551">
        <v>25</v>
      </c>
      <c r="D551" t="s">
        <v>12</v>
      </c>
      <c r="E551" t="s">
        <v>23</v>
      </c>
      <c r="F551" t="s">
        <v>20</v>
      </c>
      <c r="G551">
        <v>304681</v>
      </c>
      <c r="H551">
        <v>34.75</v>
      </c>
      <c r="I551">
        <v>44.31</v>
      </c>
      <c r="J551" s="1">
        <v>45575</v>
      </c>
      <c r="K551">
        <v>183</v>
      </c>
      <c r="L551">
        <v>5.4794520547945212E-4</v>
      </c>
      <c r="M551">
        <v>166.94849315068495</v>
      </c>
      <c r="N551">
        <v>30551.574246575346</v>
      </c>
    </row>
    <row r="552" spans="1:14" x14ac:dyDescent="0.25">
      <c r="A552" t="s">
        <v>1073</v>
      </c>
      <c r="B552" t="s">
        <v>17</v>
      </c>
      <c r="C552">
        <v>39</v>
      </c>
      <c r="D552" t="s">
        <v>18</v>
      </c>
      <c r="E552" t="s">
        <v>23</v>
      </c>
      <c r="F552" t="s">
        <v>47</v>
      </c>
      <c r="G552">
        <v>540837</v>
      </c>
      <c r="H552">
        <v>19.38</v>
      </c>
      <c r="I552">
        <v>44.01</v>
      </c>
      <c r="J552" s="1">
        <v>43268</v>
      </c>
      <c r="K552">
        <v>103</v>
      </c>
      <c r="L552">
        <v>5.4794520547945212E-4</v>
      </c>
      <c r="M552">
        <v>296.34904109589047</v>
      </c>
      <c r="N552">
        <v>30523.95123287672</v>
      </c>
    </row>
    <row r="553" spans="1:14" x14ac:dyDescent="0.25">
      <c r="A553" t="s">
        <v>1075</v>
      </c>
      <c r="B553" t="s">
        <v>11</v>
      </c>
      <c r="C553">
        <v>47</v>
      </c>
      <c r="D553" t="s">
        <v>12</v>
      </c>
      <c r="E553" t="s">
        <v>19</v>
      </c>
      <c r="F553" t="s">
        <v>14</v>
      </c>
      <c r="G553">
        <v>550241</v>
      </c>
      <c r="H553">
        <v>5.0999999999999996</v>
      </c>
      <c r="I553">
        <v>-7.98</v>
      </c>
      <c r="J553" s="1">
        <v>43922</v>
      </c>
      <c r="K553">
        <v>126</v>
      </c>
      <c r="L553">
        <v>5.4794520547945212E-4</v>
      </c>
      <c r="M553">
        <v>301.50191780821922</v>
      </c>
      <c r="N553">
        <v>37989.241643835623</v>
      </c>
    </row>
    <row r="554" spans="1:14" x14ac:dyDescent="0.25">
      <c r="A554" t="s">
        <v>1077</v>
      </c>
      <c r="B554" t="s">
        <v>17</v>
      </c>
      <c r="C554">
        <v>47</v>
      </c>
      <c r="D554" t="s">
        <v>18</v>
      </c>
      <c r="E554" t="s">
        <v>29</v>
      </c>
      <c r="F554" t="s">
        <v>35</v>
      </c>
      <c r="G554">
        <v>2666851</v>
      </c>
      <c r="H554">
        <v>5.62</v>
      </c>
      <c r="I554">
        <v>31.25</v>
      </c>
      <c r="J554" s="1">
        <v>44886</v>
      </c>
      <c r="K554">
        <v>84</v>
      </c>
      <c r="L554">
        <v>5.4794520547945212E-4</v>
      </c>
      <c r="M554">
        <v>1461.2882191780823</v>
      </c>
      <c r="N554">
        <v>122748.21041095891</v>
      </c>
    </row>
    <row r="555" spans="1:14" x14ac:dyDescent="0.25">
      <c r="A555" t="s">
        <v>1079</v>
      </c>
      <c r="B555" t="s">
        <v>11</v>
      </c>
      <c r="C555">
        <v>47</v>
      </c>
      <c r="D555" t="s">
        <v>28</v>
      </c>
      <c r="E555" t="s">
        <v>13</v>
      </c>
      <c r="F555" t="s">
        <v>20</v>
      </c>
      <c r="G555">
        <v>1302336</v>
      </c>
      <c r="H555">
        <v>29.88</v>
      </c>
      <c r="I555">
        <v>25.52</v>
      </c>
      <c r="J555" s="1">
        <v>43665</v>
      </c>
      <c r="K555">
        <v>66</v>
      </c>
      <c r="L555">
        <v>5.4794520547945212E-4</v>
      </c>
      <c r="M555">
        <v>713.60876712328775</v>
      </c>
      <c r="N555">
        <v>47098.178630136994</v>
      </c>
    </row>
    <row r="556" spans="1:14" x14ac:dyDescent="0.25">
      <c r="A556" t="s">
        <v>1081</v>
      </c>
      <c r="B556" t="s">
        <v>17</v>
      </c>
      <c r="C556">
        <v>38</v>
      </c>
      <c r="D556" t="s">
        <v>46</v>
      </c>
      <c r="E556" t="s">
        <v>23</v>
      </c>
      <c r="F556" t="s">
        <v>47</v>
      </c>
      <c r="G556">
        <v>2925123</v>
      </c>
      <c r="H556">
        <v>24.87</v>
      </c>
      <c r="I556">
        <v>6.75</v>
      </c>
      <c r="J556" s="1">
        <v>45001</v>
      </c>
      <c r="K556">
        <v>103</v>
      </c>
      <c r="L556">
        <v>5.4794520547945212E-4</v>
      </c>
      <c r="M556">
        <v>1602.8071232876714</v>
      </c>
      <c r="N556">
        <v>165089.13369863015</v>
      </c>
    </row>
    <row r="557" spans="1:14" x14ac:dyDescent="0.25">
      <c r="A557" t="s">
        <v>1083</v>
      </c>
      <c r="B557" t="s">
        <v>11</v>
      </c>
      <c r="C557">
        <v>64</v>
      </c>
      <c r="D557" t="s">
        <v>18</v>
      </c>
      <c r="E557" t="s">
        <v>19</v>
      </c>
      <c r="F557" t="s">
        <v>41</v>
      </c>
      <c r="G557">
        <v>4402585</v>
      </c>
      <c r="H557">
        <v>32.590000000000003</v>
      </c>
      <c r="I557">
        <v>-9.39</v>
      </c>
      <c r="J557" s="1">
        <v>43314</v>
      </c>
      <c r="K557">
        <v>38</v>
      </c>
      <c r="L557">
        <v>5.4794520547945212E-4</v>
      </c>
      <c r="M557">
        <v>2412.3753424657539</v>
      </c>
      <c r="N557">
        <v>91670.263013698641</v>
      </c>
    </row>
    <row r="558" spans="1:14" x14ac:dyDescent="0.25">
      <c r="A558" t="s">
        <v>1085</v>
      </c>
      <c r="B558" t="s">
        <v>17</v>
      </c>
      <c r="C558">
        <v>64</v>
      </c>
      <c r="D558" t="s">
        <v>18</v>
      </c>
      <c r="E558" t="s">
        <v>19</v>
      </c>
      <c r="F558" t="s">
        <v>14</v>
      </c>
      <c r="G558">
        <v>4624713</v>
      </c>
      <c r="H558">
        <v>10.41</v>
      </c>
      <c r="I558">
        <v>-8.36</v>
      </c>
      <c r="J558" s="1">
        <v>44807</v>
      </c>
      <c r="K558">
        <v>122</v>
      </c>
      <c r="L558">
        <v>5.4794520547945212E-4</v>
      </c>
      <c r="M558">
        <v>2534.0893150684933</v>
      </c>
      <c r="N558">
        <v>309158.8964383562</v>
      </c>
    </row>
    <row r="559" spans="1:14" x14ac:dyDescent="0.25">
      <c r="A559" t="s">
        <v>1087</v>
      </c>
      <c r="B559" t="s">
        <v>17</v>
      </c>
      <c r="C559">
        <v>27</v>
      </c>
      <c r="D559" t="s">
        <v>46</v>
      </c>
      <c r="E559" t="s">
        <v>29</v>
      </c>
      <c r="F559" t="s">
        <v>35</v>
      </c>
      <c r="G559">
        <v>1325728</v>
      </c>
      <c r="H559">
        <v>9.31</v>
      </c>
      <c r="I559">
        <v>33.96</v>
      </c>
      <c r="J559" s="1">
        <v>45353</v>
      </c>
      <c r="K559">
        <v>309</v>
      </c>
      <c r="L559">
        <v>5.4794520547945212E-4</v>
      </c>
      <c r="M559">
        <v>726.42630136986315</v>
      </c>
      <c r="N559">
        <v>224465.72712328771</v>
      </c>
    </row>
    <row r="560" spans="1:14" x14ac:dyDescent="0.25">
      <c r="A560" t="s">
        <v>1089</v>
      </c>
      <c r="B560" t="s">
        <v>11</v>
      </c>
      <c r="C560">
        <v>27</v>
      </c>
      <c r="D560" t="s">
        <v>46</v>
      </c>
      <c r="E560" t="s">
        <v>13</v>
      </c>
      <c r="F560" t="s">
        <v>41</v>
      </c>
      <c r="G560">
        <v>1653499</v>
      </c>
      <c r="H560">
        <v>9.86</v>
      </c>
      <c r="I560">
        <v>-3.54</v>
      </c>
      <c r="J560" s="1">
        <v>44706</v>
      </c>
      <c r="K560">
        <v>53</v>
      </c>
      <c r="L560">
        <v>5.4794520547945212E-4</v>
      </c>
      <c r="M560">
        <v>906.0268493150686</v>
      </c>
      <c r="N560">
        <v>48019.423013698637</v>
      </c>
    </row>
    <row r="561" spans="1:14" x14ac:dyDescent="0.25">
      <c r="A561" t="s">
        <v>1091</v>
      </c>
      <c r="B561" t="s">
        <v>11</v>
      </c>
      <c r="C561">
        <v>36</v>
      </c>
      <c r="D561" t="s">
        <v>12</v>
      </c>
      <c r="E561" t="s">
        <v>29</v>
      </c>
      <c r="F561" t="s">
        <v>41</v>
      </c>
      <c r="G561">
        <v>856334</v>
      </c>
      <c r="H561">
        <v>30.79</v>
      </c>
      <c r="I561">
        <v>3.74</v>
      </c>
      <c r="J561" s="1">
        <v>43970</v>
      </c>
      <c r="K561">
        <v>327</v>
      </c>
      <c r="L561">
        <v>5.4794520547945212E-4</v>
      </c>
      <c r="M561">
        <v>469.22410958904118</v>
      </c>
      <c r="N561">
        <v>153436.28383561646</v>
      </c>
    </row>
    <row r="562" spans="1:14" x14ac:dyDescent="0.25">
      <c r="A562" t="s">
        <v>1092</v>
      </c>
      <c r="B562" t="s">
        <v>11</v>
      </c>
      <c r="C562">
        <v>41</v>
      </c>
      <c r="D562" t="s">
        <v>18</v>
      </c>
      <c r="E562" t="s">
        <v>50</v>
      </c>
      <c r="F562" t="s">
        <v>47</v>
      </c>
      <c r="G562">
        <v>3399617</v>
      </c>
      <c r="H562">
        <v>28.62</v>
      </c>
      <c r="I562">
        <v>5.75</v>
      </c>
      <c r="J562" s="1">
        <v>44910</v>
      </c>
      <c r="K562">
        <v>120</v>
      </c>
      <c r="L562">
        <v>5.4794520547945212E-4</v>
      </c>
      <c r="M562">
        <v>1862.8038356164386</v>
      </c>
      <c r="N562">
        <v>223536.46027397263</v>
      </c>
    </row>
    <row r="563" spans="1:14" x14ac:dyDescent="0.25">
      <c r="A563" t="s">
        <v>1094</v>
      </c>
      <c r="B563" t="s">
        <v>17</v>
      </c>
      <c r="C563">
        <v>40</v>
      </c>
      <c r="D563" t="s">
        <v>18</v>
      </c>
      <c r="E563" t="s">
        <v>50</v>
      </c>
      <c r="F563" t="s">
        <v>30</v>
      </c>
      <c r="G563">
        <v>3672766</v>
      </c>
      <c r="H563">
        <v>11.95</v>
      </c>
      <c r="I563">
        <v>-3.84</v>
      </c>
      <c r="J563" s="1">
        <v>45328</v>
      </c>
      <c r="K563">
        <v>9</v>
      </c>
      <c r="L563">
        <v>5.4794520547945212E-4</v>
      </c>
      <c r="M563">
        <v>2012.4745205479455</v>
      </c>
      <c r="N563">
        <v>18112.270684931511</v>
      </c>
    </row>
    <row r="564" spans="1:14" x14ac:dyDescent="0.25">
      <c r="A564" t="s">
        <v>1096</v>
      </c>
      <c r="B564" t="s">
        <v>11</v>
      </c>
      <c r="C564">
        <v>62</v>
      </c>
      <c r="D564" t="s">
        <v>46</v>
      </c>
      <c r="E564" t="s">
        <v>23</v>
      </c>
      <c r="F564" t="s">
        <v>20</v>
      </c>
      <c r="G564">
        <v>1877421</v>
      </c>
      <c r="H564">
        <v>27.46</v>
      </c>
      <c r="I564">
        <v>-3.92</v>
      </c>
      <c r="J564" s="1">
        <v>43142</v>
      </c>
      <c r="K564">
        <v>32</v>
      </c>
      <c r="L564">
        <v>5.4794520547945212E-4</v>
      </c>
      <c r="M564">
        <v>1028.7238356164385</v>
      </c>
      <c r="N564">
        <v>32919.162739726031</v>
      </c>
    </row>
    <row r="565" spans="1:14" x14ac:dyDescent="0.25">
      <c r="A565" t="s">
        <v>1097</v>
      </c>
      <c r="B565" t="s">
        <v>17</v>
      </c>
      <c r="C565">
        <v>61</v>
      </c>
      <c r="D565" t="s">
        <v>38</v>
      </c>
      <c r="E565" t="s">
        <v>50</v>
      </c>
      <c r="F565" t="s">
        <v>35</v>
      </c>
      <c r="G565">
        <v>1998500</v>
      </c>
      <c r="H565">
        <v>34.33</v>
      </c>
      <c r="I565">
        <v>29.15</v>
      </c>
      <c r="J565" s="1">
        <v>44294</v>
      </c>
      <c r="K565">
        <v>94</v>
      </c>
      <c r="L565">
        <v>5.4794520547945212E-4</v>
      </c>
      <c r="M565">
        <v>1095.0684931506851</v>
      </c>
      <c r="N565">
        <v>102936.43835616439</v>
      </c>
    </row>
    <row r="566" spans="1:14" x14ac:dyDescent="0.25">
      <c r="A566" t="s">
        <v>1098</v>
      </c>
      <c r="B566" t="s">
        <v>17</v>
      </c>
      <c r="C566">
        <v>30</v>
      </c>
      <c r="D566" t="s">
        <v>38</v>
      </c>
      <c r="E566" t="s">
        <v>13</v>
      </c>
      <c r="F566" t="s">
        <v>14</v>
      </c>
      <c r="G566">
        <v>816194</v>
      </c>
      <c r="H566">
        <v>26.91</v>
      </c>
      <c r="I566">
        <v>39.450000000000003</v>
      </c>
      <c r="J566" s="1">
        <v>45056</v>
      </c>
      <c r="K566">
        <v>248</v>
      </c>
      <c r="L566">
        <v>5.4794520547945212E-4</v>
      </c>
      <c r="M566">
        <v>447.22958904109595</v>
      </c>
      <c r="N566">
        <v>110912.9380821918</v>
      </c>
    </row>
    <row r="567" spans="1:14" x14ac:dyDescent="0.25">
      <c r="A567" t="s">
        <v>1100</v>
      </c>
      <c r="B567" t="s">
        <v>17</v>
      </c>
      <c r="C567">
        <v>60</v>
      </c>
      <c r="D567" t="s">
        <v>28</v>
      </c>
      <c r="E567" t="s">
        <v>50</v>
      </c>
      <c r="F567" t="s">
        <v>30</v>
      </c>
      <c r="G567">
        <v>3101840</v>
      </c>
      <c r="H567">
        <v>26.43</v>
      </c>
      <c r="I567">
        <v>39.729999999999997</v>
      </c>
      <c r="J567" s="1">
        <v>44183</v>
      </c>
      <c r="K567">
        <v>49</v>
      </c>
      <c r="L567">
        <v>5.4794520547945212E-4</v>
      </c>
      <c r="M567">
        <v>1699.6383561643838</v>
      </c>
      <c r="N567">
        <v>83282.279452054805</v>
      </c>
    </row>
    <row r="568" spans="1:14" x14ac:dyDescent="0.25">
      <c r="A568" t="s">
        <v>1102</v>
      </c>
      <c r="B568" t="s">
        <v>11</v>
      </c>
      <c r="C568">
        <v>49</v>
      </c>
      <c r="D568" t="s">
        <v>18</v>
      </c>
      <c r="E568" t="s">
        <v>19</v>
      </c>
      <c r="F568" t="s">
        <v>47</v>
      </c>
      <c r="G568">
        <v>1637292</v>
      </c>
      <c r="H568">
        <v>26.03</v>
      </c>
      <c r="I568">
        <v>35.86</v>
      </c>
      <c r="J568" s="1">
        <v>44194</v>
      </c>
      <c r="K568">
        <v>163</v>
      </c>
      <c r="L568">
        <v>5.4794520547945212E-4</v>
      </c>
      <c r="M568">
        <v>897.14630136986318</v>
      </c>
      <c r="N568">
        <v>146234.84712328771</v>
      </c>
    </row>
    <row r="569" spans="1:14" x14ac:dyDescent="0.25">
      <c r="A569" t="s">
        <v>1104</v>
      </c>
      <c r="B569" t="s">
        <v>17</v>
      </c>
      <c r="C569">
        <v>32</v>
      </c>
      <c r="D569" t="s">
        <v>38</v>
      </c>
      <c r="E569" t="s">
        <v>13</v>
      </c>
      <c r="F569" t="s">
        <v>35</v>
      </c>
      <c r="G569">
        <v>3804259</v>
      </c>
      <c r="H569">
        <v>7.75</v>
      </c>
      <c r="I569">
        <v>5.55</v>
      </c>
      <c r="J569" s="1">
        <v>45447</v>
      </c>
      <c r="K569">
        <v>333</v>
      </c>
      <c r="L569">
        <v>5.4794520547945212E-4</v>
      </c>
      <c r="M569">
        <v>2084.5254794520552</v>
      </c>
      <c r="N569">
        <v>694146.9846575344</v>
      </c>
    </row>
    <row r="570" spans="1:14" x14ac:dyDescent="0.25">
      <c r="A570" t="s">
        <v>1106</v>
      </c>
      <c r="B570" t="s">
        <v>11</v>
      </c>
      <c r="C570">
        <v>50</v>
      </c>
      <c r="D570" t="s">
        <v>38</v>
      </c>
      <c r="E570" t="s">
        <v>19</v>
      </c>
      <c r="F570" t="s">
        <v>35</v>
      </c>
      <c r="G570">
        <v>4219427</v>
      </c>
      <c r="H570">
        <v>31.31</v>
      </c>
      <c r="I570">
        <v>8.65</v>
      </c>
      <c r="J570" s="1">
        <v>43842</v>
      </c>
      <c r="K570">
        <v>133</v>
      </c>
      <c r="L570">
        <v>5.4794520547945212E-4</v>
      </c>
      <c r="M570">
        <v>2312.0147945205481</v>
      </c>
      <c r="N570">
        <v>307497.96767123288</v>
      </c>
    </row>
    <row r="571" spans="1:14" x14ac:dyDescent="0.25">
      <c r="A571" t="s">
        <v>1108</v>
      </c>
      <c r="B571" t="s">
        <v>11</v>
      </c>
      <c r="C571">
        <v>45</v>
      </c>
      <c r="D571" t="s">
        <v>38</v>
      </c>
      <c r="E571" t="s">
        <v>23</v>
      </c>
      <c r="F571" t="s">
        <v>47</v>
      </c>
      <c r="G571">
        <v>3874528</v>
      </c>
      <c r="H571">
        <v>17.54</v>
      </c>
      <c r="I571">
        <v>19.86</v>
      </c>
      <c r="J571" s="1">
        <v>44902</v>
      </c>
      <c r="K571">
        <v>293</v>
      </c>
      <c r="L571">
        <v>5.4794520547945212E-4</v>
      </c>
      <c r="M571">
        <v>2123.0290410958905</v>
      </c>
      <c r="N571">
        <v>622047.50904109597</v>
      </c>
    </row>
    <row r="572" spans="1:14" x14ac:dyDescent="0.25">
      <c r="A572" t="s">
        <v>1109</v>
      </c>
      <c r="B572" t="s">
        <v>17</v>
      </c>
      <c r="C572">
        <v>62</v>
      </c>
      <c r="D572" t="s">
        <v>38</v>
      </c>
      <c r="E572" t="s">
        <v>19</v>
      </c>
      <c r="F572" t="s">
        <v>47</v>
      </c>
      <c r="G572">
        <v>109740</v>
      </c>
      <c r="H572">
        <v>23.48</v>
      </c>
      <c r="I572">
        <v>20.77</v>
      </c>
      <c r="J572" s="1">
        <v>43644</v>
      </c>
      <c r="K572">
        <v>144</v>
      </c>
      <c r="L572">
        <v>5.4794520547945212E-4</v>
      </c>
      <c r="M572">
        <v>60.131506849315073</v>
      </c>
      <c r="N572">
        <v>8658.9369863013708</v>
      </c>
    </row>
    <row r="573" spans="1:14" x14ac:dyDescent="0.25">
      <c r="A573" t="s">
        <v>1111</v>
      </c>
      <c r="B573" t="s">
        <v>17</v>
      </c>
      <c r="C573">
        <v>33</v>
      </c>
      <c r="D573" t="s">
        <v>46</v>
      </c>
      <c r="E573" t="s">
        <v>23</v>
      </c>
      <c r="F573" t="s">
        <v>47</v>
      </c>
      <c r="G573">
        <v>1954018</v>
      </c>
      <c r="H573">
        <v>23.76</v>
      </c>
      <c r="I573">
        <v>3.19</v>
      </c>
      <c r="J573" s="1">
        <v>44023</v>
      </c>
      <c r="K573">
        <v>28</v>
      </c>
      <c r="L573">
        <v>5.4794520547945212E-4</v>
      </c>
      <c r="M573">
        <v>1070.6947945205482</v>
      </c>
      <c r="N573">
        <v>29979.454246575347</v>
      </c>
    </row>
    <row r="574" spans="1:14" x14ac:dyDescent="0.25">
      <c r="A574" t="s">
        <v>1112</v>
      </c>
      <c r="B574" t="s">
        <v>11</v>
      </c>
      <c r="C574">
        <v>38</v>
      </c>
      <c r="D574" t="s">
        <v>46</v>
      </c>
      <c r="E574" t="s">
        <v>19</v>
      </c>
      <c r="F574" t="s">
        <v>20</v>
      </c>
      <c r="G574">
        <v>2650246</v>
      </c>
      <c r="H574">
        <v>22.28</v>
      </c>
      <c r="I574">
        <v>1.29</v>
      </c>
      <c r="J574" s="1">
        <v>45133</v>
      </c>
      <c r="K574">
        <v>351</v>
      </c>
      <c r="L574">
        <v>5.4794520547945212E-4</v>
      </c>
      <c r="M574">
        <v>1452.189589041096</v>
      </c>
      <c r="N574">
        <v>509718.5457534247</v>
      </c>
    </row>
    <row r="575" spans="1:14" x14ac:dyDescent="0.25">
      <c r="A575" t="s">
        <v>1114</v>
      </c>
      <c r="B575" t="s">
        <v>17</v>
      </c>
      <c r="C575">
        <v>47</v>
      </c>
      <c r="D575" t="s">
        <v>38</v>
      </c>
      <c r="E575" t="s">
        <v>57</v>
      </c>
      <c r="F575" t="s">
        <v>20</v>
      </c>
      <c r="G575">
        <v>2625434</v>
      </c>
      <c r="H575">
        <v>15.85</v>
      </c>
      <c r="I575">
        <v>4.78</v>
      </c>
      <c r="J575" s="1">
        <v>44897</v>
      </c>
      <c r="K575">
        <v>150</v>
      </c>
      <c r="L575">
        <v>5.4794520547945212E-4</v>
      </c>
      <c r="M575">
        <v>1438.59397260274</v>
      </c>
      <c r="N575">
        <v>215789.095890411</v>
      </c>
    </row>
    <row r="576" spans="1:14" x14ac:dyDescent="0.25">
      <c r="A576" t="s">
        <v>1116</v>
      </c>
      <c r="B576" t="s">
        <v>11</v>
      </c>
      <c r="C576">
        <v>21</v>
      </c>
      <c r="D576" t="s">
        <v>28</v>
      </c>
      <c r="E576" t="s">
        <v>50</v>
      </c>
      <c r="F576" t="s">
        <v>35</v>
      </c>
      <c r="G576">
        <v>1246552</v>
      </c>
      <c r="H576">
        <v>28.77</v>
      </c>
      <c r="I576">
        <v>40.44</v>
      </c>
      <c r="J576" s="1">
        <v>44750</v>
      </c>
      <c r="K576">
        <v>263</v>
      </c>
      <c r="L576">
        <v>5.4794520547945212E-4</v>
      </c>
      <c r="M576">
        <v>683.04219178082201</v>
      </c>
      <c r="N576">
        <v>179640.09643835618</v>
      </c>
    </row>
    <row r="577" spans="1:14" x14ac:dyDescent="0.25">
      <c r="A577" t="s">
        <v>1117</v>
      </c>
      <c r="B577" t="s">
        <v>17</v>
      </c>
      <c r="C577">
        <v>46</v>
      </c>
      <c r="D577" t="s">
        <v>38</v>
      </c>
      <c r="E577" t="s">
        <v>50</v>
      </c>
      <c r="F577" t="s">
        <v>30</v>
      </c>
      <c r="G577">
        <v>4516143</v>
      </c>
      <c r="H577">
        <v>9.3000000000000007</v>
      </c>
      <c r="I577">
        <v>32.76</v>
      </c>
      <c r="J577" s="1">
        <v>43817</v>
      </c>
      <c r="K577">
        <v>341</v>
      </c>
      <c r="L577">
        <v>5.4794520547945212E-4</v>
      </c>
      <c r="M577">
        <v>2474.5989041095895</v>
      </c>
      <c r="N577">
        <v>843838.22630137007</v>
      </c>
    </row>
    <row r="578" spans="1:14" x14ac:dyDescent="0.25">
      <c r="A578" t="s">
        <v>1119</v>
      </c>
      <c r="B578" t="s">
        <v>17</v>
      </c>
      <c r="C578">
        <v>47</v>
      </c>
      <c r="D578" t="s">
        <v>38</v>
      </c>
      <c r="E578" t="s">
        <v>13</v>
      </c>
      <c r="F578" t="s">
        <v>35</v>
      </c>
      <c r="G578">
        <v>880870</v>
      </c>
      <c r="H578">
        <v>13.88</v>
      </c>
      <c r="I578">
        <v>41.46</v>
      </c>
      <c r="J578" s="1">
        <v>44232</v>
      </c>
      <c r="K578">
        <v>325</v>
      </c>
      <c r="L578">
        <v>5.4794520547945212E-4</v>
      </c>
      <c r="M578">
        <v>482.66849315068498</v>
      </c>
      <c r="N578">
        <v>156867.26027397261</v>
      </c>
    </row>
    <row r="579" spans="1:14" x14ac:dyDescent="0.25">
      <c r="A579" t="s">
        <v>1120</v>
      </c>
      <c r="B579" t="s">
        <v>17</v>
      </c>
      <c r="C579">
        <v>51</v>
      </c>
      <c r="D579" t="s">
        <v>28</v>
      </c>
      <c r="E579" t="s">
        <v>23</v>
      </c>
      <c r="F579" t="s">
        <v>47</v>
      </c>
      <c r="G579">
        <v>3489115</v>
      </c>
      <c r="H579">
        <v>24.37</v>
      </c>
      <c r="I579">
        <v>2.75</v>
      </c>
      <c r="J579" s="1">
        <v>45225</v>
      </c>
      <c r="K579">
        <v>198</v>
      </c>
      <c r="L579">
        <v>5.4794520547945212E-4</v>
      </c>
      <c r="M579">
        <v>1911.8438356164386</v>
      </c>
      <c r="N579">
        <v>378545.07945205487</v>
      </c>
    </row>
    <row r="580" spans="1:14" x14ac:dyDescent="0.25">
      <c r="A580" t="s">
        <v>1122</v>
      </c>
      <c r="B580" t="s">
        <v>11</v>
      </c>
      <c r="C580">
        <v>52</v>
      </c>
      <c r="D580" t="s">
        <v>28</v>
      </c>
      <c r="E580" t="s">
        <v>13</v>
      </c>
      <c r="F580" t="s">
        <v>30</v>
      </c>
      <c r="G580">
        <v>3215897</v>
      </c>
      <c r="H580">
        <v>23.94</v>
      </c>
      <c r="I580">
        <v>19.309999999999999</v>
      </c>
      <c r="J580" s="1">
        <v>45178</v>
      </c>
      <c r="K580">
        <v>115</v>
      </c>
      <c r="L580">
        <v>5.4794520547945212E-4</v>
      </c>
      <c r="M580">
        <v>1762.1353424657536</v>
      </c>
      <c r="N580">
        <v>202645.56438356166</v>
      </c>
    </row>
    <row r="581" spans="1:14" x14ac:dyDescent="0.25">
      <c r="A581" t="s">
        <v>1124</v>
      </c>
      <c r="B581" t="s">
        <v>17</v>
      </c>
      <c r="C581">
        <v>29</v>
      </c>
      <c r="D581" t="s">
        <v>18</v>
      </c>
      <c r="E581" t="s">
        <v>29</v>
      </c>
      <c r="F581" t="s">
        <v>41</v>
      </c>
      <c r="G581">
        <v>1488338</v>
      </c>
      <c r="H581">
        <v>6.7</v>
      </c>
      <c r="I581">
        <v>26.74</v>
      </c>
      <c r="J581" s="1">
        <v>45535</v>
      </c>
      <c r="K581">
        <v>77</v>
      </c>
      <c r="L581">
        <v>5.4794520547945212E-4</v>
      </c>
      <c r="M581">
        <v>815.52767123287686</v>
      </c>
      <c r="N581">
        <v>62795.630684931515</v>
      </c>
    </row>
    <row r="582" spans="1:14" x14ac:dyDescent="0.25">
      <c r="A582" t="s">
        <v>1126</v>
      </c>
      <c r="B582" t="s">
        <v>11</v>
      </c>
      <c r="C582">
        <v>32</v>
      </c>
      <c r="D582" t="s">
        <v>28</v>
      </c>
      <c r="E582" t="s">
        <v>50</v>
      </c>
      <c r="F582" t="s">
        <v>30</v>
      </c>
      <c r="G582">
        <v>1602297</v>
      </c>
      <c r="H582">
        <v>19.63</v>
      </c>
      <c r="I582">
        <v>13.97</v>
      </c>
      <c r="J582" s="1">
        <v>44073</v>
      </c>
      <c r="K582">
        <v>87</v>
      </c>
      <c r="L582">
        <v>5.4794520547945212E-4</v>
      </c>
      <c r="M582">
        <v>877.97095890410969</v>
      </c>
      <c r="N582">
        <v>76383.473424657539</v>
      </c>
    </row>
    <row r="583" spans="1:14" x14ac:dyDescent="0.25">
      <c r="A583" t="s">
        <v>1127</v>
      </c>
      <c r="B583" t="s">
        <v>17</v>
      </c>
      <c r="C583">
        <v>43</v>
      </c>
      <c r="D583" t="s">
        <v>18</v>
      </c>
      <c r="E583" t="s">
        <v>29</v>
      </c>
      <c r="F583" t="s">
        <v>41</v>
      </c>
      <c r="G583">
        <v>2790672</v>
      </c>
      <c r="H583">
        <v>34.18</v>
      </c>
      <c r="I583">
        <v>15.27</v>
      </c>
      <c r="J583" s="1">
        <v>44916</v>
      </c>
      <c r="K583">
        <v>117</v>
      </c>
      <c r="L583">
        <v>5.4794520547945212E-4</v>
      </c>
      <c r="M583">
        <v>1529.1353424657536</v>
      </c>
      <c r="N583">
        <v>178908.83506849318</v>
      </c>
    </row>
    <row r="584" spans="1:14" x14ac:dyDescent="0.25">
      <c r="A584" t="s">
        <v>1129</v>
      </c>
      <c r="B584" t="s">
        <v>11</v>
      </c>
      <c r="C584">
        <v>42</v>
      </c>
      <c r="D584" t="s">
        <v>28</v>
      </c>
      <c r="E584" t="s">
        <v>29</v>
      </c>
      <c r="F584" t="s">
        <v>41</v>
      </c>
      <c r="G584">
        <v>2229780</v>
      </c>
      <c r="H584">
        <v>9.11</v>
      </c>
      <c r="I584">
        <v>23.43</v>
      </c>
      <c r="J584" s="1">
        <v>44184</v>
      </c>
      <c r="K584">
        <v>113</v>
      </c>
      <c r="L584">
        <v>5.4794520547945212E-4</v>
      </c>
      <c r="M584">
        <v>1221.7972602739728</v>
      </c>
      <c r="N584">
        <v>138063.09041095892</v>
      </c>
    </row>
    <row r="585" spans="1:14" x14ac:dyDescent="0.25">
      <c r="A585" t="s">
        <v>1131</v>
      </c>
      <c r="B585" t="s">
        <v>17</v>
      </c>
      <c r="C585">
        <v>41</v>
      </c>
      <c r="D585" t="s">
        <v>46</v>
      </c>
      <c r="E585" t="s">
        <v>13</v>
      </c>
      <c r="F585" t="s">
        <v>47</v>
      </c>
      <c r="G585">
        <v>2935722</v>
      </c>
      <c r="H585">
        <v>34.380000000000003</v>
      </c>
      <c r="I585">
        <v>7.82</v>
      </c>
      <c r="J585" s="1">
        <v>43822</v>
      </c>
      <c r="K585">
        <v>337</v>
      </c>
      <c r="L585">
        <v>5.4794520547945212E-4</v>
      </c>
      <c r="M585">
        <v>1608.6147945205482</v>
      </c>
      <c r="N585">
        <v>542103.18575342477</v>
      </c>
    </row>
    <row r="586" spans="1:14" x14ac:dyDescent="0.25">
      <c r="A586" t="s">
        <v>1132</v>
      </c>
      <c r="B586" t="s">
        <v>17</v>
      </c>
      <c r="C586">
        <v>26</v>
      </c>
      <c r="D586" t="s">
        <v>28</v>
      </c>
      <c r="E586" t="s">
        <v>29</v>
      </c>
      <c r="F586" t="s">
        <v>14</v>
      </c>
      <c r="G586">
        <v>3917956</v>
      </c>
      <c r="H586">
        <v>34.83</v>
      </c>
      <c r="I586">
        <v>35.96</v>
      </c>
      <c r="J586" s="1">
        <v>44280</v>
      </c>
      <c r="K586">
        <v>153</v>
      </c>
      <c r="L586">
        <v>5.4794520547945212E-4</v>
      </c>
      <c r="M586">
        <v>2146.8252054794525</v>
      </c>
      <c r="N586">
        <v>328464.25643835624</v>
      </c>
    </row>
    <row r="587" spans="1:14" x14ac:dyDescent="0.25">
      <c r="A587" t="s">
        <v>1134</v>
      </c>
      <c r="B587" t="s">
        <v>11</v>
      </c>
      <c r="C587">
        <v>48</v>
      </c>
      <c r="D587" t="s">
        <v>38</v>
      </c>
      <c r="E587" t="s">
        <v>23</v>
      </c>
      <c r="F587" t="s">
        <v>14</v>
      </c>
      <c r="G587">
        <v>2569361</v>
      </c>
      <c r="H587">
        <v>6.07</v>
      </c>
      <c r="I587">
        <v>6.03</v>
      </c>
      <c r="J587" s="1">
        <v>43255</v>
      </c>
      <c r="K587">
        <v>172</v>
      </c>
      <c r="L587">
        <v>5.4794520547945212E-4</v>
      </c>
      <c r="M587">
        <v>1407.8690410958907</v>
      </c>
      <c r="N587">
        <v>242153.47506849319</v>
      </c>
    </row>
    <row r="588" spans="1:14" x14ac:dyDescent="0.25">
      <c r="A588" t="s">
        <v>1136</v>
      </c>
      <c r="B588" t="s">
        <v>17</v>
      </c>
      <c r="C588">
        <v>41</v>
      </c>
      <c r="D588" t="s">
        <v>18</v>
      </c>
      <c r="E588" t="s">
        <v>23</v>
      </c>
      <c r="F588" t="s">
        <v>14</v>
      </c>
      <c r="G588">
        <v>3540552</v>
      </c>
      <c r="H588">
        <v>27.63</v>
      </c>
      <c r="I588">
        <v>-7.11</v>
      </c>
      <c r="J588" s="1">
        <v>44280</v>
      </c>
      <c r="K588">
        <v>172</v>
      </c>
      <c r="L588">
        <v>5.4794520547945212E-4</v>
      </c>
      <c r="M588">
        <v>1940.0284931506851</v>
      </c>
      <c r="N588">
        <v>333684.90082191786</v>
      </c>
    </row>
    <row r="589" spans="1:14" x14ac:dyDescent="0.25">
      <c r="A589" t="s">
        <v>1137</v>
      </c>
      <c r="B589" t="s">
        <v>11</v>
      </c>
      <c r="C589">
        <v>44</v>
      </c>
      <c r="D589" t="s">
        <v>38</v>
      </c>
      <c r="E589" t="s">
        <v>23</v>
      </c>
      <c r="F589" t="s">
        <v>20</v>
      </c>
      <c r="G589">
        <v>4847007</v>
      </c>
      <c r="H589">
        <v>34.11</v>
      </c>
      <c r="I589">
        <v>30.83</v>
      </c>
      <c r="J589" s="1">
        <v>44811</v>
      </c>
      <c r="K589">
        <v>238</v>
      </c>
      <c r="L589">
        <v>5.4794520547945212E-4</v>
      </c>
      <c r="M589">
        <v>2655.894246575343</v>
      </c>
      <c r="N589">
        <v>632102.8306849316</v>
      </c>
    </row>
    <row r="590" spans="1:14" x14ac:dyDescent="0.25">
      <c r="A590" t="s">
        <v>1139</v>
      </c>
      <c r="B590" t="s">
        <v>11</v>
      </c>
      <c r="C590">
        <v>32</v>
      </c>
      <c r="D590" t="s">
        <v>38</v>
      </c>
      <c r="E590" t="s">
        <v>57</v>
      </c>
      <c r="F590" t="s">
        <v>35</v>
      </c>
      <c r="G590">
        <v>1529913</v>
      </c>
      <c r="H590">
        <v>31.25</v>
      </c>
      <c r="I590">
        <v>5.6</v>
      </c>
      <c r="J590" s="1">
        <v>44913</v>
      </c>
      <c r="K590">
        <v>351</v>
      </c>
      <c r="L590">
        <v>5.4794520547945212E-4</v>
      </c>
      <c r="M590">
        <v>838.30849315068508</v>
      </c>
      <c r="N590">
        <v>294246.28109589044</v>
      </c>
    </row>
    <row r="591" spans="1:14" x14ac:dyDescent="0.25">
      <c r="A591" t="s">
        <v>1141</v>
      </c>
      <c r="B591" t="s">
        <v>11</v>
      </c>
      <c r="C591">
        <v>63</v>
      </c>
      <c r="D591" t="s">
        <v>46</v>
      </c>
      <c r="E591" t="s">
        <v>57</v>
      </c>
      <c r="F591" t="s">
        <v>30</v>
      </c>
      <c r="G591">
        <v>4962174</v>
      </c>
      <c r="H591">
        <v>18.34</v>
      </c>
      <c r="I591">
        <v>-7.57</v>
      </c>
      <c r="J591" s="1">
        <v>44852</v>
      </c>
      <c r="K591">
        <v>166</v>
      </c>
      <c r="L591">
        <v>5.4794520547945212E-4</v>
      </c>
      <c r="M591">
        <v>2718.9994520547948</v>
      </c>
      <c r="N591">
        <v>451353.90904109593</v>
      </c>
    </row>
    <row r="592" spans="1:14" x14ac:dyDescent="0.25">
      <c r="A592" t="s">
        <v>1142</v>
      </c>
      <c r="B592" t="s">
        <v>11</v>
      </c>
      <c r="C592">
        <v>43</v>
      </c>
      <c r="D592" t="s">
        <v>12</v>
      </c>
      <c r="E592" t="s">
        <v>57</v>
      </c>
      <c r="F592" t="s">
        <v>20</v>
      </c>
      <c r="G592">
        <v>3548900</v>
      </c>
      <c r="H592">
        <v>12.31</v>
      </c>
      <c r="I592">
        <v>1.18</v>
      </c>
      <c r="J592" s="1">
        <v>43296</v>
      </c>
      <c r="K592">
        <v>355</v>
      </c>
      <c r="L592">
        <v>5.4794520547945212E-4</v>
      </c>
      <c r="M592">
        <v>1944.6027397260277</v>
      </c>
      <c r="N592">
        <v>690333.97260273981</v>
      </c>
    </row>
    <row r="593" spans="1:14" x14ac:dyDescent="0.25">
      <c r="A593" t="s">
        <v>1144</v>
      </c>
      <c r="B593" t="s">
        <v>11</v>
      </c>
      <c r="C593">
        <v>59</v>
      </c>
      <c r="D593" t="s">
        <v>18</v>
      </c>
      <c r="E593" t="s">
        <v>29</v>
      </c>
      <c r="F593" t="s">
        <v>41</v>
      </c>
      <c r="G593">
        <v>2416548</v>
      </c>
      <c r="H593">
        <v>24.38</v>
      </c>
      <c r="I593">
        <v>7.92</v>
      </c>
      <c r="J593" s="1">
        <v>44073</v>
      </c>
      <c r="K593">
        <v>149</v>
      </c>
      <c r="L593">
        <v>5.4794520547945212E-4</v>
      </c>
      <c r="M593">
        <v>1324.1358904109591</v>
      </c>
      <c r="N593">
        <v>197296.24767123291</v>
      </c>
    </row>
    <row r="594" spans="1:14" x14ac:dyDescent="0.25">
      <c r="A594" t="s">
        <v>1145</v>
      </c>
      <c r="B594" t="s">
        <v>11</v>
      </c>
      <c r="C594">
        <v>62</v>
      </c>
      <c r="D594" t="s">
        <v>12</v>
      </c>
      <c r="E594" t="s">
        <v>50</v>
      </c>
      <c r="F594" t="s">
        <v>30</v>
      </c>
      <c r="G594">
        <v>914622</v>
      </c>
      <c r="H594">
        <v>6.46</v>
      </c>
      <c r="I594">
        <v>23.92</v>
      </c>
      <c r="J594" s="1">
        <v>45394</v>
      </c>
      <c r="K594">
        <v>279</v>
      </c>
      <c r="L594">
        <v>5.4794520547945212E-4</v>
      </c>
      <c r="M594">
        <v>501.16273972602744</v>
      </c>
      <c r="N594">
        <v>139824.40438356166</v>
      </c>
    </row>
    <row r="595" spans="1:14" x14ac:dyDescent="0.25">
      <c r="A595" t="s">
        <v>1147</v>
      </c>
      <c r="B595" t="s">
        <v>11</v>
      </c>
      <c r="C595">
        <v>38</v>
      </c>
      <c r="D595" t="s">
        <v>28</v>
      </c>
      <c r="E595" t="s">
        <v>23</v>
      </c>
      <c r="F595" t="s">
        <v>30</v>
      </c>
      <c r="G595">
        <v>1950310</v>
      </c>
      <c r="H595">
        <v>12.9</v>
      </c>
      <c r="I595">
        <v>16.18</v>
      </c>
      <c r="J595" s="1">
        <v>43637</v>
      </c>
      <c r="K595">
        <v>72</v>
      </c>
      <c r="L595">
        <v>5.4794520547945212E-4</v>
      </c>
      <c r="M595">
        <v>1068.6630136986303</v>
      </c>
      <c r="N595">
        <v>76943.736986301374</v>
      </c>
    </row>
    <row r="596" spans="1:14" x14ac:dyDescent="0.25">
      <c r="A596" t="s">
        <v>1149</v>
      </c>
      <c r="B596" t="s">
        <v>17</v>
      </c>
      <c r="C596">
        <v>49</v>
      </c>
      <c r="D596" t="s">
        <v>38</v>
      </c>
      <c r="E596" t="s">
        <v>50</v>
      </c>
      <c r="F596" t="s">
        <v>35</v>
      </c>
      <c r="G596">
        <v>1155906</v>
      </c>
      <c r="H596">
        <v>5.03</v>
      </c>
      <c r="I596">
        <v>11.99</v>
      </c>
      <c r="J596" s="1">
        <v>45552</v>
      </c>
      <c r="K596">
        <v>65</v>
      </c>
      <c r="L596">
        <v>5.4794520547945212E-4</v>
      </c>
      <c r="M596">
        <v>633.3731506849316</v>
      </c>
      <c r="N596">
        <v>41169.254794520552</v>
      </c>
    </row>
    <row r="597" spans="1:14" x14ac:dyDescent="0.25">
      <c r="A597" t="s">
        <v>1150</v>
      </c>
      <c r="B597" t="s">
        <v>11</v>
      </c>
      <c r="C597">
        <v>46</v>
      </c>
      <c r="D597" t="s">
        <v>38</v>
      </c>
      <c r="E597" t="s">
        <v>13</v>
      </c>
      <c r="F597" t="s">
        <v>14</v>
      </c>
      <c r="G597">
        <v>4564834</v>
      </c>
      <c r="H597">
        <v>16.13</v>
      </c>
      <c r="I597">
        <v>20.82</v>
      </c>
      <c r="J597" s="1">
        <v>44368</v>
      </c>
      <c r="K597">
        <v>316</v>
      </c>
      <c r="L597">
        <v>5.4794520547945212E-4</v>
      </c>
      <c r="M597">
        <v>2501.2789041095893</v>
      </c>
      <c r="N597">
        <v>790404.13369863026</v>
      </c>
    </row>
    <row r="598" spans="1:14" x14ac:dyDescent="0.25">
      <c r="A598" t="s">
        <v>1152</v>
      </c>
      <c r="B598" t="s">
        <v>11</v>
      </c>
      <c r="C598">
        <v>28</v>
      </c>
      <c r="D598" t="s">
        <v>12</v>
      </c>
      <c r="E598" t="s">
        <v>50</v>
      </c>
      <c r="F598" t="s">
        <v>47</v>
      </c>
      <c r="G598">
        <v>827798</v>
      </c>
      <c r="H598">
        <v>31.99</v>
      </c>
      <c r="I598">
        <v>27.92</v>
      </c>
      <c r="J598" s="1">
        <v>43529</v>
      </c>
      <c r="K598">
        <v>207</v>
      </c>
      <c r="L598">
        <v>5.4794520547945212E-4</v>
      </c>
      <c r="M598">
        <v>453.58794520547951</v>
      </c>
      <c r="N598">
        <v>93892.704657534254</v>
      </c>
    </row>
    <row r="599" spans="1:14" x14ac:dyDescent="0.25">
      <c r="A599" t="s">
        <v>1154</v>
      </c>
      <c r="B599" t="s">
        <v>11</v>
      </c>
      <c r="C599">
        <v>60</v>
      </c>
      <c r="D599" t="s">
        <v>38</v>
      </c>
      <c r="E599" t="s">
        <v>29</v>
      </c>
      <c r="F599" t="s">
        <v>47</v>
      </c>
      <c r="G599">
        <v>3863352</v>
      </c>
      <c r="H599">
        <v>7.4</v>
      </c>
      <c r="I599">
        <v>44.66</v>
      </c>
      <c r="J599" s="1">
        <v>44144</v>
      </c>
      <c r="K599">
        <v>282</v>
      </c>
      <c r="L599">
        <v>5.4794520547945212E-4</v>
      </c>
      <c r="M599">
        <v>2116.9052054794524</v>
      </c>
      <c r="N599">
        <v>596967.26794520556</v>
      </c>
    </row>
    <row r="600" spans="1:14" x14ac:dyDescent="0.25">
      <c r="A600" t="s">
        <v>1155</v>
      </c>
      <c r="B600" t="s">
        <v>17</v>
      </c>
      <c r="C600">
        <v>22</v>
      </c>
      <c r="D600" t="s">
        <v>46</v>
      </c>
      <c r="E600" t="s">
        <v>29</v>
      </c>
      <c r="F600" t="s">
        <v>41</v>
      </c>
      <c r="G600">
        <v>3435843</v>
      </c>
      <c r="H600">
        <v>16.850000000000001</v>
      </c>
      <c r="I600">
        <v>10.87</v>
      </c>
      <c r="J600" s="1">
        <v>44583</v>
      </c>
      <c r="K600">
        <v>215</v>
      </c>
      <c r="L600">
        <v>5.4794520547945212E-4</v>
      </c>
      <c r="M600">
        <v>1882.6536986301371</v>
      </c>
      <c r="N600">
        <v>404770.54520547949</v>
      </c>
    </row>
    <row r="601" spans="1:14" x14ac:dyDescent="0.25">
      <c r="A601" t="s">
        <v>1157</v>
      </c>
      <c r="B601" t="s">
        <v>17</v>
      </c>
      <c r="C601">
        <v>58</v>
      </c>
      <c r="D601" t="s">
        <v>12</v>
      </c>
      <c r="E601" t="s">
        <v>23</v>
      </c>
      <c r="F601" t="s">
        <v>47</v>
      </c>
      <c r="G601">
        <v>4610261</v>
      </c>
      <c r="H601">
        <v>19.48</v>
      </c>
      <c r="I601">
        <v>28.49</v>
      </c>
      <c r="J601" s="1">
        <v>44063</v>
      </c>
      <c r="K601">
        <v>85</v>
      </c>
      <c r="L601">
        <v>5.4794520547945212E-4</v>
      </c>
      <c r="M601">
        <v>2526.1704109589045</v>
      </c>
      <c r="N601">
        <v>214724.48493150689</v>
      </c>
    </row>
    <row r="602" spans="1:14" x14ac:dyDescent="0.25">
      <c r="A602" t="s">
        <v>1158</v>
      </c>
      <c r="B602" t="s">
        <v>11</v>
      </c>
      <c r="C602">
        <v>41</v>
      </c>
      <c r="D602" t="s">
        <v>18</v>
      </c>
      <c r="E602" t="s">
        <v>29</v>
      </c>
      <c r="F602" t="s">
        <v>41</v>
      </c>
      <c r="G602">
        <v>2081153</v>
      </c>
      <c r="H602">
        <v>15.45</v>
      </c>
      <c r="I602">
        <v>31.64</v>
      </c>
      <c r="J602" s="1">
        <v>45583</v>
      </c>
      <c r="K602">
        <v>112</v>
      </c>
      <c r="L602">
        <v>5.4794520547945212E-4</v>
      </c>
      <c r="M602">
        <v>1140.3578082191782</v>
      </c>
      <c r="N602">
        <v>127720.07452054796</v>
      </c>
    </row>
    <row r="603" spans="1:14" x14ac:dyDescent="0.25">
      <c r="A603" t="s">
        <v>1160</v>
      </c>
      <c r="B603" t="s">
        <v>11</v>
      </c>
      <c r="C603">
        <v>56</v>
      </c>
      <c r="D603" t="s">
        <v>28</v>
      </c>
      <c r="E603" t="s">
        <v>57</v>
      </c>
      <c r="F603" t="s">
        <v>30</v>
      </c>
      <c r="G603">
        <v>4447018</v>
      </c>
      <c r="H603">
        <v>22.32</v>
      </c>
      <c r="I603">
        <v>21.51</v>
      </c>
      <c r="J603" s="1">
        <v>43249</v>
      </c>
      <c r="K603">
        <v>82</v>
      </c>
      <c r="L603">
        <v>5.4794520547945212E-4</v>
      </c>
      <c r="M603">
        <v>2436.7221917808224</v>
      </c>
      <c r="N603">
        <v>199811.21972602743</v>
      </c>
    </row>
    <row r="604" spans="1:14" x14ac:dyDescent="0.25">
      <c r="A604" t="s">
        <v>1162</v>
      </c>
      <c r="B604" t="s">
        <v>11</v>
      </c>
      <c r="C604">
        <v>24</v>
      </c>
      <c r="D604" t="s">
        <v>12</v>
      </c>
      <c r="E604" t="s">
        <v>19</v>
      </c>
      <c r="F604" t="s">
        <v>14</v>
      </c>
      <c r="G604">
        <v>4360156</v>
      </c>
      <c r="H604">
        <v>5.43</v>
      </c>
      <c r="I604">
        <v>-9.2899999999999991</v>
      </c>
      <c r="J604" s="1">
        <v>44014</v>
      </c>
      <c r="K604">
        <v>271</v>
      </c>
      <c r="L604">
        <v>5.4794520547945212E-4</v>
      </c>
      <c r="M604">
        <v>2389.1265753424659</v>
      </c>
      <c r="N604">
        <v>647453.30191780825</v>
      </c>
    </row>
    <row r="605" spans="1:14" x14ac:dyDescent="0.25">
      <c r="A605" t="s">
        <v>1164</v>
      </c>
      <c r="B605" t="s">
        <v>11</v>
      </c>
      <c r="C605">
        <v>54</v>
      </c>
      <c r="D605" t="s">
        <v>18</v>
      </c>
      <c r="E605" t="s">
        <v>19</v>
      </c>
      <c r="F605" t="s">
        <v>14</v>
      </c>
      <c r="G605">
        <v>4238534</v>
      </c>
      <c r="H605">
        <v>29.46</v>
      </c>
      <c r="I605">
        <v>35.159999999999997</v>
      </c>
      <c r="J605" s="1">
        <v>43867</v>
      </c>
      <c r="K605">
        <v>90</v>
      </c>
      <c r="L605">
        <v>5.4794520547945212E-4</v>
      </c>
      <c r="M605">
        <v>2322.4843835616443</v>
      </c>
      <c r="N605">
        <v>209023.59452054798</v>
      </c>
    </row>
    <row r="606" spans="1:14" x14ac:dyDescent="0.25">
      <c r="A606" t="s">
        <v>1166</v>
      </c>
      <c r="B606" t="s">
        <v>17</v>
      </c>
      <c r="C606">
        <v>50</v>
      </c>
      <c r="D606" t="s">
        <v>38</v>
      </c>
      <c r="E606" t="s">
        <v>23</v>
      </c>
      <c r="F606" t="s">
        <v>14</v>
      </c>
      <c r="G606">
        <v>3698038</v>
      </c>
      <c r="H606">
        <v>11.25</v>
      </c>
      <c r="I606">
        <v>32.479999999999997</v>
      </c>
      <c r="J606" s="1">
        <v>43146</v>
      </c>
      <c r="K606">
        <v>310</v>
      </c>
      <c r="L606">
        <v>5.4794520547945212E-4</v>
      </c>
      <c r="M606">
        <v>2026.3221917808221</v>
      </c>
      <c r="N606">
        <v>628159.87945205485</v>
      </c>
    </row>
    <row r="607" spans="1:14" x14ac:dyDescent="0.25">
      <c r="A607" t="s">
        <v>1167</v>
      </c>
      <c r="B607" t="s">
        <v>17</v>
      </c>
      <c r="C607">
        <v>64</v>
      </c>
      <c r="D607" t="s">
        <v>12</v>
      </c>
      <c r="E607" t="s">
        <v>50</v>
      </c>
      <c r="F607" t="s">
        <v>14</v>
      </c>
      <c r="G607">
        <v>2312821</v>
      </c>
      <c r="H607">
        <v>14.78</v>
      </c>
      <c r="I607">
        <v>37.83</v>
      </c>
      <c r="J607" s="1">
        <v>44566</v>
      </c>
      <c r="K607">
        <v>45</v>
      </c>
      <c r="L607">
        <v>5.4794520547945212E-4</v>
      </c>
      <c r="M607">
        <v>1267.2991780821919</v>
      </c>
      <c r="N607">
        <v>57028.463013698638</v>
      </c>
    </row>
    <row r="608" spans="1:14" x14ac:dyDescent="0.25">
      <c r="A608" t="s">
        <v>1169</v>
      </c>
      <c r="B608" t="s">
        <v>17</v>
      </c>
      <c r="C608">
        <v>59</v>
      </c>
      <c r="D608" t="s">
        <v>12</v>
      </c>
      <c r="E608" t="s">
        <v>19</v>
      </c>
      <c r="F608" t="s">
        <v>20</v>
      </c>
      <c r="G608">
        <v>4838704</v>
      </c>
      <c r="H608">
        <v>14.59</v>
      </c>
      <c r="I608">
        <v>39.619999999999997</v>
      </c>
      <c r="J608" s="1">
        <v>43804</v>
      </c>
      <c r="K608">
        <v>132</v>
      </c>
      <c r="L608">
        <v>5.4794520547945212E-4</v>
      </c>
      <c r="M608">
        <v>2651.3446575342468</v>
      </c>
      <c r="N608">
        <v>349977.49479452061</v>
      </c>
    </row>
    <row r="609" spans="1:14" x14ac:dyDescent="0.25">
      <c r="A609" t="s">
        <v>1171</v>
      </c>
      <c r="B609" t="s">
        <v>17</v>
      </c>
      <c r="C609">
        <v>23</v>
      </c>
      <c r="D609" t="s">
        <v>46</v>
      </c>
      <c r="E609" t="s">
        <v>29</v>
      </c>
      <c r="F609" t="s">
        <v>35</v>
      </c>
      <c r="G609">
        <v>4785623</v>
      </c>
      <c r="H609">
        <v>6.96</v>
      </c>
      <c r="I609">
        <v>-8.98</v>
      </c>
      <c r="J609" s="1">
        <v>43527</v>
      </c>
      <c r="K609">
        <v>272</v>
      </c>
      <c r="L609">
        <v>5.4794520547945212E-4</v>
      </c>
      <c r="M609">
        <v>2622.2591780821922</v>
      </c>
      <c r="N609">
        <v>713254.49643835623</v>
      </c>
    </row>
    <row r="610" spans="1:14" x14ac:dyDescent="0.25">
      <c r="A610" t="s">
        <v>1172</v>
      </c>
      <c r="B610" t="s">
        <v>17</v>
      </c>
      <c r="C610">
        <v>65</v>
      </c>
      <c r="D610" t="s">
        <v>18</v>
      </c>
      <c r="E610" t="s">
        <v>29</v>
      </c>
      <c r="F610" t="s">
        <v>30</v>
      </c>
      <c r="G610">
        <v>741873</v>
      </c>
      <c r="H610">
        <v>16.010000000000002</v>
      </c>
      <c r="I610">
        <v>26.8</v>
      </c>
      <c r="J610" s="1">
        <v>43413</v>
      </c>
      <c r="K610">
        <v>73</v>
      </c>
      <c r="L610">
        <v>5.4794520547945212E-4</v>
      </c>
      <c r="M610">
        <v>406.5057534246576</v>
      </c>
      <c r="N610">
        <v>29674.920000000006</v>
      </c>
    </row>
    <row r="611" spans="1:14" x14ac:dyDescent="0.25">
      <c r="A611" t="s">
        <v>1174</v>
      </c>
      <c r="B611" t="s">
        <v>17</v>
      </c>
      <c r="C611">
        <v>38</v>
      </c>
      <c r="D611" t="s">
        <v>18</v>
      </c>
      <c r="E611" t="s">
        <v>50</v>
      </c>
      <c r="F611" t="s">
        <v>20</v>
      </c>
      <c r="G611">
        <v>246894</v>
      </c>
      <c r="H611">
        <v>32.86</v>
      </c>
      <c r="I611">
        <v>5.36</v>
      </c>
      <c r="J611" s="1">
        <v>44610</v>
      </c>
      <c r="K611">
        <v>253</v>
      </c>
      <c r="L611">
        <v>5.4794520547945212E-4</v>
      </c>
      <c r="M611">
        <v>135.28438356164386</v>
      </c>
      <c r="N611">
        <v>34226.949041095897</v>
      </c>
    </row>
    <row r="612" spans="1:14" x14ac:dyDescent="0.25">
      <c r="A612" t="s">
        <v>1176</v>
      </c>
      <c r="B612" t="s">
        <v>17</v>
      </c>
      <c r="C612">
        <v>29</v>
      </c>
      <c r="D612" t="s">
        <v>38</v>
      </c>
      <c r="E612" t="s">
        <v>13</v>
      </c>
      <c r="F612" t="s">
        <v>20</v>
      </c>
      <c r="G612">
        <v>3770116</v>
      </c>
      <c r="H612">
        <v>31.11</v>
      </c>
      <c r="I612">
        <v>27.43</v>
      </c>
      <c r="J612" s="1">
        <v>43606</v>
      </c>
      <c r="K612">
        <v>192</v>
      </c>
      <c r="L612">
        <v>5.4794520547945212E-4</v>
      </c>
      <c r="M612">
        <v>2065.81698630137</v>
      </c>
      <c r="N612">
        <v>396636.86136986304</v>
      </c>
    </row>
    <row r="613" spans="1:14" x14ac:dyDescent="0.25">
      <c r="A613" t="s">
        <v>1178</v>
      </c>
      <c r="B613" t="s">
        <v>11</v>
      </c>
      <c r="C613">
        <v>32</v>
      </c>
      <c r="D613" t="s">
        <v>18</v>
      </c>
      <c r="E613" t="s">
        <v>29</v>
      </c>
      <c r="F613" t="s">
        <v>30</v>
      </c>
      <c r="G613">
        <v>734150</v>
      </c>
      <c r="H613">
        <v>28.85</v>
      </c>
      <c r="I613">
        <v>-8.1199999999999992</v>
      </c>
      <c r="J613" s="1">
        <v>44910</v>
      </c>
      <c r="K613">
        <v>9</v>
      </c>
      <c r="L613">
        <v>5.4794520547945212E-4</v>
      </c>
      <c r="M613">
        <v>402.27397260273978</v>
      </c>
      <c r="N613">
        <v>3620.465753424658</v>
      </c>
    </row>
    <row r="614" spans="1:14" x14ac:dyDescent="0.25">
      <c r="A614" t="s">
        <v>1179</v>
      </c>
      <c r="B614" t="s">
        <v>17</v>
      </c>
      <c r="C614">
        <v>28</v>
      </c>
      <c r="D614" t="s">
        <v>38</v>
      </c>
      <c r="E614" t="s">
        <v>23</v>
      </c>
      <c r="F614" t="s">
        <v>35</v>
      </c>
      <c r="G614">
        <v>2948049</v>
      </c>
      <c r="H614">
        <v>21.32</v>
      </c>
      <c r="I614">
        <v>-9.89</v>
      </c>
      <c r="J614" s="1">
        <v>43642</v>
      </c>
      <c r="K614">
        <v>336</v>
      </c>
      <c r="L614">
        <v>5.4794520547945212E-4</v>
      </c>
      <c r="M614">
        <v>1615.3693150684933</v>
      </c>
      <c r="N614">
        <v>542764.08986301371</v>
      </c>
    </row>
    <row r="615" spans="1:14" x14ac:dyDescent="0.25">
      <c r="A615" t="s">
        <v>1181</v>
      </c>
      <c r="B615" t="s">
        <v>17</v>
      </c>
      <c r="C615">
        <v>35</v>
      </c>
      <c r="D615" t="s">
        <v>18</v>
      </c>
      <c r="E615" t="s">
        <v>23</v>
      </c>
      <c r="F615" t="s">
        <v>30</v>
      </c>
      <c r="G615">
        <v>1571612</v>
      </c>
      <c r="H615">
        <v>16.04</v>
      </c>
      <c r="I615">
        <v>-7.39</v>
      </c>
      <c r="J615" s="1">
        <v>44149</v>
      </c>
      <c r="K615">
        <v>340</v>
      </c>
      <c r="L615">
        <v>5.4794520547945212E-4</v>
      </c>
      <c r="M615">
        <v>861.15726027397272</v>
      </c>
      <c r="N615">
        <v>292793.46849315072</v>
      </c>
    </row>
    <row r="616" spans="1:14" x14ac:dyDescent="0.25">
      <c r="A616" t="s">
        <v>1183</v>
      </c>
      <c r="B616" t="s">
        <v>11</v>
      </c>
      <c r="C616">
        <v>45</v>
      </c>
      <c r="D616" t="s">
        <v>12</v>
      </c>
      <c r="E616" t="s">
        <v>57</v>
      </c>
      <c r="F616" t="s">
        <v>30</v>
      </c>
      <c r="G616">
        <v>3809302</v>
      </c>
      <c r="H616">
        <v>10.94</v>
      </c>
      <c r="I616">
        <v>15.92</v>
      </c>
      <c r="J616" s="1">
        <v>43266</v>
      </c>
      <c r="K616">
        <v>56</v>
      </c>
      <c r="L616">
        <v>5.4794520547945212E-4</v>
      </c>
      <c r="M616">
        <v>2087.2887671232879</v>
      </c>
      <c r="N616">
        <v>116888.17095890413</v>
      </c>
    </row>
    <row r="617" spans="1:14" x14ac:dyDescent="0.25">
      <c r="A617" t="s">
        <v>1185</v>
      </c>
      <c r="B617" t="s">
        <v>17</v>
      </c>
      <c r="C617">
        <v>25</v>
      </c>
      <c r="D617" t="s">
        <v>12</v>
      </c>
      <c r="E617" t="s">
        <v>23</v>
      </c>
      <c r="F617" t="s">
        <v>14</v>
      </c>
      <c r="G617">
        <v>2599892</v>
      </c>
      <c r="H617">
        <v>13.65</v>
      </c>
      <c r="I617">
        <v>31.29</v>
      </c>
      <c r="J617" s="1">
        <v>44809</v>
      </c>
      <c r="K617">
        <v>234</v>
      </c>
      <c r="L617">
        <v>5.4794520547945212E-4</v>
      </c>
      <c r="M617">
        <v>1424.5983561643836</v>
      </c>
      <c r="N617">
        <v>333356.01534246578</v>
      </c>
    </row>
    <row r="618" spans="1:14" x14ac:dyDescent="0.25">
      <c r="A618" t="s">
        <v>1187</v>
      </c>
      <c r="B618" t="s">
        <v>17</v>
      </c>
      <c r="C618">
        <v>56</v>
      </c>
      <c r="D618" t="s">
        <v>12</v>
      </c>
      <c r="E618" t="s">
        <v>23</v>
      </c>
      <c r="F618" t="s">
        <v>14</v>
      </c>
      <c r="G618">
        <v>278154</v>
      </c>
      <c r="H618">
        <v>10.62</v>
      </c>
      <c r="I618">
        <v>-1.58</v>
      </c>
      <c r="J618" s="1">
        <v>43306</v>
      </c>
      <c r="K618">
        <v>69</v>
      </c>
      <c r="L618">
        <v>5.4794520547945212E-4</v>
      </c>
      <c r="M618">
        <v>152.41315068493154</v>
      </c>
      <c r="N618">
        <v>10516.507397260277</v>
      </c>
    </row>
    <row r="619" spans="1:14" x14ac:dyDescent="0.25">
      <c r="A619" t="s">
        <v>1189</v>
      </c>
      <c r="B619" t="s">
        <v>17</v>
      </c>
      <c r="C619">
        <v>55</v>
      </c>
      <c r="D619" t="s">
        <v>28</v>
      </c>
      <c r="E619" t="s">
        <v>13</v>
      </c>
      <c r="F619" t="s">
        <v>47</v>
      </c>
      <c r="G619">
        <v>922136</v>
      </c>
      <c r="H619">
        <v>26.95</v>
      </c>
      <c r="I619">
        <v>22.34</v>
      </c>
      <c r="J619" s="1">
        <v>43142</v>
      </c>
      <c r="K619">
        <v>209</v>
      </c>
      <c r="L619">
        <v>5.4794520547945212E-4</v>
      </c>
      <c r="M619">
        <v>505.28000000000009</v>
      </c>
      <c r="N619">
        <v>105603.52000000002</v>
      </c>
    </row>
    <row r="620" spans="1:14" x14ac:dyDescent="0.25">
      <c r="A620" t="s">
        <v>1190</v>
      </c>
      <c r="B620" t="s">
        <v>11</v>
      </c>
      <c r="C620">
        <v>33</v>
      </c>
      <c r="D620" t="s">
        <v>46</v>
      </c>
      <c r="E620" t="s">
        <v>23</v>
      </c>
      <c r="F620" t="s">
        <v>35</v>
      </c>
      <c r="G620">
        <v>287150</v>
      </c>
      <c r="H620">
        <v>9.34</v>
      </c>
      <c r="I620">
        <v>29.53</v>
      </c>
      <c r="J620" s="1">
        <v>43706</v>
      </c>
      <c r="K620">
        <v>196</v>
      </c>
      <c r="L620">
        <v>5.4794520547945212E-4</v>
      </c>
      <c r="M620">
        <v>157.34246575342468</v>
      </c>
      <c r="N620">
        <v>30839.123287671238</v>
      </c>
    </row>
    <row r="621" spans="1:14" x14ac:dyDescent="0.25">
      <c r="A621" t="s">
        <v>1191</v>
      </c>
      <c r="B621" t="s">
        <v>17</v>
      </c>
      <c r="C621">
        <v>33</v>
      </c>
      <c r="D621" t="s">
        <v>12</v>
      </c>
      <c r="E621" t="s">
        <v>19</v>
      </c>
      <c r="F621" t="s">
        <v>20</v>
      </c>
      <c r="G621">
        <v>1892745</v>
      </c>
      <c r="H621">
        <v>18.64</v>
      </c>
      <c r="I621">
        <v>-6.41</v>
      </c>
      <c r="J621" s="1">
        <v>45492</v>
      </c>
      <c r="K621">
        <v>53</v>
      </c>
      <c r="L621">
        <v>5.4794520547945212E-4</v>
      </c>
      <c r="M621">
        <v>1037.1205479452055</v>
      </c>
      <c r="N621">
        <v>54967.389041095892</v>
      </c>
    </row>
    <row r="622" spans="1:14" x14ac:dyDescent="0.25">
      <c r="A622" t="s">
        <v>1193</v>
      </c>
      <c r="B622" t="s">
        <v>17</v>
      </c>
      <c r="C622">
        <v>64</v>
      </c>
      <c r="D622" t="s">
        <v>38</v>
      </c>
      <c r="E622" t="s">
        <v>23</v>
      </c>
      <c r="F622" t="s">
        <v>20</v>
      </c>
      <c r="G622">
        <v>67406</v>
      </c>
      <c r="H622">
        <v>32.85</v>
      </c>
      <c r="I622">
        <v>-8.4</v>
      </c>
      <c r="J622" s="1">
        <v>45331</v>
      </c>
      <c r="K622">
        <v>116</v>
      </c>
      <c r="L622">
        <v>5.4794520547945212E-4</v>
      </c>
      <c r="M622">
        <v>36.934794520547953</v>
      </c>
      <c r="N622">
        <v>4284.4361643835628</v>
      </c>
    </row>
    <row r="623" spans="1:14" x14ac:dyDescent="0.25">
      <c r="A623" t="s">
        <v>1195</v>
      </c>
      <c r="B623" t="s">
        <v>11</v>
      </c>
      <c r="C623">
        <v>53</v>
      </c>
      <c r="D623" t="s">
        <v>12</v>
      </c>
      <c r="E623" t="s">
        <v>13</v>
      </c>
      <c r="F623" t="s">
        <v>41</v>
      </c>
      <c r="G623">
        <v>2240475</v>
      </c>
      <c r="H623">
        <v>24.09</v>
      </c>
      <c r="I623">
        <v>33.53</v>
      </c>
      <c r="J623" s="1">
        <v>45596</v>
      </c>
      <c r="K623">
        <v>67</v>
      </c>
      <c r="L623">
        <v>5.4794520547945212E-4</v>
      </c>
      <c r="M623">
        <v>1227.6575342465756</v>
      </c>
      <c r="N623">
        <v>82253.054794520562</v>
      </c>
    </row>
    <row r="624" spans="1:14" x14ac:dyDescent="0.25">
      <c r="A624" t="s">
        <v>1197</v>
      </c>
      <c r="B624" t="s">
        <v>17</v>
      </c>
      <c r="C624">
        <v>26</v>
      </c>
      <c r="D624" t="s">
        <v>38</v>
      </c>
      <c r="E624" t="s">
        <v>57</v>
      </c>
      <c r="F624" t="s">
        <v>41</v>
      </c>
      <c r="G624">
        <v>4374674</v>
      </c>
      <c r="H624">
        <v>20.49</v>
      </c>
      <c r="I624">
        <v>28.02</v>
      </c>
      <c r="J624" s="1">
        <v>43788</v>
      </c>
      <c r="K624">
        <v>8</v>
      </c>
      <c r="L624">
        <v>5.4794520547945212E-4</v>
      </c>
      <c r="M624">
        <v>2397.0816438356169</v>
      </c>
      <c r="N624">
        <v>19176.653150684935</v>
      </c>
    </row>
    <row r="625" spans="1:14" x14ac:dyDescent="0.25">
      <c r="A625" t="s">
        <v>1199</v>
      </c>
      <c r="B625" t="s">
        <v>11</v>
      </c>
      <c r="C625">
        <v>49</v>
      </c>
      <c r="D625" t="s">
        <v>12</v>
      </c>
      <c r="E625" t="s">
        <v>13</v>
      </c>
      <c r="F625" t="s">
        <v>20</v>
      </c>
      <c r="G625">
        <v>3533722</v>
      </c>
      <c r="H625">
        <v>26.09</v>
      </c>
      <c r="I625">
        <v>34.840000000000003</v>
      </c>
      <c r="J625" s="1">
        <v>45181</v>
      </c>
      <c r="K625">
        <v>13</v>
      </c>
      <c r="L625">
        <v>5.4794520547945212E-4</v>
      </c>
      <c r="M625">
        <v>1936.2860273972606</v>
      </c>
      <c r="N625">
        <v>25171.718356164387</v>
      </c>
    </row>
    <row r="626" spans="1:14" x14ac:dyDescent="0.25">
      <c r="A626" t="s">
        <v>1201</v>
      </c>
      <c r="B626" t="s">
        <v>11</v>
      </c>
      <c r="C626">
        <v>42</v>
      </c>
      <c r="D626" t="s">
        <v>46</v>
      </c>
      <c r="E626" t="s">
        <v>23</v>
      </c>
      <c r="F626" t="s">
        <v>30</v>
      </c>
      <c r="G626">
        <v>4406529</v>
      </c>
      <c r="H626">
        <v>28.75</v>
      </c>
      <c r="I626">
        <v>-1.99</v>
      </c>
      <c r="J626" s="1">
        <v>45238</v>
      </c>
      <c r="K626">
        <v>15</v>
      </c>
      <c r="L626">
        <v>5.4794520547945212E-4</v>
      </c>
      <c r="M626">
        <v>2414.5364383561646</v>
      </c>
      <c r="N626">
        <v>36218.046575342465</v>
      </c>
    </row>
    <row r="627" spans="1:14" x14ac:dyDescent="0.25">
      <c r="A627" t="s">
        <v>1203</v>
      </c>
      <c r="B627" t="s">
        <v>17</v>
      </c>
      <c r="C627">
        <v>21</v>
      </c>
      <c r="D627" t="s">
        <v>38</v>
      </c>
      <c r="E627" t="s">
        <v>23</v>
      </c>
      <c r="F627" t="s">
        <v>47</v>
      </c>
      <c r="G627">
        <v>177997</v>
      </c>
      <c r="H627">
        <v>33.29</v>
      </c>
      <c r="I627">
        <v>41.88</v>
      </c>
      <c r="J627" s="1">
        <v>44432</v>
      </c>
      <c r="K627">
        <v>224</v>
      </c>
      <c r="L627">
        <v>5.4794520547945212E-4</v>
      </c>
      <c r="M627">
        <v>97.532602739726045</v>
      </c>
      <c r="N627">
        <v>21847.303013698634</v>
      </c>
    </row>
    <row r="628" spans="1:14" x14ac:dyDescent="0.25">
      <c r="A628" t="s">
        <v>1205</v>
      </c>
      <c r="B628" t="s">
        <v>17</v>
      </c>
      <c r="C628">
        <v>56</v>
      </c>
      <c r="D628" t="s">
        <v>18</v>
      </c>
      <c r="E628" t="s">
        <v>29</v>
      </c>
      <c r="F628" t="s">
        <v>41</v>
      </c>
      <c r="G628">
        <v>1858854</v>
      </c>
      <c r="H628">
        <v>9.26</v>
      </c>
      <c r="I628">
        <v>22.07</v>
      </c>
      <c r="J628" s="1">
        <v>43806</v>
      </c>
      <c r="K628">
        <v>207</v>
      </c>
      <c r="L628">
        <v>5.4794520547945212E-4</v>
      </c>
      <c r="M628">
        <v>1018.5501369863015</v>
      </c>
      <c r="N628">
        <v>210839.87835616441</v>
      </c>
    </row>
    <row r="629" spans="1:14" x14ac:dyDescent="0.25">
      <c r="A629" t="s">
        <v>1206</v>
      </c>
      <c r="B629" t="s">
        <v>11</v>
      </c>
      <c r="C629">
        <v>58</v>
      </c>
      <c r="D629" t="s">
        <v>46</v>
      </c>
      <c r="E629" t="s">
        <v>23</v>
      </c>
      <c r="F629" t="s">
        <v>41</v>
      </c>
      <c r="G629">
        <v>1575249</v>
      </c>
      <c r="H629">
        <v>8.93</v>
      </c>
      <c r="I629">
        <v>32.18</v>
      </c>
      <c r="J629" s="1">
        <v>43737</v>
      </c>
      <c r="K629">
        <v>62</v>
      </c>
      <c r="L629">
        <v>5.4794520547945212E-4</v>
      </c>
      <c r="M629">
        <v>863.1501369863015</v>
      </c>
      <c r="N629">
        <v>53515.308493150696</v>
      </c>
    </row>
    <row r="630" spans="1:14" x14ac:dyDescent="0.25">
      <c r="A630" t="s">
        <v>1208</v>
      </c>
      <c r="B630" t="s">
        <v>11</v>
      </c>
      <c r="C630">
        <v>29</v>
      </c>
      <c r="D630" t="s">
        <v>38</v>
      </c>
      <c r="E630" t="s">
        <v>19</v>
      </c>
      <c r="F630" t="s">
        <v>14</v>
      </c>
      <c r="G630">
        <v>1064212</v>
      </c>
      <c r="H630">
        <v>7.19</v>
      </c>
      <c r="I630">
        <v>40.56</v>
      </c>
      <c r="J630" s="1">
        <v>43343</v>
      </c>
      <c r="K630">
        <v>321</v>
      </c>
      <c r="L630">
        <v>5.4794520547945212E-4</v>
      </c>
      <c r="M630">
        <v>583.1298630136987</v>
      </c>
      <c r="N630">
        <v>187184.68602739729</v>
      </c>
    </row>
    <row r="631" spans="1:14" x14ac:dyDescent="0.25">
      <c r="A631" t="s">
        <v>1210</v>
      </c>
      <c r="B631" t="s">
        <v>11</v>
      </c>
      <c r="C631">
        <v>56</v>
      </c>
      <c r="D631" t="s">
        <v>12</v>
      </c>
      <c r="E631" t="s">
        <v>13</v>
      </c>
      <c r="F631" t="s">
        <v>47</v>
      </c>
      <c r="G631">
        <v>3996860</v>
      </c>
      <c r="H631">
        <v>27.05</v>
      </c>
      <c r="I631">
        <v>-9.58</v>
      </c>
      <c r="J631" s="1">
        <v>44180</v>
      </c>
      <c r="K631">
        <v>96</v>
      </c>
      <c r="L631">
        <v>5.4794520547945212E-4</v>
      </c>
      <c r="M631">
        <v>2190.0602739726032</v>
      </c>
      <c r="N631">
        <v>210245.7863013699</v>
      </c>
    </row>
    <row r="632" spans="1:14" x14ac:dyDescent="0.25">
      <c r="A632" t="s">
        <v>1212</v>
      </c>
      <c r="B632" t="s">
        <v>17</v>
      </c>
      <c r="C632">
        <v>37</v>
      </c>
      <c r="D632" t="s">
        <v>18</v>
      </c>
      <c r="E632" t="s">
        <v>23</v>
      </c>
      <c r="F632" t="s">
        <v>14</v>
      </c>
      <c r="G632">
        <v>3389545</v>
      </c>
      <c r="H632">
        <v>23</v>
      </c>
      <c r="I632">
        <v>3.71</v>
      </c>
      <c r="J632" s="1">
        <v>45223</v>
      </c>
      <c r="K632">
        <v>342</v>
      </c>
      <c r="L632">
        <v>5.4794520547945212E-4</v>
      </c>
      <c r="M632">
        <v>1857.2849315068495</v>
      </c>
      <c r="N632">
        <v>635191.44657534256</v>
      </c>
    </row>
    <row r="633" spans="1:14" x14ac:dyDescent="0.25">
      <c r="A633" t="s">
        <v>1213</v>
      </c>
      <c r="B633" t="s">
        <v>11</v>
      </c>
      <c r="C633">
        <v>25</v>
      </c>
      <c r="D633" t="s">
        <v>12</v>
      </c>
      <c r="E633" t="s">
        <v>57</v>
      </c>
      <c r="F633" t="s">
        <v>14</v>
      </c>
      <c r="G633">
        <v>837716</v>
      </c>
      <c r="H633">
        <v>14.18</v>
      </c>
      <c r="I633">
        <v>0.4</v>
      </c>
      <c r="J633" s="1">
        <v>43208</v>
      </c>
      <c r="K633">
        <v>283</v>
      </c>
      <c r="L633">
        <v>5.4794520547945212E-4</v>
      </c>
      <c r="M633">
        <v>459.02246575342474</v>
      </c>
      <c r="N633">
        <v>129903.3578082192</v>
      </c>
    </row>
    <row r="634" spans="1:14" x14ac:dyDescent="0.25">
      <c r="A634" t="s">
        <v>1215</v>
      </c>
      <c r="B634" t="s">
        <v>17</v>
      </c>
      <c r="C634">
        <v>54</v>
      </c>
      <c r="D634" t="s">
        <v>18</v>
      </c>
      <c r="E634" t="s">
        <v>29</v>
      </c>
      <c r="F634" t="s">
        <v>30</v>
      </c>
      <c r="G634">
        <v>1388829</v>
      </c>
      <c r="H634">
        <v>10.91</v>
      </c>
      <c r="I634">
        <v>17.010000000000002</v>
      </c>
      <c r="J634" s="1">
        <v>43647</v>
      </c>
      <c r="K634">
        <v>300</v>
      </c>
      <c r="L634">
        <v>5.4794520547945212E-4</v>
      </c>
      <c r="M634">
        <v>761.00219178082205</v>
      </c>
      <c r="N634">
        <v>228300.65753424662</v>
      </c>
    </row>
    <row r="635" spans="1:14" x14ac:dyDescent="0.25">
      <c r="A635" t="s">
        <v>1217</v>
      </c>
      <c r="B635" t="s">
        <v>11</v>
      </c>
      <c r="C635">
        <v>23</v>
      </c>
      <c r="D635" t="s">
        <v>38</v>
      </c>
      <c r="E635" t="s">
        <v>57</v>
      </c>
      <c r="F635" t="s">
        <v>35</v>
      </c>
      <c r="G635">
        <v>695990</v>
      </c>
      <c r="H635">
        <v>12.4</v>
      </c>
      <c r="I635">
        <v>41.24</v>
      </c>
      <c r="J635" s="1">
        <v>43786</v>
      </c>
      <c r="K635">
        <v>26</v>
      </c>
      <c r="L635">
        <v>5.4794520547945212E-4</v>
      </c>
      <c r="M635">
        <v>381.36438356164388</v>
      </c>
      <c r="N635">
        <v>9915.4739726027401</v>
      </c>
    </row>
    <row r="636" spans="1:14" x14ac:dyDescent="0.25">
      <c r="A636" t="s">
        <v>1219</v>
      </c>
      <c r="B636" t="s">
        <v>17</v>
      </c>
      <c r="C636">
        <v>44</v>
      </c>
      <c r="D636" t="s">
        <v>38</v>
      </c>
      <c r="E636" t="s">
        <v>19</v>
      </c>
      <c r="F636" t="s">
        <v>41</v>
      </c>
      <c r="G636">
        <v>3031768</v>
      </c>
      <c r="H636">
        <v>18.68</v>
      </c>
      <c r="I636">
        <v>0.9</v>
      </c>
      <c r="J636" s="1">
        <v>44813</v>
      </c>
      <c r="K636">
        <v>285</v>
      </c>
      <c r="L636">
        <v>5.4794520547945212E-4</v>
      </c>
      <c r="M636">
        <v>1661.2427397260276</v>
      </c>
      <c r="N636">
        <v>473454.18082191789</v>
      </c>
    </row>
    <row r="637" spans="1:14" x14ac:dyDescent="0.25">
      <c r="A637" t="s">
        <v>1221</v>
      </c>
      <c r="B637" t="s">
        <v>11</v>
      </c>
      <c r="C637">
        <v>45</v>
      </c>
      <c r="D637" t="s">
        <v>38</v>
      </c>
      <c r="E637" t="s">
        <v>29</v>
      </c>
      <c r="F637" t="s">
        <v>47</v>
      </c>
      <c r="G637">
        <v>2384096</v>
      </c>
      <c r="H637">
        <v>22.59</v>
      </c>
      <c r="I637">
        <v>14.13</v>
      </c>
      <c r="J637" s="1">
        <v>44153</v>
      </c>
      <c r="K637">
        <v>241</v>
      </c>
      <c r="L637">
        <v>5.4794520547945212E-4</v>
      </c>
      <c r="M637">
        <v>1306.35397260274</v>
      </c>
      <c r="N637">
        <v>314831.30739726033</v>
      </c>
    </row>
    <row r="638" spans="1:14" x14ac:dyDescent="0.25">
      <c r="A638" t="s">
        <v>1223</v>
      </c>
      <c r="B638" t="s">
        <v>11</v>
      </c>
      <c r="C638">
        <v>25</v>
      </c>
      <c r="D638" t="s">
        <v>18</v>
      </c>
      <c r="E638" t="s">
        <v>29</v>
      </c>
      <c r="F638" t="s">
        <v>41</v>
      </c>
      <c r="G638">
        <v>3263923</v>
      </c>
      <c r="H638">
        <v>27.56</v>
      </c>
      <c r="I638">
        <v>40.729999999999997</v>
      </c>
      <c r="J638" s="1">
        <v>45463</v>
      </c>
      <c r="K638">
        <v>271</v>
      </c>
      <c r="L638">
        <v>5.4794520547945212E-4</v>
      </c>
      <c r="M638">
        <v>1788.4509589041097</v>
      </c>
      <c r="N638">
        <v>484670.2098630137</v>
      </c>
    </row>
    <row r="639" spans="1:14" x14ac:dyDescent="0.25">
      <c r="A639" t="s">
        <v>1225</v>
      </c>
      <c r="B639" t="s">
        <v>17</v>
      </c>
      <c r="C639">
        <v>47</v>
      </c>
      <c r="D639" t="s">
        <v>38</v>
      </c>
      <c r="E639" t="s">
        <v>23</v>
      </c>
      <c r="F639" t="s">
        <v>30</v>
      </c>
      <c r="G639">
        <v>1730352</v>
      </c>
      <c r="H639">
        <v>18.739999999999998</v>
      </c>
      <c r="I639">
        <v>34.450000000000003</v>
      </c>
      <c r="J639" s="1">
        <v>43736</v>
      </c>
      <c r="K639">
        <v>277</v>
      </c>
      <c r="L639">
        <v>5.4794520547945212E-4</v>
      </c>
      <c r="M639">
        <v>948.138082191781</v>
      </c>
      <c r="N639">
        <v>262634.24876712332</v>
      </c>
    </row>
    <row r="640" spans="1:14" x14ac:dyDescent="0.25">
      <c r="A640" t="s">
        <v>1226</v>
      </c>
      <c r="B640" t="s">
        <v>17</v>
      </c>
      <c r="C640">
        <v>39</v>
      </c>
      <c r="D640" t="s">
        <v>12</v>
      </c>
      <c r="E640" t="s">
        <v>50</v>
      </c>
      <c r="F640" t="s">
        <v>20</v>
      </c>
      <c r="G640">
        <v>2841460</v>
      </c>
      <c r="H640">
        <v>10.34</v>
      </c>
      <c r="I640">
        <v>3.08</v>
      </c>
      <c r="J640" s="1">
        <v>44536</v>
      </c>
      <c r="K640">
        <v>107</v>
      </c>
      <c r="L640">
        <v>5.4794520547945212E-4</v>
      </c>
      <c r="M640">
        <v>1556.9643835616441</v>
      </c>
      <c r="N640">
        <v>166595.18904109593</v>
      </c>
    </row>
    <row r="641" spans="1:14" x14ac:dyDescent="0.25">
      <c r="A641" t="s">
        <v>1227</v>
      </c>
      <c r="B641" t="s">
        <v>17</v>
      </c>
      <c r="C641">
        <v>47</v>
      </c>
      <c r="D641" t="s">
        <v>18</v>
      </c>
      <c r="E641" t="s">
        <v>50</v>
      </c>
      <c r="F641" t="s">
        <v>47</v>
      </c>
      <c r="G641">
        <v>3679256</v>
      </c>
      <c r="H641">
        <v>19.010000000000002</v>
      </c>
      <c r="I641">
        <v>42.81</v>
      </c>
      <c r="J641" s="1">
        <v>44145</v>
      </c>
      <c r="K641">
        <v>30</v>
      </c>
      <c r="L641">
        <v>5.4794520547945212E-4</v>
      </c>
      <c r="M641">
        <v>2016.030684931507</v>
      </c>
      <c r="N641">
        <v>60480.920547945214</v>
      </c>
    </row>
    <row r="642" spans="1:14" x14ac:dyDescent="0.25">
      <c r="A642" t="s">
        <v>1228</v>
      </c>
      <c r="B642" t="s">
        <v>17</v>
      </c>
      <c r="C642">
        <v>37</v>
      </c>
      <c r="D642" t="s">
        <v>28</v>
      </c>
      <c r="E642" t="s">
        <v>19</v>
      </c>
      <c r="F642" t="s">
        <v>20</v>
      </c>
      <c r="G642">
        <v>1880295</v>
      </c>
      <c r="H642">
        <v>27.78</v>
      </c>
      <c r="I642">
        <v>38.369999999999997</v>
      </c>
      <c r="J642" s="1">
        <v>44373</v>
      </c>
      <c r="K642">
        <v>238</v>
      </c>
      <c r="L642">
        <v>5.4794520547945212E-4</v>
      </c>
      <c r="M642">
        <v>1030.2986301369865</v>
      </c>
      <c r="N642">
        <v>245211.07397260278</v>
      </c>
    </row>
    <row r="643" spans="1:14" x14ac:dyDescent="0.25">
      <c r="A643" t="s">
        <v>1230</v>
      </c>
      <c r="B643" t="s">
        <v>17</v>
      </c>
      <c r="C643">
        <v>61</v>
      </c>
      <c r="D643" t="s">
        <v>28</v>
      </c>
      <c r="E643" t="s">
        <v>23</v>
      </c>
      <c r="F643" t="s">
        <v>47</v>
      </c>
      <c r="G643">
        <v>3175144</v>
      </c>
      <c r="H643">
        <v>17.09</v>
      </c>
      <c r="I643">
        <v>36.159999999999997</v>
      </c>
      <c r="J643" s="1">
        <v>43221</v>
      </c>
      <c r="K643">
        <v>50</v>
      </c>
      <c r="L643">
        <v>5.4794520547945212E-4</v>
      </c>
      <c r="M643">
        <v>1739.8049315068495</v>
      </c>
      <c r="N643">
        <v>86990.246575342477</v>
      </c>
    </row>
    <row r="644" spans="1:14" x14ac:dyDescent="0.25">
      <c r="A644" t="s">
        <v>1232</v>
      </c>
      <c r="B644" t="s">
        <v>11</v>
      </c>
      <c r="C644">
        <v>24</v>
      </c>
      <c r="D644" t="s">
        <v>18</v>
      </c>
      <c r="E644" t="s">
        <v>50</v>
      </c>
      <c r="F644" t="s">
        <v>20</v>
      </c>
      <c r="G644">
        <v>1055504</v>
      </c>
      <c r="H644">
        <v>5.27</v>
      </c>
      <c r="I644">
        <v>-6.08</v>
      </c>
      <c r="J644" s="1">
        <v>45150</v>
      </c>
      <c r="K644">
        <v>127</v>
      </c>
      <c r="L644">
        <v>5.4794520547945212E-4</v>
      </c>
      <c r="M644">
        <v>578.35835616438362</v>
      </c>
      <c r="N644">
        <v>73451.511232876714</v>
      </c>
    </row>
    <row r="645" spans="1:14" x14ac:dyDescent="0.25">
      <c r="A645" t="s">
        <v>1234</v>
      </c>
      <c r="B645" t="s">
        <v>17</v>
      </c>
      <c r="C645">
        <v>43</v>
      </c>
      <c r="D645" t="s">
        <v>18</v>
      </c>
      <c r="E645" t="s">
        <v>23</v>
      </c>
      <c r="F645" t="s">
        <v>35</v>
      </c>
      <c r="G645">
        <v>4856339</v>
      </c>
      <c r="H645">
        <v>10.84</v>
      </c>
      <c r="I645">
        <v>-2.72</v>
      </c>
      <c r="J645" s="1">
        <v>45566</v>
      </c>
      <c r="K645">
        <v>105</v>
      </c>
      <c r="L645">
        <v>5.4794520547945212E-4</v>
      </c>
      <c r="M645">
        <v>2661.0076712328769</v>
      </c>
      <c r="N645">
        <v>279405.80547945207</v>
      </c>
    </row>
    <row r="646" spans="1:14" x14ac:dyDescent="0.25">
      <c r="A646" t="s">
        <v>1236</v>
      </c>
      <c r="B646" t="s">
        <v>17</v>
      </c>
      <c r="C646">
        <v>64</v>
      </c>
      <c r="D646" t="s">
        <v>18</v>
      </c>
      <c r="E646" t="s">
        <v>19</v>
      </c>
      <c r="F646" t="s">
        <v>35</v>
      </c>
      <c r="G646">
        <v>1227269</v>
      </c>
      <c r="H646">
        <v>8.36</v>
      </c>
      <c r="I646">
        <v>-3.73</v>
      </c>
      <c r="J646" s="1">
        <v>45008</v>
      </c>
      <c r="K646">
        <v>65</v>
      </c>
      <c r="L646">
        <v>5.4794520547945212E-4</v>
      </c>
      <c r="M646">
        <v>672.4761643835617</v>
      </c>
      <c r="N646">
        <v>43710.950684931508</v>
      </c>
    </row>
    <row r="647" spans="1:14" x14ac:dyDescent="0.25">
      <c r="A647" t="s">
        <v>1238</v>
      </c>
      <c r="B647" t="s">
        <v>17</v>
      </c>
      <c r="C647">
        <v>50</v>
      </c>
      <c r="D647" t="s">
        <v>46</v>
      </c>
      <c r="E647" t="s">
        <v>23</v>
      </c>
      <c r="F647" t="s">
        <v>14</v>
      </c>
      <c r="G647">
        <v>3429064</v>
      </c>
      <c r="H647">
        <v>6.52</v>
      </c>
      <c r="I647">
        <v>19.760000000000002</v>
      </c>
      <c r="J647" s="1">
        <v>43739</v>
      </c>
      <c r="K647">
        <v>299</v>
      </c>
      <c r="L647">
        <v>5.4794520547945212E-4</v>
      </c>
      <c r="M647">
        <v>1878.939178082192</v>
      </c>
      <c r="N647">
        <v>561802.81424657546</v>
      </c>
    </row>
    <row r="648" spans="1:14" x14ac:dyDescent="0.25">
      <c r="A648" t="s">
        <v>1240</v>
      </c>
      <c r="B648" t="s">
        <v>17</v>
      </c>
      <c r="C648">
        <v>65</v>
      </c>
      <c r="D648" t="s">
        <v>18</v>
      </c>
      <c r="E648" t="s">
        <v>23</v>
      </c>
      <c r="F648" t="s">
        <v>47</v>
      </c>
      <c r="G648">
        <v>3055677</v>
      </c>
      <c r="H648">
        <v>34.93</v>
      </c>
      <c r="I648">
        <v>8.8000000000000007</v>
      </c>
      <c r="J648" s="1">
        <v>44687</v>
      </c>
      <c r="K648">
        <v>157</v>
      </c>
      <c r="L648">
        <v>5.4794520547945212E-4</v>
      </c>
      <c r="M648">
        <v>1674.3435616438358</v>
      </c>
      <c r="N648">
        <v>262871.93917808222</v>
      </c>
    </row>
    <row r="649" spans="1:14" x14ac:dyDescent="0.25">
      <c r="A649" t="s">
        <v>1242</v>
      </c>
      <c r="B649" t="s">
        <v>17</v>
      </c>
      <c r="C649">
        <v>27</v>
      </c>
      <c r="D649" t="s">
        <v>28</v>
      </c>
      <c r="E649" t="s">
        <v>50</v>
      </c>
      <c r="F649" t="s">
        <v>41</v>
      </c>
      <c r="G649">
        <v>4385122</v>
      </c>
      <c r="H649">
        <v>12.84</v>
      </c>
      <c r="I649">
        <v>11.67</v>
      </c>
      <c r="J649" s="1">
        <v>45587</v>
      </c>
      <c r="K649">
        <v>146</v>
      </c>
      <c r="L649">
        <v>5.4794520547945212E-4</v>
      </c>
      <c r="M649">
        <v>2402.8065753424662</v>
      </c>
      <c r="N649">
        <v>350809.76000000007</v>
      </c>
    </row>
    <row r="650" spans="1:14" x14ac:dyDescent="0.25">
      <c r="A650" t="s">
        <v>1244</v>
      </c>
      <c r="B650" t="s">
        <v>17</v>
      </c>
      <c r="C650">
        <v>44</v>
      </c>
      <c r="D650" t="s">
        <v>12</v>
      </c>
      <c r="E650" t="s">
        <v>23</v>
      </c>
      <c r="F650" t="s">
        <v>35</v>
      </c>
      <c r="G650">
        <v>2317308</v>
      </c>
      <c r="H650">
        <v>26.68</v>
      </c>
      <c r="I650">
        <v>29.17</v>
      </c>
      <c r="J650" s="1">
        <v>43988</v>
      </c>
      <c r="K650">
        <v>111</v>
      </c>
      <c r="L650">
        <v>5.4794520547945212E-4</v>
      </c>
      <c r="M650">
        <v>1269.7578082191783</v>
      </c>
      <c r="N650">
        <v>140943.1167123288</v>
      </c>
    </row>
    <row r="651" spans="1:14" x14ac:dyDescent="0.25">
      <c r="A651" t="s">
        <v>1245</v>
      </c>
      <c r="B651" t="s">
        <v>17</v>
      </c>
      <c r="C651">
        <v>58</v>
      </c>
      <c r="D651" t="s">
        <v>46</v>
      </c>
      <c r="E651" t="s">
        <v>57</v>
      </c>
      <c r="F651" t="s">
        <v>41</v>
      </c>
      <c r="G651">
        <v>448275</v>
      </c>
      <c r="H651">
        <v>16.100000000000001</v>
      </c>
      <c r="I651">
        <v>-4.38</v>
      </c>
      <c r="J651" s="1">
        <v>44969</v>
      </c>
      <c r="K651">
        <v>85</v>
      </c>
      <c r="L651">
        <v>5.4794520547945212E-4</v>
      </c>
      <c r="M651">
        <v>245.63013698630141</v>
      </c>
      <c r="N651">
        <v>20878.561643835619</v>
      </c>
    </row>
    <row r="652" spans="1:14" x14ac:dyDescent="0.25">
      <c r="A652" t="s">
        <v>1247</v>
      </c>
      <c r="B652" t="s">
        <v>17</v>
      </c>
      <c r="C652">
        <v>30</v>
      </c>
      <c r="D652" t="s">
        <v>46</v>
      </c>
      <c r="E652" t="s">
        <v>29</v>
      </c>
      <c r="F652" t="s">
        <v>35</v>
      </c>
      <c r="G652">
        <v>2986613</v>
      </c>
      <c r="H652">
        <v>10.62</v>
      </c>
      <c r="I652">
        <v>29.89</v>
      </c>
      <c r="J652" s="1">
        <v>45528</v>
      </c>
      <c r="K652">
        <v>278</v>
      </c>
      <c r="L652">
        <v>5.4794520547945212E-4</v>
      </c>
      <c r="M652">
        <v>1636.5002739726031</v>
      </c>
      <c r="N652">
        <v>454947.07616438367</v>
      </c>
    </row>
    <row r="653" spans="1:14" x14ac:dyDescent="0.25">
      <c r="A653" t="s">
        <v>1249</v>
      </c>
      <c r="B653" t="s">
        <v>17</v>
      </c>
      <c r="C653">
        <v>64</v>
      </c>
      <c r="D653" t="s">
        <v>12</v>
      </c>
      <c r="E653" t="s">
        <v>13</v>
      </c>
      <c r="F653" t="s">
        <v>20</v>
      </c>
      <c r="G653">
        <v>1007105</v>
      </c>
      <c r="H653">
        <v>27.67</v>
      </c>
      <c r="I653">
        <v>31.95</v>
      </c>
      <c r="J653" s="1">
        <v>45418</v>
      </c>
      <c r="K653">
        <v>247</v>
      </c>
      <c r="L653">
        <v>5.4794520547945212E-4</v>
      </c>
      <c r="M653">
        <v>551.83835616438364</v>
      </c>
      <c r="N653">
        <v>136304.07397260275</v>
      </c>
    </row>
    <row r="654" spans="1:14" x14ac:dyDescent="0.25">
      <c r="A654" t="s">
        <v>1251</v>
      </c>
      <c r="B654" t="s">
        <v>17</v>
      </c>
      <c r="C654">
        <v>24</v>
      </c>
      <c r="D654" t="s">
        <v>46</v>
      </c>
      <c r="E654" t="s">
        <v>13</v>
      </c>
      <c r="F654" t="s">
        <v>41</v>
      </c>
      <c r="G654">
        <v>909840</v>
      </c>
      <c r="H654">
        <v>24.84</v>
      </c>
      <c r="I654">
        <v>35.479999999999997</v>
      </c>
      <c r="J654" s="1">
        <v>44304</v>
      </c>
      <c r="K654">
        <v>113</v>
      </c>
      <c r="L654">
        <v>5.4794520547945212E-4</v>
      </c>
      <c r="M654">
        <v>498.54246575342472</v>
      </c>
      <c r="N654">
        <v>56335.298630136997</v>
      </c>
    </row>
    <row r="655" spans="1:14" x14ac:dyDescent="0.25">
      <c r="A655" t="s">
        <v>1253</v>
      </c>
      <c r="B655" t="s">
        <v>11</v>
      </c>
      <c r="C655">
        <v>21</v>
      </c>
      <c r="D655" t="s">
        <v>46</v>
      </c>
      <c r="E655" t="s">
        <v>50</v>
      </c>
      <c r="F655" t="s">
        <v>47</v>
      </c>
      <c r="G655">
        <v>2781804</v>
      </c>
      <c r="H655">
        <v>30.29</v>
      </c>
      <c r="I655">
        <v>28.29</v>
      </c>
      <c r="J655" s="1">
        <v>43430</v>
      </c>
      <c r="K655">
        <v>108</v>
      </c>
      <c r="L655">
        <v>5.4794520547945212E-4</v>
      </c>
      <c r="M655">
        <v>1524.2761643835618</v>
      </c>
      <c r="N655">
        <v>164621.82575342467</v>
      </c>
    </row>
    <row r="656" spans="1:14" x14ac:dyDescent="0.25">
      <c r="A656" t="s">
        <v>1255</v>
      </c>
      <c r="B656" t="s">
        <v>11</v>
      </c>
      <c r="C656">
        <v>30</v>
      </c>
      <c r="D656" t="s">
        <v>28</v>
      </c>
      <c r="E656" t="s">
        <v>19</v>
      </c>
      <c r="F656" t="s">
        <v>41</v>
      </c>
      <c r="G656">
        <v>3837200</v>
      </c>
      <c r="H656">
        <v>29.06</v>
      </c>
      <c r="I656">
        <v>14.74</v>
      </c>
      <c r="J656" s="1">
        <v>44051</v>
      </c>
      <c r="K656">
        <v>30</v>
      </c>
      <c r="L656">
        <v>5.4794520547945212E-4</v>
      </c>
      <c r="M656">
        <v>2102.5753424657537</v>
      </c>
      <c r="N656">
        <v>63077.260273972614</v>
      </c>
    </row>
    <row r="657" spans="1:14" x14ac:dyDescent="0.25">
      <c r="A657" t="s">
        <v>1257</v>
      </c>
      <c r="B657" t="s">
        <v>11</v>
      </c>
      <c r="C657">
        <v>53</v>
      </c>
      <c r="D657" t="s">
        <v>28</v>
      </c>
      <c r="E657" t="s">
        <v>23</v>
      </c>
      <c r="F657" t="s">
        <v>20</v>
      </c>
      <c r="G657">
        <v>87713</v>
      </c>
      <c r="H657">
        <v>21.55</v>
      </c>
      <c r="I657">
        <v>29.53</v>
      </c>
      <c r="J657" s="1">
        <v>45456</v>
      </c>
      <c r="K657">
        <v>71</v>
      </c>
      <c r="L657">
        <v>5.4794520547945212E-4</v>
      </c>
      <c r="M657">
        <v>48.061917808219185</v>
      </c>
      <c r="N657">
        <v>3412.3961643835623</v>
      </c>
    </row>
    <row r="658" spans="1:14" x14ac:dyDescent="0.25">
      <c r="A658" t="s">
        <v>1259</v>
      </c>
      <c r="B658" t="s">
        <v>11</v>
      </c>
      <c r="C658">
        <v>65</v>
      </c>
      <c r="D658" t="s">
        <v>38</v>
      </c>
      <c r="E658" t="s">
        <v>50</v>
      </c>
      <c r="F658" t="s">
        <v>41</v>
      </c>
      <c r="G658">
        <v>4793868</v>
      </c>
      <c r="H658">
        <v>10.82</v>
      </c>
      <c r="I658">
        <v>-1.39</v>
      </c>
      <c r="J658" s="1">
        <v>43817</v>
      </c>
      <c r="K658">
        <v>215</v>
      </c>
      <c r="L658">
        <v>5.4794520547945212E-4</v>
      </c>
      <c r="M658">
        <v>2626.77698630137</v>
      </c>
      <c r="N658">
        <v>564757.05205479451</v>
      </c>
    </row>
    <row r="659" spans="1:14" x14ac:dyDescent="0.25">
      <c r="A659" t="s">
        <v>1260</v>
      </c>
      <c r="B659" t="s">
        <v>17</v>
      </c>
      <c r="C659">
        <v>64</v>
      </c>
      <c r="D659" t="s">
        <v>38</v>
      </c>
      <c r="E659" t="s">
        <v>29</v>
      </c>
      <c r="F659" t="s">
        <v>35</v>
      </c>
      <c r="G659">
        <v>2162163</v>
      </c>
      <c r="H659">
        <v>10.96</v>
      </c>
      <c r="I659">
        <v>30.94</v>
      </c>
      <c r="J659" s="1">
        <v>44559</v>
      </c>
      <c r="K659">
        <v>197</v>
      </c>
      <c r="L659">
        <v>5.4794520547945212E-4</v>
      </c>
      <c r="M659">
        <v>1184.7468493150686</v>
      </c>
      <c r="N659">
        <v>233395.12931506851</v>
      </c>
    </row>
    <row r="660" spans="1:14" x14ac:dyDescent="0.25">
      <c r="A660" t="s">
        <v>1261</v>
      </c>
      <c r="B660" t="s">
        <v>11</v>
      </c>
      <c r="C660">
        <v>40</v>
      </c>
      <c r="D660" t="s">
        <v>46</v>
      </c>
      <c r="E660" t="s">
        <v>50</v>
      </c>
      <c r="F660" t="s">
        <v>14</v>
      </c>
      <c r="G660">
        <v>2127613</v>
      </c>
      <c r="H660">
        <v>32.68</v>
      </c>
      <c r="I660">
        <v>-2.5</v>
      </c>
      <c r="J660" s="1">
        <v>43668</v>
      </c>
      <c r="K660">
        <v>281</v>
      </c>
      <c r="L660">
        <v>5.4794520547945212E-4</v>
      </c>
      <c r="M660">
        <v>1165.8153424657535</v>
      </c>
      <c r="N660">
        <v>327594.11123287672</v>
      </c>
    </row>
    <row r="661" spans="1:14" x14ac:dyDescent="0.25">
      <c r="A661" t="s">
        <v>1262</v>
      </c>
      <c r="B661" t="s">
        <v>11</v>
      </c>
      <c r="C661">
        <v>23</v>
      </c>
      <c r="D661" t="s">
        <v>46</v>
      </c>
      <c r="E661" t="s">
        <v>23</v>
      </c>
      <c r="F661" t="s">
        <v>47</v>
      </c>
      <c r="G661">
        <v>2491101</v>
      </c>
      <c r="H661">
        <v>20.59</v>
      </c>
      <c r="I661">
        <v>42.58</v>
      </c>
      <c r="J661" s="1">
        <v>45315</v>
      </c>
      <c r="K661">
        <v>187</v>
      </c>
      <c r="L661">
        <v>5.4794520547945212E-4</v>
      </c>
      <c r="M661">
        <v>1364.9868493150686</v>
      </c>
      <c r="N661">
        <v>255252.54082191785</v>
      </c>
    </row>
    <row r="662" spans="1:14" x14ac:dyDescent="0.25">
      <c r="A662" t="s">
        <v>1264</v>
      </c>
      <c r="B662" t="s">
        <v>11</v>
      </c>
      <c r="C662">
        <v>35</v>
      </c>
      <c r="D662" t="s">
        <v>12</v>
      </c>
      <c r="E662" t="s">
        <v>57</v>
      </c>
      <c r="F662" t="s">
        <v>47</v>
      </c>
      <c r="G662">
        <v>3386913</v>
      </c>
      <c r="H662">
        <v>27.68</v>
      </c>
      <c r="I662">
        <v>-6.07</v>
      </c>
      <c r="J662" s="1">
        <v>44457</v>
      </c>
      <c r="K662">
        <v>362</v>
      </c>
      <c r="L662">
        <v>5.4794520547945212E-4</v>
      </c>
      <c r="M662">
        <v>1855.8427397260277</v>
      </c>
      <c r="N662">
        <v>671815.07178082201</v>
      </c>
    </row>
    <row r="663" spans="1:14" x14ac:dyDescent="0.25">
      <c r="A663" t="s">
        <v>1266</v>
      </c>
      <c r="B663" t="s">
        <v>11</v>
      </c>
      <c r="C663">
        <v>32</v>
      </c>
      <c r="D663" t="s">
        <v>28</v>
      </c>
      <c r="E663" t="s">
        <v>19</v>
      </c>
      <c r="F663" t="s">
        <v>35</v>
      </c>
      <c r="G663">
        <v>666794</v>
      </c>
      <c r="H663">
        <v>17.399999999999999</v>
      </c>
      <c r="I663">
        <v>3.84</v>
      </c>
      <c r="J663" s="1">
        <v>43361</v>
      </c>
      <c r="K663">
        <v>72</v>
      </c>
      <c r="L663">
        <v>5.4794520547945212E-4</v>
      </c>
      <c r="M663">
        <v>365.36657534246581</v>
      </c>
      <c r="N663">
        <v>26306.393424657537</v>
      </c>
    </row>
    <row r="664" spans="1:14" x14ac:dyDescent="0.25">
      <c r="A664" t="s">
        <v>1267</v>
      </c>
      <c r="B664" t="s">
        <v>11</v>
      </c>
      <c r="C664">
        <v>23</v>
      </c>
      <c r="D664" t="s">
        <v>12</v>
      </c>
      <c r="E664" t="s">
        <v>29</v>
      </c>
      <c r="F664" t="s">
        <v>30</v>
      </c>
      <c r="G664">
        <v>1383734</v>
      </c>
      <c r="H664">
        <v>5.4</v>
      </c>
      <c r="I664">
        <v>-9.98</v>
      </c>
      <c r="J664" s="1">
        <v>44849</v>
      </c>
      <c r="K664">
        <v>168</v>
      </c>
      <c r="L664">
        <v>5.4794520547945212E-4</v>
      </c>
      <c r="M664">
        <v>758.21041095890416</v>
      </c>
      <c r="N664">
        <v>127379.34904109591</v>
      </c>
    </row>
    <row r="665" spans="1:14" x14ac:dyDescent="0.25">
      <c r="A665" t="s">
        <v>1268</v>
      </c>
      <c r="B665" t="s">
        <v>17</v>
      </c>
      <c r="C665">
        <v>34</v>
      </c>
      <c r="D665" t="s">
        <v>38</v>
      </c>
      <c r="E665" t="s">
        <v>57</v>
      </c>
      <c r="F665" t="s">
        <v>41</v>
      </c>
      <c r="G665">
        <v>4417412</v>
      </c>
      <c r="H665">
        <v>11.77</v>
      </c>
      <c r="I665">
        <v>4.99</v>
      </c>
      <c r="J665" s="1">
        <v>43393</v>
      </c>
      <c r="K665">
        <v>103</v>
      </c>
      <c r="L665">
        <v>5.4794520547945212E-4</v>
      </c>
      <c r="M665">
        <v>2420.4997260273976</v>
      </c>
      <c r="N665">
        <v>249311.47178082194</v>
      </c>
    </row>
    <row r="666" spans="1:14" x14ac:dyDescent="0.25">
      <c r="A666" t="s">
        <v>1270</v>
      </c>
      <c r="B666" t="s">
        <v>11</v>
      </c>
      <c r="C666">
        <v>38</v>
      </c>
      <c r="D666" t="s">
        <v>46</v>
      </c>
      <c r="E666" t="s">
        <v>50</v>
      </c>
      <c r="F666" t="s">
        <v>20</v>
      </c>
      <c r="G666">
        <v>579837</v>
      </c>
      <c r="H666">
        <v>15.73</v>
      </c>
      <c r="I666">
        <v>5.23</v>
      </c>
      <c r="J666" s="1">
        <v>43561</v>
      </c>
      <c r="K666">
        <v>266</v>
      </c>
      <c r="L666">
        <v>5.4794520547945212E-4</v>
      </c>
      <c r="M666">
        <v>317.71890410958906</v>
      </c>
      <c r="N666">
        <v>84513.228493150687</v>
      </c>
    </row>
    <row r="667" spans="1:14" x14ac:dyDescent="0.25">
      <c r="A667" t="s">
        <v>1272</v>
      </c>
      <c r="B667" t="s">
        <v>11</v>
      </c>
      <c r="C667">
        <v>37</v>
      </c>
      <c r="D667" t="s">
        <v>18</v>
      </c>
      <c r="E667" t="s">
        <v>57</v>
      </c>
      <c r="F667" t="s">
        <v>47</v>
      </c>
      <c r="G667">
        <v>2565996</v>
      </c>
      <c r="H667">
        <v>23.99</v>
      </c>
      <c r="I667">
        <v>18.07</v>
      </c>
      <c r="J667" s="1">
        <v>44154</v>
      </c>
      <c r="K667">
        <v>226</v>
      </c>
      <c r="L667">
        <v>5.4794520547945212E-4</v>
      </c>
      <c r="M667">
        <v>1406.0252054794523</v>
      </c>
      <c r="N667">
        <v>317761.69643835624</v>
      </c>
    </row>
    <row r="668" spans="1:14" x14ac:dyDescent="0.25">
      <c r="A668" t="s">
        <v>1274</v>
      </c>
      <c r="B668" t="s">
        <v>17</v>
      </c>
      <c r="C668">
        <v>27</v>
      </c>
      <c r="D668" t="s">
        <v>12</v>
      </c>
      <c r="E668" t="s">
        <v>57</v>
      </c>
      <c r="F668" t="s">
        <v>35</v>
      </c>
      <c r="G668">
        <v>3967006</v>
      </c>
      <c r="H668">
        <v>28.23</v>
      </c>
      <c r="I668">
        <v>28.41</v>
      </c>
      <c r="J668" s="1">
        <v>43919</v>
      </c>
      <c r="K668">
        <v>364</v>
      </c>
      <c r="L668">
        <v>5.4794520547945212E-4</v>
      </c>
      <c r="M668">
        <v>2173.7019178082196</v>
      </c>
      <c r="N668">
        <v>791227.49808219192</v>
      </c>
    </row>
    <row r="669" spans="1:14" x14ac:dyDescent="0.25">
      <c r="A669" t="s">
        <v>1276</v>
      </c>
      <c r="B669" t="s">
        <v>17</v>
      </c>
      <c r="C669">
        <v>63</v>
      </c>
      <c r="D669" t="s">
        <v>18</v>
      </c>
      <c r="E669" t="s">
        <v>19</v>
      </c>
      <c r="F669" t="s">
        <v>20</v>
      </c>
      <c r="G669">
        <v>4325587</v>
      </c>
      <c r="H669">
        <v>8.08</v>
      </c>
      <c r="I669">
        <v>22.97</v>
      </c>
      <c r="J669" s="1">
        <v>43313</v>
      </c>
      <c r="K669">
        <v>319</v>
      </c>
      <c r="L669">
        <v>5.4794520547945212E-4</v>
      </c>
      <c r="M669">
        <v>2370.184657534247</v>
      </c>
      <c r="N669">
        <v>756088.90575342474</v>
      </c>
    </row>
    <row r="670" spans="1:14" x14ac:dyDescent="0.25">
      <c r="A670" t="s">
        <v>1277</v>
      </c>
      <c r="B670" t="s">
        <v>11</v>
      </c>
      <c r="C670">
        <v>35</v>
      </c>
      <c r="D670" t="s">
        <v>46</v>
      </c>
      <c r="E670" t="s">
        <v>19</v>
      </c>
      <c r="F670" t="s">
        <v>41</v>
      </c>
      <c r="G670">
        <v>4623849</v>
      </c>
      <c r="H670">
        <v>15.17</v>
      </c>
      <c r="I670">
        <v>2.4</v>
      </c>
      <c r="J670" s="1">
        <v>43388</v>
      </c>
      <c r="K670">
        <v>248</v>
      </c>
      <c r="L670">
        <v>5.4794520547945212E-4</v>
      </c>
      <c r="M670">
        <v>2533.6158904109593</v>
      </c>
      <c r="N670">
        <v>628336.74082191789</v>
      </c>
    </row>
    <row r="671" spans="1:14" x14ac:dyDescent="0.25">
      <c r="A671" t="s">
        <v>1279</v>
      </c>
      <c r="B671" t="s">
        <v>11</v>
      </c>
      <c r="C671">
        <v>54</v>
      </c>
      <c r="D671" t="s">
        <v>28</v>
      </c>
      <c r="E671" t="s">
        <v>19</v>
      </c>
      <c r="F671" t="s">
        <v>35</v>
      </c>
      <c r="G671">
        <v>4401851</v>
      </c>
      <c r="H671">
        <v>11.63</v>
      </c>
      <c r="I671">
        <v>-7.01</v>
      </c>
      <c r="J671" s="1">
        <v>43408</v>
      </c>
      <c r="K671">
        <v>29</v>
      </c>
      <c r="L671">
        <v>5.4794520547945212E-4</v>
      </c>
      <c r="M671">
        <v>2411.9731506849316</v>
      </c>
      <c r="N671">
        <v>69947.221369863022</v>
      </c>
    </row>
    <row r="672" spans="1:14" x14ac:dyDescent="0.25">
      <c r="A672" t="s">
        <v>1281</v>
      </c>
      <c r="B672" t="s">
        <v>11</v>
      </c>
      <c r="C672">
        <v>22</v>
      </c>
      <c r="D672" t="s">
        <v>46</v>
      </c>
      <c r="E672" t="s">
        <v>23</v>
      </c>
      <c r="F672" t="s">
        <v>20</v>
      </c>
      <c r="G672">
        <v>3922414</v>
      </c>
      <c r="H672">
        <v>9.33</v>
      </c>
      <c r="I672">
        <v>7.87</v>
      </c>
      <c r="J672" s="1">
        <v>44727</v>
      </c>
      <c r="K672">
        <v>361</v>
      </c>
      <c r="L672">
        <v>5.4794520547945212E-4</v>
      </c>
      <c r="M672">
        <v>2149.2679452054799</v>
      </c>
      <c r="N672">
        <v>775885.72821917827</v>
      </c>
    </row>
    <row r="673" spans="1:14" x14ac:dyDescent="0.25">
      <c r="A673" t="s">
        <v>1283</v>
      </c>
      <c r="B673" t="s">
        <v>17</v>
      </c>
      <c r="C673">
        <v>56</v>
      </c>
      <c r="D673" t="s">
        <v>46</v>
      </c>
      <c r="E673" t="s">
        <v>57</v>
      </c>
      <c r="F673" t="s">
        <v>35</v>
      </c>
      <c r="G673">
        <v>897615</v>
      </c>
      <c r="H673">
        <v>20.11</v>
      </c>
      <c r="I673">
        <v>24.43</v>
      </c>
      <c r="J673" s="1">
        <v>43581</v>
      </c>
      <c r="K673">
        <v>275</v>
      </c>
      <c r="L673">
        <v>5.4794520547945212E-4</v>
      </c>
      <c r="M673">
        <v>491.84383561643841</v>
      </c>
      <c r="N673">
        <v>135257.05479452058</v>
      </c>
    </row>
    <row r="674" spans="1:14" x14ac:dyDescent="0.25">
      <c r="A674" t="s">
        <v>1285</v>
      </c>
      <c r="B674" t="s">
        <v>17</v>
      </c>
      <c r="C674">
        <v>54</v>
      </c>
      <c r="D674" t="s">
        <v>38</v>
      </c>
      <c r="E674" t="s">
        <v>19</v>
      </c>
      <c r="F674" t="s">
        <v>20</v>
      </c>
      <c r="G674">
        <v>103103</v>
      </c>
      <c r="H674">
        <v>8.6300000000000008</v>
      </c>
      <c r="I674">
        <v>23.92</v>
      </c>
      <c r="J674" s="1">
        <v>45495</v>
      </c>
      <c r="K674">
        <v>187</v>
      </c>
      <c r="L674">
        <v>5.4794520547945212E-4</v>
      </c>
      <c r="M674">
        <v>56.494794520547956</v>
      </c>
      <c r="N674">
        <v>10564.526575342468</v>
      </c>
    </row>
    <row r="675" spans="1:14" x14ac:dyDescent="0.25">
      <c r="A675" t="s">
        <v>1287</v>
      </c>
      <c r="B675" t="s">
        <v>17</v>
      </c>
      <c r="C675">
        <v>26</v>
      </c>
      <c r="D675" t="s">
        <v>38</v>
      </c>
      <c r="E675" t="s">
        <v>19</v>
      </c>
      <c r="F675" t="s">
        <v>35</v>
      </c>
      <c r="G675">
        <v>1254071</v>
      </c>
      <c r="H675">
        <v>25.94</v>
      </c>
      <c r="I675">
        <v>17.5</v>
      </c>
      <c r="J675" s="1">
        <v>43992</v>
      </c>
      <c r="K675">
        <v>105</v>
      </c>
      <c r="L675">
        <v>5.4794520547945212E-4</v>
      </c>
      <c r="M675">
        <v>687.16219178082201</v>
      </c>
      <c r="N675">
        <v>72152.030136986315</v>
      </c>
    </row>
    <row r="676" spans="1:14" x14ac:dyDescent="0.25">
      <c r="A676" t="s">
        <v>1288</v>
      </c>
      <c r="B676" t="s">
        <v>11</v>
      </c>
      <c r="C676">
        <v>37</v>
      </c>
      <c r="D676" t="s">
        <v>38</v>
      </c>
      <c r="E676" t="s">
        <v>23</v>
      </c>
      <c r="F676" t="s">
        <v>35</v>
      </c>
      <c r="G676">
        <v>3316216</v>
      </c>
      <c r="H676">
        <v>27.13</v>
      </c>
      <c r="I676">
        <v>1.99</v>
      </c>
      <c r="J676" s="1">
        <v>44880</v>
      </c>
      <c r="K676">
        <v>12</v>
      </c>
      <c r="L676">
        <v>5.4794520547945212E-4</v>
      </c>
      <c r="M676">
        <v>1817.1046575342468</v>
      </c>
      <c r="N676">
        <v>21805.255890410961</v>
      </c>
    </row>
    <row r="677" spans="1:14" x14ac:dyDescent="0.25">
      <c r="A677" t="s">
        <v>1290</v>
      </c>
      <c r="B677" t="s">
        <v>11</v>
      </c>
      <c r="C677">
        <v>44</v>
      </c>
      <c r="D677" t="s">
        <v>28</v>
      </c>
      <c r="E677" t="s">
        <v>57</v>
      </c>
      <c r="F677" t="s">
        <v>35</v>
      </c>
      <c r="G677">
        <v>1983711</v>
      </c>
      <c r="H677">
        <v>13.38</v>
      </c>
      <c r="I677">
        <v>42.58</v>
      </c>
      <c r="J677" s="1">
        <v>45192</v>
      </c>
      <c r="K677">
        <v>245</v>
      </c>
      <c r="L677">
        <v>5.4794520547945212E-4</v>
      </c>
      <c r="M677">
        <v>1086.9649315068496</v>
      </c>
      <c r="N677">
        <v>266306.40821917815</v>
      </c>
    </row>
    <row r="678" spans="1:14" x14ac:dyDescent="0.25">
      <c r="A678" t="s">
        <v>1291</v>
      </c>
      <c r="B678" t="s">
        <v>17</v>
      </c>
      <c r="C678">
        <v>38</v>
      </c>
      <c r="D678" t="s">
        <v>46</v>
      </c>
      <c r="E678" t="s">
        <v>57</v>
      </c>
      <c r="F678" t="s">
        <v>14</v>
      </c>
      <c r="G678">
        <v>86043</v>
      </c>
      <c r="H678">
        <v>21.5</v>
      </c>
      <c r="I678">
        <v>-1.31</v>
      </c>
      <c r="J678" s="1">
        <v>44032</v>
      </c>
      <c r="K678">
        <v>297</v>
      </c>
      <c r="L678">
        <v>5.4794520547945212E-4</v>
      </c>
      <c r="M678">
        <v>47.146849315068501</v>
      </c>
      <c r="N678">
        <v>14002.614246575346</v>
      </c>
    </row>
    <row r="679" spans="1:14" x14ac:dyDescent="0.25">
      <c r="A679" t="s">
        <v>1293</v>
      </c>
      <c r="B679" t="s">
        <v>17</v>
      </c>
      <c r="C679">
        <v>36</v>
      </c>
      <c r="D679" t="s">
        <v>28</v>
      </c>
      <c r="E679" t="s">
        <v>29</v>
      </c>
      <c r="F679" t="s">
        <v>30</v>
      </c>
      <c r="G679">
        <v>4656840</v>
      </c>
      <c r="H679">
        <v>33.950000000000003</v>
      </c>
      <c r="I679">
        <v>31.64</v>
      </c>
      <c r="J679" s="1">
        <v>43694</v>
      </c>
      <c r="K679">
        <v>291</v>
      </c>
      <c r="L679">
        <v>5.4794520547945212E-4</v>
      </c>
      <c r="M679">
        <v>2551.6931506849319</v>
      </c>
      <c r="N679">
        <v>742542.7068493152</v>
      </c>
    </row>
    <row r="680" spans="1:14" x14ac:dyDescent="0.25">
      <c r="A680" t="s">
        <v>1295</v>
      </c>
      <c r="B680" t="s">
        <v>11</v>
      </c>
      <c r="C680">
        <v>30</v>
      </c>
      <c r="D680" t="s">
        <v>12</v>
      </c>
      <c r="E680" t="s">
        <v>19</v>
      </c>
      <c r="F680" t="s">
        <v>41</v>
      </c>
      <c r="G680">
        <v>3869445</v>
      </c>
      <c r="H680">
        <v>18.8</v>
      </c>
      <c r="I680">
        <v>22.67</v>
      </c>
      <c r="J680" s="1">
        <v>45279</v>
      </c>
      <c r="K680">
        <v>182</v>
      </c>
      <c r="L680">
        <v>5.4794520547945212E-4</v>
      </c>
      <c r="M680">
        <v>2120.2438356164384</v>
      </c>
      <c r="N680">
        <v>385884.3780821918</v>
      </c>
    </row>
    <row r="681" spans="1:14" x14ac:dyDescent="0.25">
      <c r="A681" t="s">
        <v>1297</v>
      </c>
      <c r="B681" t="s">
        <v>17</v>
      </c>
      <c r="C681">
        <v>48</v>
      </c>
      <c r="D681" t="s">
        <v>46</v>
      </c>
      <c r="E681" t="s">
        <v>57</v>
      </c>
      <c r="F681" t="s">
        <v>35</v>
      </c>
      <c r="G681">
        <v>740201</v>
      </c>
      <c r="H681">
        <v>28.07</v>
      </c>
      <c r="I681">
        <v>4.26</v>
      </c>
      <c r="J681" s="1">
        <v>43746</v>
      </c>
      <c r="K681">
        <v>19</v>
      </c>
      <c r="L681">
        <v>5.4794520547945212E-4</v>
      </c>
      <c r="M681">
        <v>405.58958904109596</v>
      </c>
      <c r="N681">
        <v>7706.2021917808233</v>
      </c>
    </row>
    <row r="682" spans="1:14" x14ac:dyDescent="0.25">
      <c r="A682" t="s">
        <v>1298</v>
      </c>
      <c r="B682" t="s">
        <v>11</v>
      </c>
      <c r="C682">
        <v>45</v>
      </c>
      <c r="D682" t="s">
        <v>18</v>
      </c>
      <c r="E682" t="s">
        <v>23</v>
      </c>
      <c r="F682" t="s">
        <v>35</v>
      </c>
      <c r="G682">
        <v>2596682</v>
      </c>
      <c r="H682">
        <v>24.31</v>
      </c>
      <c r="I682">
        <v>34.18</v>
      </c>
      <c r="J682" s="1">
        <v>44914</v>
      </c>
      <c r="K682">
        <v>213</v>
      </c>
      <c r="L682">
        <v>5.4794520547945212E-4</v>
      </c>
      <c r="M682">
        <v>1422.8394520547947</v>
      </c>
      <c r="N682">
        <v>303064.8032876713</v>
      </c>
    </row>
    <row r="683" spans="1:14" x14ac:dyDescent="0.25">
      <c r="A683" t="s">
        <v>1299</v>
      </c>
      <c r="B683" t="s">
        <v>11</v>
      </c>
      <c r="C683">
        <v>31</v>
      </c>
      <c r="D683" t="s">
        <v>12</v>
      </c>
      <c r="E683" t="s">
        <v>19</v>
      </c>
      <c r="F683" t="s">
        <v>20</v>
      </c>
      <c r="G683">
        <v>1344396</v>
      </c>
      <c r="H683">
        <v>33.6</v>
      </c>
      <c r="I683">
        <v>-1.36</v>
      </c>
      <c r="J683" s="1">
        <v>44137</v>
      </c>
      <c r="K683">
        <v>210</v>
      </c>
      <c r="L683">
        <v>5.4794520547945212E-4</v>
      </c>
      <c r="M683">
        <v>736.65534246575351</v>
      </c>
      <c r="N683">
        <v>154697.62191780822</v>
      </c>
    </row>
    <row r="684" spans="1:14" x14ac:dyDescent="0.25">
      <c r="A684" t="s">
        <v>1301</v>
      </c>
      <c r="B684" t="s">
        <v>17</v>
      </c>
      <c r="C684">
        <v>24</v>
      </c>
      <c r="D684" t="s">
        <v>28</v>
      </c>
      <c r="E684" t="s">
        <v>57</v>
      </c>
      <c r="F684" t="s">
        <v>41</v>
      </c>
      <c r="G684">
        <v>1473450</v>
      </c>
      <c r="H684">
        <v>23.74</v>
      </c>
      <c r="I684">
        <v>36.42</v>
      </c>
      <c r="J684" s="1">
        <v>44332</v>
      </c>
      <c r="K684">
        <v>138</v>
      </c>
      <c r="L684">
        <v>5.4794520547945212E-4</v>
      </c>
      <c r="M684">
        <v>807.3698630136987</v>
      </c>
      <c r="N684">
        <v>111417.04109589042</v>
      </c>
    </row>
    <row r="685" spans="1:14" x14ac:dyDescent="0.25">
      <c r="A685" t="s">
        <v>1303</v>
      </c>
      <c r="B685" t="s">
        <v>17</v>
      </c>
      <c r="C685">
        <v>31</v>
      </c>
      <c r="D685" t="s">
        <v>12</v>
      </c>
      <c r="E685" t="s">
        <v>23</v>
      </c>
      <c r="F685" t="s">
        <v>14</v>
      </c>
      <c r="G685">
        <v>849728</v>
      </c>
      <c r="H685">
        <v>23.79</v>
      </c>
      <c r="I685">
        <v>11.86</v>
      </c>
      <c r="J685" s="1">
        <v>45454</v>
      </c>
      <c r="K685">
        <v>357</v>
      </c>
      <c r="L685">
        <v>5.4794520547945212E-4</v>
      </c>
      <c r="M685">
        <v>465.60438356164389</v>
      </c>
      <c r="N685">
        <v>166220.76493150686</v>
      </c>
    </row>
    <row r="686" spans="1:14" x14ac:dyDescent="0.25">
      <c r="A686" t="s">
        <v>1304</v>
      </c>
      <c r="B686" t="s">
        <v>17</v>
      </c>
      <c r="C686">
        <v>60</v>
      </c>
      <c r="D686" t="s">
        <v>12</v>
      </c>
      <c r="E686" t="s">
        <v>50</v>
      </c>
      <c r="F686" t="s">
        <v>14</v>
      </c>
      <c r="G686">
        <v>201061</v>
      </c>
      <c r="H686">
        <v>19.04</v>
      </c>
      <c r="I686">
        <v>-2.69</v>
      </c>
      <c r="J686" s="1">
        <v>43423</v>
      </c>
      <c r="K686">
        <v>138</v>
      </c>
      <c r="L686">
        <v>5.4794520547945212E-4</v>
      </c>
      <c r="M686">
        <v>110.17041095890413</v>
      </c>
      <c r="N686">
        <v>15203.51671232877</v>
      </c>
    </row>
    <row r="687" spans="1:14" x14ac:dyDescent="0.25">
      <c r="A687" t="s">
        <v>1306</v>
      </c>
      <c r="B687" t="s">
        <v>11</v>
      </c>
      <c r="C687">
        <v>56</v>
      </c>
      <c r="D687" t="s">
        <v>12</v>
      </c>
      <c r="E687" t="s">
        <v>57</v>
      </c>
      <c r="F687" t="s">
        <v>14</v>
      </c>
      <c r="G687">
        <v>1116643</v>
      </c>
      <c r="H687">
        <v>12.74</v>
      </c>
      <c r="I687">
        <v>8.1199999999999992</v>
      </c>
      <c r="J687" s="1">
        <v>44252</v>
      </c>
      <c r="K687">
        <v>96</v>
      </c>
      <c r="L687">
        <v>5.4794520547945212E-4</v>
      </c>
      <c r="M687">
        <v>611.85917808219187</v>
      </c>
      <c r="N687">
        <v>58738.48109589042</v>
      </c>
    </row>
    <row r="688" spans="1:14" x14ac:dyDescent="0.25">
      <c r="A688" t="s">
        <v>1308</v>
      </c>
      <c r="B688" t="s">
        <v>11</v>
      </c>
      <c r="C688">
        <v>28</v>
      </c>
      <c r="D688" t="s">
        <v>12</v>
      </c>
      <c r="E688" t="s">
        <v>19</v>
      </c>
      <c r="F688" t="s">
        <v>14</v>
      </c>
      <c r="G688">
        <v>4005681</v>
      </c>
      <c r="H688">
        <v>9.2799999999999994</v>
      </c>
      <c r="I688">
        <v>13.87</v>
      </c>
      <c r="J688" s="1">
        <v>43830</v>
      </c>
      <c r="K688">
        <v>180</v>
      </c>
      <c r="L688">
        <v>5.4794520547945212E-4</v>
      </c>
      <c r="M688">
        <v>2194.8936986301374</v>
      </c>
      <c r="N688">
        <v>395080.8657534247</v>
      </c>
    </row>
    <row r="689" spans="1:14" x14ac:dyDescent="0.25">
      <c r="A689" t="s">
        <v>1310</v>
      </c>
      <c r="B689" t="s">
        <v>11</v>
      </c>
      <c r="C689">
        <v>32</v>
      </c>
      <c r="D689" t="s">
        <v>46</v>
      </c>
      <c r="E689" t="s">
        <v>50</v>
      </c>
      <c r="F689" t="s">
        <v>41</v>
      </c>
      <c r="G689">
        <v>633961</v>
      </c>
      <c r="H689">
        <v>17.28</v>
      </c>
      <c r="I689">
        <v>42.13</v>
      </c>
      <c r="J689" s="1">
        <v>43105</v>
      </c>
      <c r="K689">
        <v>21</v>
      </c>
      <c r="L689">
        <v>5.4794520547945212E-4</v>
      </c>
      <c r="M689">
        <v>347.37589041095896</v>
      </c>
      <c r="N689">
        <v>7294.8936986301378</v>
      </c>
    </row>
    <row r="690" spans="1:14" x14ac:dyDescent="0.25">
      <c r="A690" t="s">
        <v>1312</v>
      </c>
      <c r="B690" t="s">
        <v>11</v>
      </c>
      <c r="C690">
        <v>31</v>
      </c>
      <c r="D690" t="s">
        <v>46</v>
      </c>
      <c r="E690" t="s">
        <v>50</v>
      </c>
      <c r="F690" t="s">
        <v>20</v>
      </c>
      <c r="G690">
        <v>4956620</v>
      </c>
      <c r="H690">
        <v>32.74</v>
      </c>
      <c r="I690">
        <v>35.76</v>
      </c>
      <c r="J690" s="1">
        <v>44973</v>
      </c>
      <c r="K690">
        <v>102</v>
      </c>
      <c r="L690">
        <v>5.4794520547945212E-4</v>
      </c>
      <c r="M690">
        <v>2715.9561643835618</v>
      </c>
      <c r="N690">
        <v>277027.52876712329</v>
      </c>
    </row>
    <row r="691" spans="1:14" x14ac:dyDescent="0.25">
      <c r="A691" t="s">
        <v>1314</v>
      </c>
      <c r="B691" t="s">
        <v>11</v>
      </c>
      <c r="C691">
        <v>56</v>
      </c>
      <c r="D691" t="s">
        <v>28</v>
      </c>
      <c r="E691" t="s">
        <v>19</v>
      </c>
      <c r="F691" t="s">
        <v>20</v>
      </c>
      <c r="G691">
        <v>233054</v>
      </c>
      <c r="H691">
        <v>22.43</v>
      </c>
      <c r="I691">
        <v>16.05</v>
      </c>
      <c r="J691" s="1">
        <v>45002</v>
      </c>
      <c r="K691">
        <v>103</v>
      </c>
      <c r="L691">
        <v>5.4794520547945212E-4</v>
      </c>
      <c r="M691">
        <v>127.70082191780824</v>
      </c>
      <c r="N691">
        <v>13153.18465753425</v>
      </c>
    </row>
    <row r="692" spans="1:14" x14ac:dyDescent="0.25">
      <c r="A692" t="s">
        <v>1316</v>
      </c>
      <c r="B692" t="s">
        <v>17</v>
      </c>
      <c r="C692">
        <v>52</v>
      </c>
      <c r="D692" t="s">
        <v>38</v>
      </c>
      <c r="E692" t="s">
        <v>50</v>
      </c>
      <c r="F692" t="s">
        <v>35</v>
      </c>
      <c r="G692">
        <v>1620974</v>
      </c>
      <c r="H692">
        <v>21.78</v>
      </c>
      <c r="I692">
        <v>36.68</v>
      </c>
      <c r="J692" s="1">
        <v>45177</v>
      </c>
      <c r="K692">
        <v>225</v>
      </c>
      <c r="L692">
        <v>5.4794520547945212E-4</v>
      </c>
      <c r="M692">
        <v>888.20493150684945</v>
      </c>
      <c r="N692">
        <v>199846.10958904112</v>
      </c>
    </row>
    <row r="693" spans="1:14" x14ac:dyDescent="0.25">
      <c r="A693" t="s">
        <v>1318</v>
      </c>
      <c r="B693" t="s">
        <v>11</v>
      </c>
      <c r="C693">
        <v>38</v>
      </c>
      <c r="D693" t="s">
        <v>46</v>
      </c>
      <c r="E693" t="s">
        <v>29</v>
      </c>
      <c r="F693" t="s">
        <v>20</v>
      </c>
      <c r="G693">
        <v>532942</v>
      </c>
      <c r="H693">
        <v>22.59</v>
      </c>
      <c r="I693">
        <v>2.4</v>
      </c>
      <c r="J693" s="1">
        <v>43442</v>
      </c>
      <c r="K693">
        <v>151</v>
      </c>
      <c r="L693">
        <v>5.4794520547945212E-4</v>
      </c>
      <c r="M693">
        <v>292.02301369863017</v>
      </c>
      <c r="N693">
        <v>44095.475068493157</v>
      </c>
    </row>
    <row r="694" spans="1:14" x14ac:dyDescent="0.25">
      <c r="A694" t="s">
        <v>1320</v>
      </c>
      <c r="B694" t="s">
        <v>17</v>
      </c>
      <c r="C694">
        <v>30</v>
      </c>
      <c r="D694" t="s">
        <v>46</v>
      </c>
      <c r="E694" t="s">
        <v>57</v>
      </c>
      <c r="F694" t="s">
        <v>30</v>
      </c>
      <c r="G694">
        <v>2522505</v>
      </c>
      <c r="H694">
        <v>23.93</v>
      </c>
      <c r="I694">
        <v>5.75</v>
      </c>
      <c r="J694" s="1">
        <v>44811</v>
      </c>
      <c r="K694">
        <v>294</v>
      </c>
      <c r="L694">
        <v>5.4794520547945212E-4</v>
      </c>
      <c r="M694">
        <v>1382.1945205479453</v>
      </c>
      <c r="N694">
        <v>406365.1890410959</v>
      </c>
    </row>
    <row r="695" spans="1:14" x14ac:dyDescent="0.25">
      <c r="A695" t="s">
        <v>1321</v>
      </c>
      <c r="B695" t="s">
        <v>11</v>
      </c>
      <c r="C695">
        <v>33</v>
      </c>
      <c r="D695" t="s">
        <v>18</v>
      </c>
      <c r="E695" t="s">
        <v>50</v>
      </c>
      <c r="F695" t="s">
        <v>35</v>
      </c>
      <c r="G695">
        <v>2747966</v>
      </c>
      <c r="H695">
        <v>21.53</v>
      </c>
      <c r="I695">
        <v>37.130000000000003</v>
      </c>
      <c r="J695" s="1">
        <v>43808</v>
      </c>
      <c r="K695">
        <v>69</v>
      </c>
      <c r="L695">
        <v>5.4794520547945212E-4</v>
      </c>
      <c r="M695">
        <v>1505.7347945205481</v>
      </c>
      <c r="N695">
        <v>103895.70082191782</v>
      </c>
    </row>
    <row r="696" spans="1:14" x14ac:dyDescent="0.25">
      <c r="A696" t="s">
        <v>1323</v>
      </c>
      <c r="B696" t="s">
        <v>17</v>
      </c>
      <c r="C696">
        <v>59</v>
      </c>
      <c r="D696" t="s">
        <v>28</v>
      </c>
      <c r="E696" t="s">
        <v>13</v>
      </c>
      <c r="F696" t="s">
        <v>35</v>
      </c>
      <c r="G696">
        <v>4782664</v>
      </c>
      <c r="H696">
        <v>11.67</v>
      </c>
      <c r="I696">
        <v>3.88</v>
      </c>
      <c r="J696" s="1">
        <v>43545</v>
      </c>
      <c r="K696">
        <v>270</v>
      </c>
      <c r="L696">
        <v>5.4794520547945212E-4</v>
      </c>
      <c r="M696">
        <v>2620.6378082191786</v>
      </c>
      <c r="N696">
        <v>707572.20821917825</v>
      </c>
    </row>
    <row r="697" spans="1:14" x14ac:dyDescent="0.25">
      <c r="A697" t="s">
        <v>1324</v>
      </c>
      <c r="B697" t="s">
        <v>11</v>
      </c>
      <c r="C697">
        <v>47</v>
      </c>
      <c r="D697" t="s">
        <v>12</v>
      </c>
      <c r="E697" t="s">
        <v>50</v>
      </c>
      <c r="F697" t="s">
        <v>30</v>
      </c>
      <c r="G697">
        <v>4000484</v>
      </c>
      <c r="H697">
        <v>12.31</v>
      </c>
      <c r="I697">
        <v>34.270000000000003</v>
      </c>
      <c r="J697" s="1">
        <v>44932</v>
      </c>
      <c r="K697">
        <v>329</v>
      </c>
      <c r="L697">
        <v>5.4794520547945212E-4</v>
      </c>
      <c r="M697">
        <v>2192.0460273972603</v>
      </c>
      <c r="N697">
        <v>721183.14301369863</v>
      </c>
    </row>
    <row r="698" spans="1:14" x14ac:dyDescent="0.25">
      <c r="A698" t="s">
        <v>1326</v>
      </c>
      <c r="B698" t="s">
        <v>17</v>
      </c>
      <c r="C698">
        <v>35</v>
      </c>
      <c r="D698" t="s">
        <v>12</v>
      </c>
      <c r="E698" t="s">
        <v>50</v>
      </c>
      <c r="F698" t="s">
        <v>41</v>
      </c>
      <c r="G698">
        <v>241953</v>
      </c>
      <c r="H698">
        <v>6.95</v>
      </c>
      <c r="I698">
        <v>9.48</v>
      </c>
      <c r="J698" s="1">
        <v>43167</v>
      </c>
      <c r="K698">
        <v>105</v>
      </c>
      <c r="L698">
        <v>5.4794520547945212E-4</v>
      </c>
      <c r="M698">
        <v>132.57698630136989</v>
      </c>
      <c r="N698">
        <v>13920.583561643838</v>
      </c>
    </row>
    <row r="699" spans="1:14" x14ac:dyDescent="0.25">
      <c r="A699" t="s">
        <v>1328</v>
      </c>
      <c r="B699" t="s">
        <v>17</v>
      </c>
      <c r="C699">
        <v>28</v>
      </c>
      <c r="D699" t="s">
        <v>28</v>
      </c>
      <c r="E699" t="s">
        <v>13</v>
      </c>
      <c r="F699" t="s">
        <v>20</v>
      </c>
      <c r="G699">
        <v>3950101</v>
      </c>
      <c r="H699">
        <v>34.17</v>
      </c>
      <c r="I699">
        <v>30.21</v>
      </c>
      <c r="J699" s="1">
        <v>45292</v>
      </c>
      <c r="K699">
        <v>128</v>
      </c>
      <c r="L699">
        <v>5.4794520547945212E-4</v>
      </c>
      <c r="M699">
        <v>2164.4389041095892</v>
      </c>
      <c r="N699">
        <v>277048.17972602742</v>
      </c>
    </row>
    <row r="700" spans="1:14" x14ac:dyDescent="0.25">
      <c r="A700" t="s">
        <v>1330</v>
      </c>
      <c r="B700" t="s">
        <v>11</v>
      </c>
      <c r="C700">
        <v>40</v>
      </c>
      <c r="D700" t="s">
        <v>28</v>
      </c>
      <c r="E700" t="s">
        <v>50</v>
      </c>
      <c r="F700" t="s">
        <v>47</v>
      </c>
      <c r="G700">
        <v>3873032</v>
      </c>
      <c r="H700">
        <v>18.98</v>
      </c>
      <c r="I700">
        <v>-4.1100000000000003</v>
      </c>
      <c r="J700" s="1">
        <v>44789</v>
      </c>
      <c r="K700">
        <v>14</v>
      </c>
      <c r="L700">
        <v>5.4794520547945212E-4</v>
      </c>
      <c r="M700">
        <v>2122.2093150684932</v>
      </c>
      <c r="N700">
        <v>29710.930410958907</v>
      </c>
    </row>
    <row r="701" spans="1:14" x14ac:dyDescent="0.25">
      <c r="A701" t="s">
        <v>1332</v>
      </c>
      <c r="B701" t="s">
        <v>11</v>
      </c>
      <c r="C701">
        <v>47</v>
      </c>
      <c r="D701" t="s">
        <v>38</v>
      </c>
      <c r="E701" t="s">
        <v>23</v>
      </c>
      <c r="F701" t="s">
        <v>14</v>
      </c>
      <c r="G701">
        <v>2271365</v>
      </c>
      <c r="H701">
        <v>19.64</v>
      </c>
      <c r="I701">
        <v>-2.48</v>
      </c>
      <c r="J701" s="1">
        <v>43304</v>
      </c>
      <c r="K701">
        <v>326</v>
      </c>
      <c r="L701">
        <v>5.4794520547945212E-4</v>
      </c>
      <c r="M701">
        <v>1244.5835616438358</v>
      </c>
      <c r="N701">
        <v>405734.24109589047</v>
      </c>
    </row>
    <row r="702" spans="1:14" x14ac:dyDescent="0.25">
      <c r="A702" t="s">
        <v>1334</v>
      </c>
      <c r="B702" t="s">
        <v>17</v>
      </c>
      <c r="C702">
        <v>65</v>
      </c>
      <c r="D702" t="s">
        <v>46</v>
      </c>
      <c r="E702" t="s">
        <v>23</v>
      </c>
      <c r="F702" t="s">
        <v>47</v>
      </c>
      <c r="G702">
        <v>1887173</v>
      </c>
      <c r="H702">
        <v>16.91</v>
      </c>
      <c r="I702">
        <v>19.190000000000001</v>
      </c>
      <c r="J702" s="1">
        <v>44811</v>
      </c>
      <c r="K702">
        <v>84</v>
      </c>
      <c r="L702">
        <v>5.4794520547945212E-4</v>
      </c>
      <c r="M702">
        <v>1034.067397260274</v>
      </c>
      <c r="N702">
        <v>86861.66136986301</v>
      </c>
    </row>
    <row r="703" spans="1:14" x14ac:dyDescent="0.25">
      <c r="A703" t="s">
        <v>1335</v>
      </c>
      <c r="B703" t="s">
        <v>11</v>
      </c>
      <c r="C703">
        <v>54</v>
      </c>
      <c r="D703" t="s">
        <v>12</v>
      </c>
      <c r="E703" t="s">
        <v>57</v>
      </c>
      <c r="F703" t="s">
        <v>41</v>
      </c>
      <c r="G703">
        <v>1708504</v>
      </c>
      <c r="H703">
        <v>14.71</v>
      </c>
      <c r="I703">
        <v>5.84</v>
      </c>
      <c r="J703" s="1">
        <v>43766</v>
      </c>
      <c r="K703">
        <v>32</v>
      </c>
      <c r="L703">
        <v>5.4794520547945212E-4</v>
      </c>
      <c r="M703">
        <v>936.16657534246588</v>
      </c>
      <c r="N703">
        <v>29957.330410958908</v>
      </c>
    </row>
    <row r="704" spans="1:14" x14ac:dyDescent="0.25">
      <c r="A704" t="s">
        <v>1337</v>
      </c>
      <c r="B704" t="s">
        <v>11</v>
      </c>
      <c r="C704">
        <v>36</v>
      </c>
      <c r="D704" t="s">
        <v>38</v>
      </c>
      <c r="E704" t="s">
        <v>29</v>
      </c>
      <c r="F704" t="s">
        <v>35</v>
      </c>
      <c r="G704">
        <v>3141401</v>
      </c>
      <c r="H704">
        <v>22.35</v>
      </c>
      <c r="I704">
        <v>13.14</v>
      </c>
      <c r="J704" s="1">
        <v>45331</v>
      </c>
      <c r="K704">
        <v>26</v>
      </c>
      <c r="L704">
        <v>5.4794520547945212E-4</v>
      </c>
      <c r="M704">
        <v>1721.3156164383563</v>
      </c>
      <c r="N704">
        <v>44754.20602739726</v>
      </c>
    </row>
    <row r="705" spans="1:14" x14ac:dyDescent="0.25">
      <c r="A705" t="s">
        <v>1338</v>
      </c>
      <c r="B705" t="s">
        <v>11</v>
      </c>
      <c r="C705">
        <v>38</v>
      </c>
      <c r="D705" t="s">
        <v>28</v>
      </c>
      <c r="E705" t="s">
        <v>19</v>
      </c>
      <c r="F705" t="s">
        <v>30</v>
      </c>
      <c r="G705">
        <v>962213</v>
      </c>
      <c r="H705">
        <v>29.78</v>
      </c>
      <c r="I705">
        <v>42.32</v>
      </c>
      <c r="J705" s="1">
        <v>44010</v>
      </c>
      <c r="K705">
        <v>49</v>
      </c>
      <c r="L705">
        <v>5.4794520547945212E-4</v>
      </c>
      <c r="M705">
        <v>527.24000000000012</v>
      </c>
      <c r="N705">
        <v>25834.760000000006</v>
      </c>
    </row>
    <row r="706" spans="1:14" x14ac:dyDescent="0.25">
      <c r="A706" t="s">
        <v>1340</v>
      </c>
      <c r="B706" t="s">
        <v>17</v>
      </c>
      <c r="C706">
        <v>63</v>
      </c>
      <c r="D706" t="s">
        <v>46</v>
      </c>
      <c r="E706" t="s">
        <v>50</v>
      </c>
      <c r="F706" t="s">
        <v>14</v>
      </c>
      <c r="G706">
        <v>1770643</v>
      </c>
      <c r="H706">
        <v>5.81</v>
      </c>
      <c r="I706">
        <v>23.48</v>
      </c>
      <c r="J706" s="1">
        <v>44042</v>
      </c>
      <c r="K706">
        <v>54</v>
      </c>
      <c r="L706">
        <v>5.4794520547945212E-4</v>
      </c>
      <c r="M706">
        <v>970.21534246575357</v>
      </c>
      <c r="N706">
        <v>52391.628493150696</v>
      </c>
    </row>
    <row r="707" spans="1:14" x14ac:dyDescent="0.25">
      <c r="A707" t="s">
        <v>1342</v>
      </c>
      <c r="B707" t="s">
        <v>11</v>
      </c>
      <c r="C707">
        <v>56</v>
      </c>
      <c r="D707" t="s">
        <v>46</v>
      </c>
      <c r="E707" t="s">
        <v>23</v>
      </c>
      <c r="F707" t="s">
        <v>14</v>
      </c>
      <c r="G707">
        <v>4862856</v>
      </c>
      <c r="H707">
        <v>5.16</v>
      </c>
      <c r="I707">
        <v>-4.96</v>
      </c>
      <c r="J707" s="1">
        <v>45200</v>
      </c>
      <c r="K707">
        <v>358</v>
      </c>
      <c r="L707">
        <v>5.4794520547945212E-4</v>
      </c>
      <c r="M707">
        <v>2664.5786301369867</v>
      </c>
      <c r="N707">
        <v>953919.14958904125</v>
      </c>
    </row>
    <row r="708" spans="1:14" x14ac:dyDescent="0.25">
      <c r="A708" t="s">
        <v>1344</v>
      </c>
      <c r="B708" t="s">
        <v>11</v>
      </c>
      <c r="C708">
        <v>24</v>
      </c>
      <c r="D708" t="s">
        <v>38</v>
      </c>
      <c r="E708" t="s">
        <v>23</v>
      </c>
      <c r="F708" t="s">
        <v>14</v>
      </c>
      <c r="G708">
        <v>2305415</v>
      </c>
      <c r="H708">
        <v>26.18</v>
      </c>
      <c r="I708">
        <v>2.61</v>
      </c>
      <c r="J708" s="1">
        <v>43805</v>
      </c>
      <c r="K708">
        <v>31</v>
      </c>
      <c r="L708">
        <v>5.4794520547945212E-4</v>
      </c>
      <c r="M708">
        <v>1263.2410958904111</v>
      </c>
      <c r="N708">
        <v>39160.473972602747</v>
      </c>
    </row>
    <row r="709" spans="1:14" x14ac:dyDescent="0.25">
      <c r="A709" t="s">
        <v>1346</v>
      </c>
      <c r="B709" t="s">
        <v>11</v>
      </c>
      <c r="C709">
        <v>61</v>
      </c>
      <c r="D709" t="s">
        <v>38</v>
      </c>
      <c r="E709" t="s">
        <v>19</v>
      </c>
      <c r="F709" t="s">
        <v>30</v>
      </c>
      <c r="G709">
        <v>984840</v>
      </c>
      <c r="H709">
        <v>10.28</v>
      </c>
      <c r="I709">
        <v>19.760000000000002</v>
      </c>
      <c r="J709" s="1">
        <v>43154</v>
      </c>
      <c r="K709">
        <v>271</v>
      </c>
      <c r="L709">
        <v>5.4794520547945212E-4</v>
      </c>
      <c r="M709">
        <v>539.63835616438359</v>
      </c>
      <c r="N709">
        <v>146241.99452054795</v>
      </c>
    </row>
    <row r="710" spans="1:14" x14ac:dyDescent="0.25">
      <c r="A710" t="s">
        <v>1348</v>
      </c>
      <c r="B710" t="s">
        <v>11</v>
      </c>
      <c r="C710">
        <v>25</v>
      </c>
      <c r="D710" t="s">
        <v>28</v>
      </c>
      <c r="E710" t="s">
        <v>23</v>
      </c>
      <c r="F710" t="s">
        <v>20</v>
      </c>
      <c r="G710">
        <v>2399554</v>
      </c>
      <c r="H710">
        <v>27.39</v>
      </c>
      <c r="I710">
        <v>43.78</v>
      </c>
      <c r="J710" s="1">
        <v>44571</v>
      </c>
      <c r="K710">
        <v>303</v>
      </c>
      <c r="L710">
        <v>5.4794520547945212E-4</v>
      </c>
      <c r="M710">
        <v>1314.8241095890412</v>
      </c>
      <c r="N710">
        <v>398391.70520547946</v>
      </c>
    </row>
    <row r="711" spans="1:14" x14ac:dyDescent="0.25">
      <c r="A711" t="s">
        <v>1350</v>
      </c>
      <c r="B711" t="s">
        <v>11</v>
      </c>
      <c r="C711">
        <v>40</v>
      </c>
      <c r="D711" t="s">
        <v>12</v>
      </c>
      <c r="E711" t="s">
        <v>50</v>
      </c>
      <c r="F711" t="s">
        <v>30</v>
      </c>
      <c r="G711">
        <v>2374424</v>
      </c>
      <c r="H711">
        <v>22.52</v>
      </c>
      <c r="I711">
        <v>35.29</v>
      </c>
      <c r="J711" s="1">
        <v>43783</v>
      </c>
      <c r="K711">
        <v>185</v>
      </c>
      <c r="L711">
        <v>5.4794520547945212E-4</v>
      </c>
      <c r="M711">
        <v>1301.0542465753426</v>
      </c>
      <c r="N711">
        <v>240695.0356164384</v>
      </c>
    </row>
    <row r="712" spans="1:14" x14ac:dyDescent="0.25">
      <c r="A712" t="s">
        <v>1352</v>
      </c>
      <c r="B712" t="s">
        <v>11</v>
      </c>
      <c r="C712">
        <v>45</v>
      </c>
      <c r="D712" t="s">
        <v>28</v>
      </c>
      <c r="E712" t="s">
        <v>19</v>
      </c>
      <c r="F712" t="s">
        <v>41</v>
      </c>
      <c r="G712">
        <v>373328</v>
      </c>
      <c r="H712">
        <v>21.87</v>
      </c>
      <c r="I712">
        <v>-2.63</v>
      </c>
      <c r="J712" s="1">
        <v>45467</v>
      </c>
      <c r="K712">
        <v>199</v>
      </c>
      <c r="L712">
        <v>5.4794520547945212E-4</v>
      </c>
      <c r="M712">
        <v>204.5632876712329</v>
      </c>
      <c r="N712">
        <v>40708.094246575347</v>
      </c>
    </row>
    <row r="713" spans="1:14" x14ac:dyDescent="0.25">
      <c r="A713" t="s">
        <v>1354</v>
      </c>
      <c r="B713" t="s">
        <v>11</v>
      </c>
      <c r="C713">
        <v>32</v>
      </c>
      <c r="D713" t="s">
        <v>18</v>
      </c>
      <c r="E713" t="s">
        <v>50</v>
      </c>
      <c r="F713" t="s">
        <v>41</v>
      </c>
      <c r="G713">
        <v>3900272</v>
      </c>
      <c r="H713">
        <v>19.5</v>
      </c>
      <c r="I713">
        <v>21.86</v>
      </c>
      <c r="J713" s="1">
        <v>44605</v>
      </c>
      <c r="K713">
        <v>157</v>
      </c>
      <c r="L713">
        <v>5.4794520547945212E-4</v>
      </c>
      <c r="M713">
        <v>2137.1353424657536</v>
      </c>
      <c r="N713">
        <v>335530.24876712332</v>
      </c>
    </row>
    <row r="714" spans="1:14" x14ac:dyDescent="0.25">
      <c r="A714" t="s">
        <v>1356</v>
      </c>
      <c r="B714" t="s">
        <v>17</v>
      </c>
      <c r="C714">
        <v>49</v>
      </c>
      <c r="D714" t="s">
        <v>38</v>
      </c>
      <c r="E714" t="s">
        <v>57</v>
      </c>
      <c r="F714" t="s">
        <v>14</v>
      </c>
      <c r="G714">
        <v>3432511</v>
      </c>
      <c r="H714">
        <v>28.87</v>
      </c>
      <c r="I714">
        <v>16.09</v>
      </c>
      <c r="J714" s="1">
        <v>43321</v>
      </c>
      <c r="K714">
        <v>152</v>
      </c>
      <c r="L714">
        <v>5.4794520547945212E-4</v>
      </c>
      <c r="M714">
        <v>1880.8279452054796</v>
      </c>
      <c r="N714">
        <v>285885.84767123288</v>
      </c>
    </row>
    <row r="715" spans="1:14" x14ac:dyDescent="0.25">
      <c r="A715" t="s">
        <v>1358</v>
      </c>
      <c r="B715" t="s">
        <v>17</v>
      </c>
      <c r="C715">
        <v>22</v>
      </c>
      <c r="D715" t="s">
        <v>38</v>
      </c>
      <c r="E715" t="s">
        <v>57</v>
      </c>
      <c r="F715" t="s">
        <v>47</v>
      </c>
      <c r="G715">
        <v>2180825</v>
      </c>
      <c r="H715">
        <v>25.72</v>
      </c>
      <c r="I715">
        <v>8.81</v>
      </c>
      <c r="J715" s="1">
        <v>45096</v>
      </c>
      <c r="K715">
        <v>130</v>
      </c>
      <c r="L715">
        <v>5.4794520547945212E-4</v>
      </c>
      <c r="M715">
        <v>1194.9726027397262</v>
      </c>
      <c r="N715">
        <v>155346.43835616441</v>
      </c>
    </row>
    <row r="716" spans="1:14" x14ac:dyDescent="0.25">
      <c r="A716" t="s">
        <v>1360</v>
      </c>
      <c r="B716" t="s">
        <v>17</v>
      </c>
      <c r="C716">
        <v>23</v>
      </c>
      <c r="D716" t="s">
        <v>12</v>
      </c>
      <c r="E716" t="s">
        <v>50</v>
      </c>
      <c r="F716" t="s">
        <v>47</v>
      </c>
      <c r="G716">
        <v>4971000</v>
      </c>
      <c r="H716">
        <v>27.48</v>
      </c>
      <c r="I716">
        <v>44.1</v>
      </c>
      <c r="J716" s="1">
        <v>43341</v>
      </c>
      <c r="K716">
        <v>188</v>
      </c>
      <c r="L716">
        <v>5.4794520547945212E-4</v>
      </c>
      <c r="M716">
        <v>2723.8356164383563</v>
      </c>
      <c r="N716">
        <v>512081.095890411</v>
      </c>
    </row>
    <row r="717" spans="1:14" x14ac:dyDescent="0.25">
      <c r="A717" t="s">
        <v>1362</v>
      </c>
      <c r="B717" t="s">
        <v>11</v>
      </c>
      <c r="C717">
        <v>58</v>
      </c>
      <c r="D717" t="s">
        <v>28</v>
      </c>
      <c r="E717" t="s">
        <v>50</v>
      </c>
      <c r="F717" t="s">
        <v>47</v>
      </c>
      <c r="G717">
        <v>1714720</v>
      </c>
      <c r="H717">
        <v>11.54</v>
      </c>
      <c r="I717">
        <v>39.590000000000003</v>
      </c>
      <c r="J717" s="1">
        <v>45222</v>
      </c>
      <c r="K717">
        <v>344</v>
      </c>
      <c r="L717">
        <v>5.4794520547945212E-4</v>
      </c>
      <c r="M717">
        <v>939.57260273972611</v>
      </c>
      <c r="N717">
        <v>323212.9753424658</v>
      </c>
    </row>
    <row r="718" spans="1:14" x14ac:dyDescent="0.25">
      <c r="A718" t="s">
        <v>1363</v>
      </c>
      <c r="B718" t="s">
        <v>17</v>
      </c>
      <c r="C718">
        <v>38</v>
      </c>
      <c r="D718" t="s">
        <v>28</v>
      </c>
      <c r="E718" t="s">
        <v>57</v>
      </c>
      <c r="F718" t="s">
        <v>47</v>
      </c>
      <c r="G718">
        <v>687393</v>
      </c>
      <c r="H718">
        <v>23.74</v>
      </c>
      <c r="I718">
        <v>41.69</v>
      </c>
      <c r="J718" s="1">
        <v>43238</v>
      </c>
      <c r="K718">
        <v>139</v>
      </c>
      <c r="L718">
        <v>5.4794520547945212E-4</v>
      </c>
      <c r="M718">
        <v>376.65369863013706</v>
      </c>
      <c r="N718">
        <v>52354.864109589049</v>
      </c>
    </row>
    <row r="719" spans="1:14" x14ac:dyDescent="0.25">
      <c r="A719" t="s">
        <v>1365</v>
      </c>
      <c r="B719" t="s">
        <v>11</v>
      </c>
      <c r="C719">
        <v>32</v>
      </c>
      <c r="D719" t="s">
        <v>46</v>
      </c>
      <c r="E719" t="s">
        <v>57</v>
      </c>
      <c r="F719" t="s">
        <v>41</v>
      </c>
      <c r="G719">
        <v>280770</v>
      </c>
      <c r="H719">
        <v>30.09</v>
      </c>
      <c r="I719">
        <v>28.72</v>
      </c>
      <c r="J719" s="1">
        <v>43136</v>
      </c>
      <c r="K719">
        <v>262</v>
      </c>
      <c r="L719">
        <v>5.4794520547945212E-4</v>
      </c>
      <c r="M719">
        <v>153.84657534246577</v>
      </c>
      <c r="N719">
        <v>40307.80273972603</v>
      </c>
    </row>
    <row r="720" spans="1:14" x14ac:dyDescent="0.25">
      <c r="A720" t="s">
        <v>1367</v>
      </c>
      <c r="B720" t="s">
        <v>11</v>
      </c>
      <c r="C720">
        <v>24</v>
      </c>
      <c r="D720" t="s">
        <v>28</v>
      </c>
      <c r="E720" t="s">
        <v>57</v>
      </c>
      <c r="F720" t="s">
        <v>47</v>
      </c>
      <c r="G720">
        <v>3408817</v>
      </c>
      <c r="H720">
        <v>32.9</v>
      </c>
      <c r="I720">
        <v>17.260000000000002</v>
      </c>
      <c r="J720" s="1">
        <v>44936</v>
      </c>
      <c r="K720">
        <v>329</v>
      </c>
      <c r="L720">
        <v>5.4794520547945212E-4</v>
      </c>
      <c r="M720">
        <v>1867.8449315068497</v>
      </c>
      <c r="N720">
        <v>614520.98246575356</v>
      </c>
    </row>
    <row r="721" spans="1:14" x14ac:dyDescent="0.25">
      <c r="A721" t="s">
        <v>1368</v>
      </c>
      <c r="B721" t="s">
        <v>17</v>
      </c>
      <c r="C721">
        <v>29</v>
      </c>
      <c r="D721" t="s">
        <v>38</v>
      </c>
      <c r="E721" t="s">
        <v>13</v>
      </c>
      <c r="F721" t="s">
        <v>35</v>
      </c>
      <c r="G721">
        <v>220487</v>
      </c>
      <c r="H721">
        <v>26.9</v>
      </c>
      <c r="I721">
        <v>10.6</v>
      </c>
      <c r="J721" s="1">
        <v>44925</v>
      </c>
      <c r="K721">
        <v>131</v>
      </c>
      <c r="L721">
        <v>5.4794520547945212E-4</v>
      </c>
      <c r="M721">
        <v>120.81479452054796</v>
      </c>
      <c r="N721">
        <v>15826.738082191783</v>
      </c>
    </row>
    <row r="722" spans="1:14" x14ac:dyDescent="0.25">
      <c r="A722" t="s">
        <v>1370</v>
      </c>
      <c r="B722" t="s">
        <v>11</v>
      </c>
      <c r="C722">
        <v>36</v>
      </c>
      <c r="D722" t="s">
        <v>38</v>
      </c>
      <c r="E722" t="s">
        <v>13</v>
      </c>
      <c r="F722" t="s">
        <v>35</v>
      </c>
      <c r="G722">
        <v>4623231</v>
      </c>
      <c r="H722">
        <v>27.46</v>
      </c>
      <c r="I722">
        <v>17.79</v>
      </c>
      <c r="J722" s="1">
        <v>45473</v>
      </c>
      <c r="K722">
        <v>289</v>
      </c>
      <c r="L722">
        <v>5.4794520547945212E-4</v>
      </c>
      <c r="M722">
        <v>2533.2772602739728</v>
      </c>
      <c r="N722">
        <v>732117.12821917818</v>
      </c>
    </row>
    <row r="723" spans="1:14" x14ac:dyDescent="0.25">
      <c r="A723" t="s">
        <v>1372</v>
      </c>
      <c r="B723" t="s">
        <v>17</v>
      </c>
      <c r="C723">
        <v>25</v>
      </c>
      <c r="D723" t="s">
        <v>46</v>
      </c>
      <c r="E723" t="s">
        <v>19</v>
      </c>
      <c r="F723" t="s">
        <v>20</v>
      </c>
      <c r="G723">
        <v>1309422</v>
      </c>
      <c r="H723">
        <v>11.94</v>
      </c>
      <c r="I723">
        <v>13.54</v>
      </c>
      <c r="J723" s="1">
        <v>44831</v>
      </c>
      <c r="K723">
        <v>155</v>
      </c>
      <c r="L723">
        <v>5.4794520547945212E-4</v>
      </c>
      <c r="M723">
        <v>717.49150684931521</v>
      </c>
      <c r="N723">
        <v>111211.18356164386</v>
      </c>
    </row>
    <row r="724" spans="1:14" x14ac:dyDescent="0.25">
      <c r="A724" t="s">
        <v>1374</v>
      </c>
      <c r="B724" t="s">
        <v>17</v>
      </c>
      <c r="C724">
        <v>38</v>
      </c>
      <c r="D724" t="s">
        <v>28</v>
      </c>
      <c r="E724" t="s">
        <v>29</v>
      </c>
      <c r="F724" t="s">
        <v>47</v>
      </c>
      <c r="G724">
        <v>1290238</v>
      </c>
      <c r="H724">
        <v>8.5500000000000007</v>
      </c>
      <c r="I724">
        <v>21.61</v>
      </c>
      <c r="J724" s="1">
        <v>44462</v>
      </c>
      <c r="K724">
        <v>44</v>
      </c>
      <c r="L724">
        <v>5.4794520547945212E-4</v>
      </c>
      <c r="M724">
        <v>706.97972602739731</v>
      </c>
      <c r="N724">
        <v>31107.10794520548</v>
      </c>
    </row>
    <row r="725" spans="1:14" x14ac:dyDescent="0.25">
      <c r="A725" t="s">
        <v>1376</v>
      </c>
      <c r="B725" t="s">
        <v>17</v>
      </c>
      <c r="C725">
        <v>29</v>
      </c>
      <c r="D725" t="s">
        <v>38</v>
      </c>
      <c r="E725" t="s">
        <v>13</v>
      </c>
      <c r="F725" t="s">
        <v>35</v>
      </c>
      <c r="G725">
        <v>3506004</v>
      </c>
      <c r="H725">
        <v>33.47</v>
      </c>
      <c r="I725">
        <v>23.2</v>
      </c>
      <c r="J725" s="1">
        <v>45134</v>
      </c>
      <c r="K725">
        <v>225</v>
      </c>
      <c r="L725">
        <v>5.4794520547945212E-4</v>
      </c>
      <c r="M725">
        <v>1921.098082191781</v>
      </c>
      <c r="N725">
        <v>432247.06849315076</v>
      </c>
    </row>
    <row r="726" spans="1:14" x14ac:dyDescent="0.25">
      <c r="A726" t="s">
        <v>1378</v>
      </c>
      <c r="B726" t="s">
        <v>11</v>
      </c>
      <c r="C726">
        <v>42</v>
      </c>
      <c r="D726" t="s">
        <v>28</v>
      </c>
      <c r="E726" t="s">
        <v>13</v>
      </c>
      <c r="F726" t="s">
        <v>30</v>
      </c>
      <c r="G726">
        <v>4331268</v>
      </c>
      <c r="H726">
        <v>34.770000000000003</v>
      </c>
      <c r="I726">
        <v>17.21</v>
      </c>
      <c r="J726" s="1">
        <v>43291</v>
      </c>
      <c r="K726">
        <v>263</v>
      </c>
      <c r="L726">
        <v>5.4794520547945212E-4</v>
      </c>
      <c r="M726">
        <v>2373.2975342465757</v>
      </c>
      <c r="N726">
        <v>624177.25150684942</v>
      </c>
    </row>
    <row r="727" spans="1:14" x14ac:dyDescent="0.25">
      <c r="A727" t="s">
        <v>1379</v>
      </c>
      <c r="B727" t="s">
        <v>11</v>
      </c>
      <c r="C727">
        <v>62</v>
      </c>
      <c r="D727" t="s">
        <v>12</v>
      </c>
      <c r="E727" t="s">
        <v>19</v>
      </c>
      <c r="F727" t="s">
        <v>30</v>
      </c>
      <c r="G727">
        <v>1124107</v>
      </c>
      <c r="H727">
        <v>16.329999999999998</v>
      </c>
      <c r="I727">
        <v>32.14</v>
      </c>
      <c r="J727" s="1">
        <v>44494</v>
      </c>
      <c r="K727">
        <v>148</v>
      </c>
      <c r="L727">
        <v>5.4794520547945212E-4</v>
      </c>
      <c r="M727">
        <v>615.94904109589049</v>
      </c>
      <c r="N727">
        <v>91160.458082191792</v>
      </c>
    </row>
    <row r="728" spans="1:14" x14ac:dyDescent="0.25">
      <c r="A728" t="s">
        <v>1380</v>
      </c>
      <c r="B728" t="s">
        <v>11</v>
      </c>
      <c r="C728">
        <v>49</v>
      </c>
      <c r="D728" t="s">
        <v>28</v>
      </c>
      <c r="E728" t="s">
        <v>50</v>
      </c>
      <c r="F728" t="s">
        <v>41</v>
      </c>
      <c r="G728">
        <v>3724564</v>
      </c>
      <c r="H728">
        <v>21.53</v>
      </c>
      <c r="I728">
        <v>3.52</v>
      </c>
      <c r="J728" s="1">
        <v>44499</v>
      </c>
      <c r="K728">
        <v>171</v>
      </c>
      <c r="L728">
        <v>5.4794520547945212E-4</v>
      </c>
      <c r="M728">
        <v>2040.8569863013702</v>
      </c>
      <c r="N728">
        <v>348986.54465753428</v>
      </c>
    </row>
    <row r="729" spans="1:14" x14ac:dyDescent="0.25">
      <c r="A729" t="s">
        <v>1382</v>
      </c>
      <c r="B729" t="s">
        <v>11</v>
      </c>
      <c r="C729">
        <v>52</v>
      </c>
      <c r="D729" t="s">
        <v>46</v>
      </c>
      <c r="E729" t="s">
        <v>50</v>
      </c>
      <c r="F729" t="s">
        <v>14</v>
      </c>
      <c r="G729">
        <v>322496</v>
      </c>
      <c r="H729">
        <v>18.760000000000002</v>
      </c>
      <c r="I729">
        <v>27.81</v>
      </c>
      <c r="J729" s="1">
        <v>43540</v>
      </c>
      <c r="K729">
        <v>135</v>
      </c>
      <c r="L729">
        <v>5.4794520547945212E-4</v>
      </c>
      <c r="M729">
        <v>176.71013698630139</v>
      </c>
      <c r="N729">
        <v>23855.868493150687</v>
      </c>
    </row>
    <row r="730" spans="1:14" x14ac:dyDescent="0.25">
      <c r="A730" t="s">
        <v>1384</v>
      </c>
      <c r="B730" t="s">
        <v>11</v>
      </c>
      <c r="C730">
        <v>46</v>
      </c>
      <c r="D730" t="s">
        <v>46</v>
      </c>
      <c r="E730" t="s">
        <v>57</v>
      </c>
      <c r="F730" t="s">
        <v>41</v>
      </c>
      <c r="G730">
        <v>1052970</v>
      </c>
      <c r="H730">
        <v>28.17</v>
      </c>
      <c r="I730">
        <v>15.62</v>
      </c>
      <c r="J730" s="1">
        <v>44603</v>
      </c>
      <c r="K730">
        <v>294</v>
      </c>
      <c r="L730">
        <v>5.4794520547945212E-4</v>
      </c>
      <c r="M730">
        <v>576.96986301369873</v>
      </c>
      <c r="N730">
        <v>169629.13972602744</v>
      </c>
    </row>
    <row r="731" spans="1:14" x14ac:dyDescent="0.25">
      <c r="A731" t="s">
        <v>1386</v>
      </c>
      <c r="B731" t="s">
        <v>17</v>
      </c>
      <c r="C731">
        <v>43</v>
      </c>
      <c r="D731" t="s">
        <v>46</v>
      </c>
      <c r="E731" t="s">
        <v>50</v>
      </c>
      <c r="F731" t="s">
        <v>20</v>
      </c>
      <c r="G731">
        <v>4071943</v>
      </c>
      <c r="H731">
        <v>29.97</v>
      </c>
      <c r="I731">
        <v>9.7100000000000009</v>
      </c>
      <c r="J731" s="1">
        <v>44352</v>
      </c>
      <c r="K731">
        <v>208</v>
      </c>
      <c r="L731">
        <v>5.4794520547945212E-4</v>
      </c>
      <c r="M731">
        <v>2231.2016438356168</v>
      </c>
      <c r="N731">
        <v>464089.94191780826</v>
      </c>
    </row>
    <row r="732" spans="1:14" x14ac:dyDescent="0.25">
      <c r="A732" t="s">
        <v>1388</v>
      </c>
      <c r="B732" t="s">
        <v>11</v>
      </c>
      <c r="C732">
        <v>47</v>
      </c>
      <c r="D732" t="s">
        <v>12</v>
      </c>
      <c r="E732" t="s">
        <v>13</v>
      </c>
      <c r="F732" t="s">
        <v>30</v>
      </c>
      <c r="G732">
        <v>2649219</v>
      </c>
      <c r="H732">
        <v>29.02</v>
      </c>
      <c r="I732">
        <v>42.89</v>
      </c>
      <c r="J732" s="1">
        <v>44476</v>
      </c>
      <c r="K732">
        <v>188</v>
      </c>
      <c r="L732">
        <v>5.4794520547945212E-4</v>
      </c>
      <c r="M732">
        <v>1451.6268493150687</v>
      </c>
      <c r="N732">
        <v>272905.84767123294</v>
      </c>
    </row>
    <row r="733" spans="1:14" x14ac:dyDescent="0.25">
      <c r="A733" t="s">
        <v>1389</v>
      </c>
      <c r="B733" t="s">
        <v>17</v>
      </c>
      <c r="C733">
        <v>49</v>
      </c>
      <c r="D733" t="s">
        <v>12</v>
      </c>
      <c r="E733" t="s">
        <v>29</v>
      </c>
      <c r="F733" t="s">
        <v>14</v>
      </c>
      <c r="G733">
        <v>829757</v>
      </c>
      <c r="H733">
        <v>25.21</v>
      </c>
      <c r="I733">
        <v>4.79</v>
      </c>
      <c r="J733" s="1">
        <v>43350</v>
      </c>
      <c r="K733">
        <v>302</v>
      </c>
      <c r="L733">
        <v>5.4794520547945212E-4</v>
      </c>
      <c r="M733">
        <v>454.66136986301376</v>
      </c>
      <c r="N733">
        <v>137307.73369863015</v>
      </c>
    </row>
    <row r="734" spans="1:14" x14ac:dyDescent="0.25">
      <c r="A734" t="s">
        <v>1390</v>
      </c>
      <c r="B734" t="s">
        <v>17</v>
      </c>
      <c r="C734">
        <v>51</v>
      </c>
      <c r="D734" t="s">
        <v>28</v>
      </c>
      <c r="E734" t="s">
        <v>57</v>
      </c>
      <c r="F734" t="s">
        <v>14</v>
      </c>
      <c r="G734">
        <v>3041634</v>
      </c>
      <c r="H734">
        <v>17.350000000000001</v>
      </c>
      <c r="I734">
        <v>29.18</v>
      </c>
      <c r="J734" s="1">
        <v>44962</v>
      </c>
      <c r="K734">
        <v>121</v>
      </c>
      <c r="L734">
        <v>5.4794520547945212E-4</v>
      </c>
      <c r="M734">
        <v>1666.6487671232878</v>
      </c>
      <c r="N734">
        <v>201664.50082191781</v>
      </c>
    </row>
    <row r="735" spans="1:14" x14ac:dyDescent="0.25">
      <c r="A735" t="s">
        <v>1392</v>
      </c>
      <c r="B735" t="s">
        <v>11</v>
      </c>
      <c r="C735">
        <v>42</v>
      </c>
      <c r="D735" t="s">
        <v>28</v>
      </c>
      <c r="E735" t="s">
        <v>50</v>
      </c>
      <c r="F735" t="s">
        <v>14</v>
      </c>
      <c r="G735">
        <v>595959</v>
      </c>
      <c r="H735">
        <v>16.89</v>
      </c>
      <c r="I735">
        <v>11.29</v>
      </c>
      <c r="J735" s="1">
        <v>44447</v>
      </c>
      <c r="K735">
        <v>133</v>
      </c>
      <c r="L735">
        <v>5.4794520547945212E-4</v>
      </c>
      <c r="M735">
        <v>326.55287671232878</v>
      </c>
      <c r="N735">
        <v>43431.532602739731</v>
      </c>
    </row>
    <row r="736" spans="1:14" x14ac:dyDescent="0.25">
      <c r="A736" t="s">
        <v>1394</v>
      </c>
      <c r="B736" t="s">
        <v>11</v>
      </c>
      <c r="C736">
        <v>26</v>
      </c>
      <c r="D736" t="s">
        <v>38</v>
      </c>
      <c r="E736" t="s">
        <v>19</v>
      </c>
      <c r="F736" t="s">
        <v>20</v>
      </c>
      <c r="G736">
        <v>3947200</v>
      </c>
      <c r="H736">
        <v>13.82</v>
      </c>
      <c r="I736">
        <v>31.57</v>
      </c>
      <c r="J736" s="1">
        <v>43807</v>
      </c>
      <c r="K736">
        <v>115</v>
      </c>
      <c r="L736">
        <v>5.4794520547945212E-4</v>
      </c>
      <c r="M736">
        <v>2162.8493150684935</v>
      </c>
      <c r="N736">
        <v>248727.67123287675</v>
      </c>
    </row>
    <row r="737" spans="1:14" x14ac:dyDescent="0.25">
      <c r="A737" t="s">
        <v>1396</v>
      </c>
      <c r="B737" t="s">
        <v>17</v>
      </c>
      <c r="C737">
        <v>56</v>
      </c>
      <c r="D737" t="s">
        <v>38</v>
      </c>
      <c r="E737" t="s">
        <v>13</v>
      </c>
      <c r="F737" t="s">
        <v>35</v>
      </c>
      <c r="G737">
        <v>1491429</v>
      </c>
      <c r="H737">
        <v>24.75</v>
      </c>
      <c r="I737">
        <v>21.5</v>
      </c>
      <c r="J737" s="1">
        <v>43173</v>
      </c>
      <c r="K737">
        <v>15</v>
      </c>
      <c r="L737">
        <v>5.4794520547945212E-4</v>
      </c>
      <c r="M737">
        <v>817.22136986301382</v>
      </c>
      <c r="N737">
        <v>12258.320547945208</v>
      </c>
    </row>
    <row r="738" spans="1:14" x14ac:dyDescent="0.25">
      <c r="A738" t="s">
        <v>1398</v>
      </c>
      <c r="B738" t="s">
        <v>11</v>
      </c>
      <c r="C738">
        <v>63</v>
      </c>
      <c r="D738" t="s">
        <v>28</v>
      </c>
      <c r="E738" t="s">
        <v>57</v>
      </c>
      <c r="F738" t="s">
        <v>14</v>
      </c>
      <c r="G738">
        <v>1415363</v>
      </c>
      <c r="H738">
        <v>19.78</v>
      </c>
      <c r="I738">
        <v>6.71</v>
      </c>
      <c r="J738" s="1">
        <v>44211</v>
      </c>
      <c r="K738">
        <v>68</v>
      </c>
      <c r="L738">
        <v>5.4794520547945212E-4</v>
      </c>
      <c r="M738">
        <v>775.54136986301376</v>
      </c>
      <c r="N738">
        <v>52736.813150684939</v>
      </c>
    </row>
    <row r="739" spans="1:14" x14ac:dyDescent="0.25">
      <c r="A739" t="s">
        <v>1399</v>
      </c>
      <c r="B739" t="s">
        <v>11</v>
      </c>
      <c r="C739">
        <v>41</v>
      </c>
      <c r="D739" t="s">
        <v>38</v>
      </c>
      <c r="E739" t="s">
        <v>23</v>
      </c>
      <c r="F739" t="s">
        <v>30</v>
      </c>
      <c r="G739">
        <v>1856954</v>
      </c>
      <c r="H739">
        <v>23.18</v>
      </c>
      <c r="I739">
        <v>-8.5399999999999991</v>
      </c>
      <c r="J739" s="1">
        <v>43167</v>
      </c>
      <c r="K739">
        <v>355</v>
      </c>
      <c r="L739">
        <v>5.4794520547945212E-4</v>
      </c>
      <c r="M739">
        <v>1017.5090410958906</v>
      </c>
      <c r="N739">
        <v>361215.70958904113</v>
      </c>
    </row>
    <row r="740" spans="1:14" x14ac:dyDescent="0.25">
      <c r="A740" t="s">
        <v>1400</v>
      </c>
      <c r="B740" t="s">
        <v>11</v>
      </c>
      <c r="C740">
        <v>37</v>
      </c>
      <c r="D740" t="s">
        <v>38</v>
      </c>
      <c r="E740" t="s">
        <v>19</v>
      </c>
      <c r="F740" t="s">
        <v>30</v>
      </c>
      <c r="G740">
        <v>4455611</v>
      </c>
      <c r="H740">
        <v>21.17</v>
      </c>
      <c r="I740">
        <v>13.28</v>
      </c>
      <c r="J740" s="1">
        <v>43587</v>
      </c>
      <c r="K740">
        <v>114</v>
      </c>
      <c r="L740">
        <v>5.4794520547945212E-4</v>
      </c>
      <c r="M740">
        <v>2441.4306849315071</v>
      </c>
      <c r="N740">
        <v>278323.09808219183</v>
      </c>
    </row>
    <row r="741" spans="1:14" x14ac:dyDescent="0.25">
      <c r="A741" t="s">
        <v>1402</v>
      </c>
      <c r="B741" t="s">
        <v>11</v>
      </c>
      <c r="C741">
        <v>58</v>
      </c>
      <c r="D741" t="s">
        <v>46</v>
      </c>
      <c r="E741" t="s">
        <v>57</v>
      </c>
      <c r="F741" t="s">
        <v>35</v>
      </c>
      <c r="G741">
        <v>4627987</v>
      </c>
      <c r="H741">
        <v>14.38</v>
      </c>
      <c r="I741">
        <v>30.84</v>
      </c>
      <c r="J741" s="1">
        <v>44499</v>
      </c>
      <c r="K741">
        <v>33</v>
      </c>
      <c r="L741">
        <v>5.4794520547945212E-4</v>
      </c>
      <c r="M741">
        <v>2535.8832876712331</v>
      </c>
      <c r="N741">
        <v>83684.148493150686</v>
      </c>
    </row>
    <row r="742" spans="1:14" x14ac:dyDescent="0.25">
      <c r="A742" t="s">
        <v>1403</v>
      </c>
      <c r="B742" t="s">
        <v>17</v>
      </c>
      <c r="C742">
        <v>27</v>
      </c>
      <c r="D742" t="s">
        <v>28</v>
      </c>
      <c r="E742" t="s">
        <v>23</v>
      </c>
      <c r="F742" t="s">
        <v>35</v>
      </c>
      <c r="G742">
        <v>2740355</v>
      </c>
      <c r="H742">
        <v>30.95</v>
      </c>
      <c r="I742">
        <v>-0.61</v>
      </c>
      <c r="J742" s="1">
        <v>44360</v>
      </c>
      <c r="K742">
        <v>266</v>
      </c>
      <c r="L742">
        <v>5.4794520547945212E-4</v>
      </c>
      <c r="M742">
        <v>1501.564383561644</v>
      </c>
      <c r="N742">
        <v>399416.12602739729</v>
      </c>
    </row>
    <row r="743" spans="1:14" x14ac:dyDescent="0.25">
      <c r="A743" t="s">
        <v>1405</v>
      </c>
      <c r="B743" t="s">
        <v>17</v>
      </c>
      <c r="C743">
        <v>35</v>
      </c>
      <c r="D743" t="s">
        <v>18</v>
      </c>
      <c r="E743" t="s">
        <v>57</v>
      </c>
      <c r="F743" t="s">
        <v>41</v>
      </c>
      <c r="G743">
        <v>2189186</v>
      </c>
      <c r="H743">
        <v>24.82</v>
      </c>
      <c r="I743">
        <v>23.8</v>
      </c>
      <c r="J743" s="1">
        <v>45179</v>
      </c>
      <c r="K743">
        <v>30</v>
      </c>
      <c r="L743">
        <v>5.4794520547945212E-4</v>
      </c>
      <c r="M743">
        <v>1199.5539726027398</v>
      </c>
      <c r="N743">
        <v>35986.619178082197</v>
      </c>
    </row>
    <row r="744" spans="1:14" x14ac:dyDescent="0.25">
      <c r="A744" t="s">
        <v>1407</v>
      </c>
      <c r="B744" t="s">
        <v>11</v>
      </c>
      <c r="C744">
        <v>31</v>
      </c>
      <c r="D744" t="s">
        <v>46</v>
      </c>
      <c r="E744" t="s">
        <v>50</v>
      </c>
      <c r="F744" t="s">
        <v>14</v>
      </c>
      <c r="G744">
        <v>3658738</v>
      </c>
      <c r="H744">
        <v>6.4</v>
      </c>
      <c r="I744">
        <v>21.78</v>
      </c>
      <c r="J744" s="1">
        <v>45272</v>
      </c>
      <c r="K744">
        <v>37</v>
      </c>
      <c r="L744">
        <v>5.4794520547945212E-4</v>
      </c>
      <c r="M744">
        <v>2004.7879452054797</v>
      </c>
      <c r="N744">
        <v>74177.153972602755</v>
      </c>
    </row>
    <row r="745" spans="1:14" x14ac:dyDescent="0.25">
      <c r="A745" t="s">
        <v>1409</v>
      </c>
      <c r="B745" t="s">
        <v>11</v>
      </c>
      <c r="C745">
        <v>28</v>
      </c>
      <c r="D745" t="s">
        <v>38</v>
      </c>
      <c r="E745" t="s">
        <v>50</v>
      </c>
      <c r="F745" t="s">
        <v>20</v>
      </c>
      <c r="G745">
        <v>3382437</v>
      </c>
      <c r="H745">
        <v>8.64</v>
      </c>
      <c r="I745">
        <v>24.06</v>
      </c>
      <c r="J745" s="1">
        <v>44890</v>
      </c>
      <c r="K745">
        <v>131</v>
      </c>
      <c r="L745">
        <v>5.4794520547945212E-4</v>
      </c>
      <c r="M745">
        <v>1853.3901369863015</v>
      </c>
      <c r="N745">
        <v>242794.1079452055</v>
      </c>
    </row>
    <row r="746" spans="1:14" x14ac:dyDescent="0.25">
      <c r="A746" t="s">
        <v>1411</v>
      </c>
      <c r="B746" t="s">
        <v>11</v>
      </c>
      <c r="C746">
        <v>54</v>
      </c>
      <c r="D746" t="s">
        <v>12</v>
      </c>
      <c r="E746" t="s">
        <v>57</v>
      </c>
      <c r="F746" t="s">
        <v>35</v>
      </c>
      <c r="G746">
        <v>3524546</v>
      </c>
      <c r="H746">
        <v>33.57</v>
      </c>
      <c r="I746">
        <v>5.82</v>
      </c>
      <c r="J746" s="1">
        <v>45590</v>
      </c>
      <c r="K746">
        <v>218</v>
      </c>
      <c r="L746">
        <v>5.4794520547945212E-4</v>
      </c>
      <c r="M746">
        <v>1931.2580821917811</v>
      </c>
      <c r="N746">
        <v>421014.26191780827</v>
      </c>
    </row>
    <row r="747" spans="1:14" x14ac:dyDescent="0.25">
      <c r="A747" t="s">
        <v>1413</v>
      </c>
      <c r="B747" t="s">
        <v>11</v>
      </c>
      <c r="C747">
        <v>23</v>
      </c>
      <c r="D747" t="s">
        <v>18</v>
      </c>
      <c r="E747" t="s">
        <v>13</v>
      </c>
      <c r="F747" t="s">
        <v>35</v>
      </c>
      <c r="G747">
        <v>825656</v>
      </c>
      <c r="H747">
        <v>8.02</v>
      </c>
      <c r="I747">
        <v>24.81</v>
      </c>
      <c r="J747" s="1">
        <v>43578</v>
      </c>
      <c r="K747">
        <v>135</v>
      </c>
      <c r="L747">
        <v>5.4794520547945212E-4</v>
      </c>
      <c r="M747">
        <v>452.41424657534253</v>
      </c>
      <c r="N747">
        <v>61075.923287671241</v>
      </c>
    </row>
    <row r="748" spans="1:14" x14ac:dyDescent="0.25">
      <c r="A748" t="s">
        <v>1414</v>
      </c>
      <c r="B748" t="s">
        <v>17</v>
      </c>
      <c r="C748">
        <v>30</v>
      </c>
      <c r="D748" t="s">
        <v>38</v>
      </c>
      <c r="E748" t="s">
        <v>13</v>
      </c>
      <c r="F748" t="s">
        <v>20</v>
      </c>
      <c r="G748">
        <v>55103</v>
      </c>
      <c r="H748">
        <v>33.99</v>
      </c>
      <c r="I748">
        <v>2.98</v>
      </c>
      <c r="J748" s="1">
        <v>44147</v>
      </c>
      <c r="K748">
        <v>286</v>
      </c>
      <c r="L748">
        <v>5.4794520547945212E-4</v>
      </c>
      <c r="M748">
        <v>30.193424657534251</v>
      </c>
      <c r="N748">
        <v>8635.319452054795</v>
      </c>
    </row>
    <row r="749" spans="1:14" x14ac:dyDescent="0.25">
      <c r="A749" t="s">
        <v>1416</v>
      </c>
      <c r="B749" t="s">
        <v>17</v>
      </c>
      <c r="C749">
        <v>63</v>
      </c>
      <c r="D749" t="s">
        <v>28</v>
      </c>
      <c r="E749" t="s">
        <v>13</v>
      </c>
      <c r="F749" t="s">
        <v>35</v>
      </c>
      <c r="G749">
        <v>2200034</v>
      </c>
      <c r="H749">
        <v>27.55</v>
      </c>
      <c r="I749">
        <v>38.369999999999997</v>
      </c>
      <c r="J749" s="1">
        <v>44191</v>
      </c>
      <c r="K749">
        <v>220</v>
      </c>
      <c r="L749">
        <v>5.4794520547945212E-4</v>
      </c>
      <c r="M749">
        <v>1205.4980821917809</v>
      </c>
      <c r="N749">
        <v>265209.57808219182</v>
      </c>
    </row>
    <row r="750" spans="1:14" x14ac:dyDescent="0.25">
      <c r="A750" t="s">
        <v>1418</v>
      </c>
      <c r="B750" t="s">
        <v>17</v>
      </c>
      <c r="C750">
        <v>43</v>
      </c>
      <c r="D750" t="s">
        <v>46</v>
      </c>
      <c r="E750" t="s">
        <v>50</v>
      </c>
      <c r="F750" t="s">
        <v>35</v>
      </c>
      <c r="G750">
        <v>103377</v>
      </c>
      <c r="H750">
        <v>23.26</v>
      </c>
      <c r="I750">
        <v>40.21</v>
      </c>
      <c r="J750" s="1">
        <v>45418</v>
      </c>
      <c r="K750">
        <v>259</v>
      </c>
      <c r="L750">
        <v>5.4794520547945212E-4</v>
      </c>
      <c r="M750">
        <v>56.644931506849325</v>
      </c>
      <c r="N750">
        <v>14671.037260273975</v>
      </c>
    </row>
    <row r="751" spans="1:14" x14ac:dyDescent="0.25">
      <c r="A751" t="s">
        <v>1419</v>
      </c>
      <c r="B751" t="s">
        <v>11</v>
      </c>
      <c r="C751">
        <v>30</v>
      </c>
      <c r="D751" t="s">
        <v>38</v>
      </c>
      <c r="E751" t="s">
        <v>13</v>
      </c>
      <c r="F751" t="s">
        <v>47</v>
      </c>
      <c r="G751">
        <v>3552187</v>
      </c>
      <c r="H751">
        <v>26.36</v>
      </c>
      <c r="I751">
        <v>23.61</v>
      </c>
      <c r="J751" s="1">
        <v>44097</v>
      </c>
      <c r="K751">
        <v>26</v>
      </c>
      <c r="L751">
        <v>5.4794520547945212E-4</v>
      </c>
      <c r="M751">
        <v>1946.4038356164385</v>
      </c>
      <c r="N751">
        <v>50606.499726027403</v>
      </c>
    </row>
    <row r="752" spans="1:14" x14ac:dyDescent="0.25">
      <c r="A752" t="s">
        <v>1421</v>
      </c>
      <c r="B752" t="s">
        <v>17</v>
      </c>
      <c r="C752">
        <v>26</v>
      </c>
      <c r="D752" t="s">
        <v>18</v>
      </c>
      <c r="E752" t="s">
        <v>13</v>
      </c>
      <c r="F752" t="s">
        <v>35</v>
      </c>
      <c r="G752">
        <v>1061564</v>
      </c>
      <c r="H752">
        <v>17.3</v>
      </c>
      <c r="I752">
        <v>0.26</v>
      </c>
      <c r="J752" s="1">
        <v>43674</v>
      </c>
      <c r="K752">
        <v>211</v>
      </c>
      <c r="L752">
        <v>5.4794520547945212E-4</v>
      </c>
      <c r="M752">
        <v>581.6789041095891</v>
      </c>
      <c r="N752">
        <v>122734.2487671233</v>
      </c>
    </row>
    <row r="753" spans="1:14" x14ac:dyDescent="0.25">
      <c r="A753" t="s">
        <v>1423</v>
      </c>
      <c r="B753" t="s">
        <v>17</v>
      </c>
      <c r="C753">
        <v>61</v>
      </c>
      <c r="D753" t="s">
        <v>46</v>
      </c>
      <c r="E753" t="s">
        <v>29</v>
      </c>
      <c r="F753" t="s">
        <v>35</v>
      </c>
      <c r="G753">
        <v>1469805</v>
      </c>
      <c r="H753">
        <v>13.06</v>
      </c>
      <c r="I753">
        <v>18.52</v>
      </c>
      <c r="J753" s="1">
        <v>43119</v>
      </c>
      <c r="K753">
        <v>120</v>
      </c>
      <c r="L753">
        <v>5.4794520547945212E-4</v>
      </c>
      <c r="M753">
        <v>805.37260273972618</v>
      </c>
      <c r="N753">
        <v>96644.712328767142</v>
      </c>
    </row>
    <row r="754" spans="1:14" x14ac:dyDescent="0.25">
      <c r="A754" t="s">
        <v>1424</v>
      </c>
      <c r="B754" t="s">
        <v>17</v>
      </c>
      <c r="C754">
        <v>22</v>
      </c>
      <c r="D754" t="s">
        <v>38</v>
      </c>
      <c r="E754" t="s">
        <v>50</v>
      </c>
      <c r="F754" t="s">
        <v>20</v>
      </c>
      <c r="G754">
        <v>2918307</v>
      </c>
      <c r="H754">
        <v>31.61</v>
      </c>
      <c r="I754">
        <v>8.2100000000000009</v>
      </c>
      <c r="J754" s="1">
        <v>44427</v>
      </c>
      <c r="K754">
        <v>299</v>
      </c>
      <c r="L754">
        <v>5.4794520547945212E-4</v>
      </c>
      <c r="M754">
        <v>1599.0723287671235</v>
      </c>
      <c r="N754">
        <v>478122.62630136992</v>
      </c>
    </row>
    <row r="755" spans="1:14" x14ac:dyDescent="0.25">
      <c r="A755" t="s">
        <v>1426</v>
      </c>
      <c r="B755" t="s">
        <v>11</v>
      </c>
      <c r="C755">
        <v>22</v>
      </c>
      <c r="D755" t="s">
        <v>28</v>
      </c>
      <c r="E755" t="s">
        <v>19</v>
      </c>
      <c r="F755" t="s">
        <v>47</v>
      </c>
      <c r="G755">
        <v>3491151</v>
      </c>
      <c r="H755">
        <v>19.43</v>
      </c>
      <c r="I755">
        <v>42.1</v>
      </c>
      <c r="J755" s="1">
        <v>43144</v>
      </c>
      <c r="K755">
        <v>46</v>
      </c>
      <c r="L755">
        <v>5.4794520547945212E-4</v>
      </c>
      <c r="M755">
        <v>1912.9594520547948</v>
      </c>
      <c r="N755">
        <v>87996.134794520563</v>
      </c>
    </row>
    <row r="756" spans="1:14" x14ac:dyDescent="0.25">
      <c r="A756" t="s">
        <v>1428</v>
      </c>
      <c r="B756" t="s">
        <v>17</v>
      </c>
      <c r="C756">
        <v>51</v>
      </c>
      <c r="D756" t="s">
        <v>12</v>
      </c>
      <c r="E756" t="s">
        <v>57</v>
      </c>
      <c r="F756" t="s">
        <v>14</v>
      </c>
      <c r="G756">
        <v>939414</v>
      </c>
      <c r="H756">
        <v>16.38</v>
      </c>
      <c r="I756">
        <v>-5.66</v>
      </c>
      <c r="J756" s="1">
        <v>44204</v>
      </c>
      <c r="K756">
        <v>280</v>
      </c>
      <c r="L756">
        <v>5.4794520547945212E-4</v>
      </c>
      <c r="M756">
        <v>514.74739726027406</v>
      </c>
      <c r="N756">
        <v>144129.27123287672</v>
      </c>
    </row>
    <row r="757" spans="1:14" x14ac:dyDescent="0.25">
      <c r="A757" t="s">
        <v>1430</v>
      </c>
      <c r="B757" t="s">
        <v>11</v>
      </c>
      <c r="C757">
        <v>64</v>
      </c>
      <c r="D757" t="s">
        <v>46</v>
      </c>
      <c r="E757" t="s">
        <v>23</v>
      </c>
      <c r="F757" t="s">
        <v>47</v>
      </c>
      <c r="G757">
        <v>1540792</v>
      </c>
      <c r="H757">
        <v>23.77</v>
      </c>
      <c r="I757">
        <v>29.36</v>
      </c>
      <c r="J757" s="1">
        <v>43900</v>
      </c>
      <c r="K757">
        <v>52</v>
      </c>
      <c r="L757">
        <v>5.4794520547945212E-4</v>
      </c>
      <c r="M757">
        <v>844.26958904109597</v>
      </c>
      <c r="N757">
        <v>43902.01863013699</v>
      </c>
    </row>
    <row r="758" spans="1:14" x14ac:dyDescent="0.25">
      <c r="A758" t="s">
        <v>1432</v>
      </c>
      <c r="B758" t="s">
        <v>11</v>
      </c>
      <c r="C758">
        <v>37</v>
      </c>
      <c r="D758" t="s">
        <v>28</v>
      </c>
      <c r="E758" t="s">
        <v>57</v>
      </c>
      <c r="F758" t="s">
        <v>20</v>
      </c>
      <c r="G758">
        <v>1694202</v>
      </c>
      <c r="H758">
        <v>21.93</v>
      </c>
      <c r="I758">
        <v>-0.09</v>
      </c>
      <c r="J758" s="1">
        <v>44428</v>
      </c>
      <c r="K758">
        <v>22</v>
      </c>
      <c r="L758">
        <v>5.4794520547945212E-4</v>
      </c>
      <c r="M758">
        <v>928.32986301369874</v>
      </c>
      <c r="N758">
        <v>20423.25698630137</v>
      </c>
    </row>
    <row r="759" spans="1:14" x14ac:dyDescent="0.25">
      <c r="A759" t="s">
        <v>1434</v>
      </c>
      <c r="B759" t="s">
        <v>17</v>
      </c>
      <c r="C759">
        <v>43</v>
      </c>
      <c r="D759" t="s">
        <v>12</v>
      </c>
      <c r="E759" t="s">
        <v>29</v>
      </c>
      <c r="F759" t="s">
        <v>47</v>
      </c>
      <c r="G759">
        <v>642476</v>
      </c>
      <c r="H759">
        <v>27.27</v>
      </c>
      <c r="I759">
        <v>20.9</v>
      </c>
      <c r="J759" s="1">
        <v>44386</v>
      </c>
      <c r="K759">
        <v>109</v>
      </c>
      <c r="L759">
        <v>5.4794520547945212E-4</v>
      </c>
      <c r="M759">
        <v>352.04164383561647</v>
      </c>
      <c r="N759">
        <v>38372.539178082196</v>
      </c>
    </row>
    <row r="760" spans="1:14" x14ac:dyDescent="0.25">
      <c r="A760" t="s">
        <v>1436</v>
      </c>
      <c r="B760" t="s">
        <v>11</v>
      </c>
      <c r="C760">
        <v>61</v>
      </c>
      <c r="D760" t="s">
        <v>46</v>
      </c>
      <c r="E760" t="s">
        <v>57</v>
      </c>
      <c r="F760" t="s">
        <v>20</v>
      </c>
      <c r="G760">
        <v>4094784</v>
      </c>
      <c r="H760">
        <v>23.74</v>
      </c>
      <c r="I760">
        <v>32.75</v>
      </c>
      <c r="J760" s="1">
        <v>44167</v>
      </c>
      <c r="K760">
        <v>115</v>
      </c>
      <c r="L760">
        <v>5.4794520547945212E-4</v>
      </c>
      <c r="M760">
        <v>2243.7172602739729</v>
      </c>
      <c r="N760">
        <v>258027.48493150689</v>
      </c>
    </row>
    <row r="761" spans="1:14" x14ac:dyDescent="0.25">
      <c r="A761" t="s">
        <v>1437</v>
      </c>
      <c r="B761" t="s">
        <v>17</v>
      </c>
      <c r="C761">
        <v>37</v>
      </c>
      <c r="D761" t="s">
        <v>12</v>
      </c>
      <c r="E761" t="s">
        <v>19</v>
      </c>
      <c r="F761" t="s">
        <v>47</v>
      </c>
      <c r="G761">
        <v>3437388</v>
      </c>
      <c r="H761">
        <v>32.549999999999997</v>
      </c>
      <c r="I761">
        <v>2.69</v>
      </c>
      <c r="J761" s="1">
        <v>45327</v>
      </c>
      <c r="K761">
        <v>330</v>
      </c>
      <c r="L761">
        <v>5.4794520547945212E-4</v>
      </c>
      <c r="M761">
        <v>1883.5002739726031</v>
      </c>
      <c r="N761">
        <v>621555.09041095898</v>
      </c>
    </row>
    <row r="762" spans="1:14" x14ac:dyDescent="0.25">
      <c r="A762" t="s">
        <v>1439</v>
      </c>
      <c r="B762" t="s">
        <v>17</v>
      </c>
      <c r="C762">
        <v>59</v>
      </c>
      <c r="D762" t="s">
        <v>12</v>
      </c>
      <c r="E762" t="s">
        <v>29</v>
      </c>
      <c r="F762" t="s">
        <v>41</v>
      </c>
      <c r="G762">
        <v>323182</v>
      </c>
      <c r="H762">
        <v>20.79</v>
      </c>
      <c r="I762">
        <v>36.97</v>
      </c>
      <c r="J762" s="1">
        <v>45336</v>
      </c>
      <c r="K762">
        <v>91</v>
      </c>
      <c r="L762">
        <v>5.4794520547945212E-4</v>
      </c>
      <c r="M762">
        <v>177.0860273972603</v>
      </c>
      <c r="N762">
        <v>16114.828493150686</v>
      </c>
    </row>
    <row r="763" spans="1:14" x14ac:dyDescent="0.25">
      <c r="A763" t="s">
        <v>1441</v>
      </c>
      <c r="B763" t="s">
        <v>17</v>
      </c>
      <c r="C763">
        <v>63</v>
      </c>
      <c r="D763" t="s">
        <v>28</v>
      </c>
      <c r="E763" t="s">
        <v>57</v>
      </c>
      <c r="F763" t="s">
        <v>14</v>
      </c>
      <c r="G763">
        <v>864407</v>
      </c>
      <c r="H763">
        <v>9.89</v>
      </c>
      <c r="I763">
        <v>-0.21</v>
      </c>
      <c r="J763" s="1">
        <v>45343</v>
      </c>
      <c r="K763">
        <v>343</v>
      </c>
      <c r="L763">
        <v>5.4794520547945212E-4</v>
      </c>
      <c r="M763">
        <v>473.64767123287675</v>
      </c>
      <c r="N763">
        <v>162461.15123287673</v>
      </c>
    </row>
    <row r="764" spans="1:14" x14ac:dyDescent="0.25">
      <c r="A764" t="s">
        <v>1443</v>
      </c>
      <c r="B764" t="s">
        <v>17</v>
      </c>
      <c r="C764">
        <v>59</v>
      </c>
      <c r="D764" t="s">
        <v>46</v>
      </c>
      <c r="E764" t="s">
        <v>57</v>
      </c>
      <c r="F764" t="s">
        <v>30</v>
      </c>
      <c r="G764">
        <v>4863873</v>
      </c>
      <c r="H764">
        <v>29.15</v>
      </c>
      <c r="I764">
        <v>-5.25</v>
      </c>
      <c r="J764" s="1">
        <v>45098</v>
      </c>
      <c r="K764">
        <v>301</v>
      </c>
      <c r="L764">
        <v>5.4794520547945212E-4</v>
      </c>
      <c r="M764">
        <v>2665.1358904109593</v>
      </c>
      <c r="N764">
        <v>802205.90301369876</v>
      </c>
    </row>
    <row r="765" spans="1:14" x14ac:dyDescent="0.25">
      <c r="A765" t="s">
        <v>1444</v>
      </c>
      <c r="B765" t="s">
        <v>11</v>
      </c>
      <c r="C765">
        <v>57</v>
      </c>
      <c r="D765" t="s">
        <v>46</v>
      </c>
      <c r="E765" t="s">
        <v>19</v>
      </c>
      <c r="F765" t="s">
        <v>30</v>
      </c>
      <c r="G765">
        <v>1721130</v>
      </c>
      <c r="H765">
        <v>26.09</v>
      </c>
      <c r="I765">
        <v>15.32</v>
      </c>
      <c r="J765" s="1">
        <v>43645</v>
      </c>
      <c r="K765">
        <v>266</v>
      </c>
      <c r="L765">
        <v>5.4794520547945212E-4</v>
      </c>
      <c r="M765">
        <v>943.08493150684944</v>
      </c>
      <c r="N765">
        <v>250860.59178082194</v>
      </c>
    </row>
    <row r="766" spans="1:14" x14ac:dyDescent="0.25">
      <c r="A766" t="s">
        <v>1446</v>
      </c>
      <c r="B766" t="s">
        <v>17</v>
      </c>
      <c r="C766">
        <v>24</v>
      </c>
      <c r="D766" t="s">
        <v>28</v>
      </c>
      <c r="E766" t="s">
        <v>50</v>
      </c>
      <c r="F766" t="s">
        <v>14</v>
      </c>
      <c r="G766">
        <v>201496</v>
      </c>
      <c r="H766">
        <v>21.21</v>
      </c>
      <c r="I766">
        <v>15.25</v>
      </c>
      <c r="J766" s="1">
        <v>44322</v>
      </c>
      <c r="K766">
        <v>71</v>
      </c>
      <c r="L766">
        <v>5.4794520547945212E-4</v>
      </c>
      <c r="M766">
        <v>110.40876712328769</v>
      </c>
      <c r="N766">
        <v>7839.0224657534263</v>
      </c>
    </row>
    <row r="767" spans="1:14" x14ac:dyDescent="0.25">
      <c r="A767" t="s">
        <v>1448</v>
      </c>
      <c r="B767" t="s">
        <v>17</v>
      </c>
      <c r="C767">
        <v>57</v>
      </c>
      <c r="D767" t="s">
        <v>46</v>
      </c>
      <c r="E767" t="s">
        <v>50</v>
      </c>
      <c r="F767" t="s">
        <v>35</v>
      </c>
      <c r="G767">
        <v>2724321</v>
      </c>
      <c r="H767">
        <v>28.82</v>
      </c>
      <c r="I767">
        <v>30</v>
      </c>
      <c r="J767" s="1">
        <v>44113</v>
      </c>
      <c r="K767">
        <v>286</v>
      </c>
      <c r="L767">
        <v>5.4794520547945212E-4</v>
      </c>
      <c r="M767">
        <v>1492.7786301369865</v>
      </c>
      <c r="N767">
        <v>426934.68821917812</v>
      </c>
    </row>
    <row r="768" spans="1:14" x14ac:dyDescent="0.25">
      <c r="A768" t="s">
        <v>1450</v>
      </c>
      <c r="B768" t="s">
        <v>11</v>
      </c>
      <c r="C768">
        <v>25</v>
      </c>
      <c r="D768" t="s">
        <v>18</v>
      </c>
      <c r="E768" t="s">
        <v>50</v>
      </c>
      <c r="F768" t="s">
        <v>14</v>
      </c>
      <c r="G768">
        <v>1290912</v>
      </c>
      <c r="H768">
        <v>16.22</v>
      </c>
      <c r="I768">
        <v>24.73</v>
      </c>
      <c r="J768" s="1">
        <v>45334</v>
      </c>
      <c r="K768">
        <v>91</v>
      </c>
      <c r="L768">
        <v>5.4794520547945212E-4</v>
      </c>
      <c r="M768">
        <v>707.34904109589047</v>
      </c>
      <c r="N768">
        <v>64368.762739726029</v>
      </c>
    </row>
    <row r="769" spans="1:14" x14ac:dyDescent="0.25">
      <c r="A769" t="s">
        <v>1452</v>
      </c>
      <c r="B769" t="s">
        <v>17</v>
      </c>
      <c r="C769">
        <v>43</v>
      </c>
      <c r="D769" t="s">
        <v>46</v>
      </c>
      <c r="E769" t="s">
        <v>19</v>
      </c>
      <c r="F769" t="s">
        <v>14</v>
      </c>
      <c r="G769">
        <v>1116994</v>
      </c>
      <c r="H769">
        <v>18.899999999999999</v>
      </c>
      <c r="I769">
        <v>5.37</v>
      </c>
      <c r="J769" s="1">
        <v>43342</v>
      </c>
      <c r="K769">
        <v>198</v>
      </c>
      <c r="L769">
        <v>5.4794520547945212E-4</v>
      </c>
      <c r="M769">
        <v>612.05150684931516</v>
      </c>
      <c r="N769">
        <v>121186.1983561644</v>
      </c>
    </row>
    <row r="770" spans="1:14" x14ac:dyDescent="0.25">
      <c r="A770" t="s">
        <v>1454</v>
      </c>
      <c r="B770" t="s">
        <v>17</v>
      </c>
      <c r="C770">
        <v>64</v>
      </c>
      <c r="D770" t="s">
        <v>46</v>
      </c>
      <c r="E770" t="s">
        <v>19</v>
      </c>
      <c r="F770" t="s">
        <v>35</v>
      </c>
      <c r="G770">
        <v>146645</v>
      </c>
      <c r="H770">
        <v>34.29</v>
      </c>
      <c r="I770">
        <v>36.89</v>
      </c>
      <c r="J770" s="1">
        <v>43267</v>
      </c>
      <c r="K770">
        <v>275</v>
      </c>
      <c r="L770">
        <v>5.4794520547945212E-4</v>
      </c>
      <c r="M770">
        <v>80.353424657534262</v>
      </c>
      <c r="N770">
        <v>22097.191780821922</v>
      </c>
    </row>
    <row r="771" spans="1:14" x14ac:dyDescent="0.25">
      <c r="A771" t="s">
        <v>1456</v>
      </c>
      <c r="B771" t="s">
        <v>11</v>
      </c>
      <c r="C771">
        <v>63</v>
      </c>
      <c r="D771" t="s">
        <v>18</v>
      </c>
      <c r="E771" t="s">
        <v>50</v>
      </c>
      <c r="F771" t="s">
        <v>47</v>
      </c>
      <c r="G771">
        <v>3517318</v>
      </c>
      <c r="H771">
        <v>29.48</v>
      </c>
      <c r="I771">
        <v>-2.52</v>
      </c>
      <c r="J771" s="1">
        <v>45592</v>
      </c>
      <c r="K771">
        <v>267</v>
      </c>
      <c r="L771">
        <v>5.4794520547945212E-4</v>
      </c>
      <c r="M771">
        <v>1927.2975342465757</v>
      </c>
      <c r="N771">
        <v>514588.44164383569</v>
      </c>
    </row>
    <row r="772" spans="1:14" x14ac:dyDescent="0.25">
      <c r="A772" t="s">
        <v>1458</v>
      </c>
      <c r="B772" t="s">
        <v>11</v>
      </c>
      <c r="C772">
        <v>25</v>
      </c>
      <c r="D772" t="s">
        <v>46</v>
      </c>
      <c r="E772" t="s">
        <v>13</v>
      </c>
      <c r="F772" t="s">
        <v>35</v>
      </c>
      <c r="G772">
        <v>4793838</v>
      </c>
      <c r="H772">
        <v>11.42</v>
      </c>
      <c r="I772">
        <v>31.22</v>
      </c>
      <c r="J772" s="1">
        <v>43941</v>
      </c>
      <c r="K772">
        <v>96</v>
      </c>
      <c r="L772">
        <v>5.4794520547945212E-4</v>
      </c>
      <c r="M772">
        <v>2626.7605479452059</v>
      </c>
      <c r="N772">
        <v>252169.01260273976</v>
      </c>
    </row>
    <row r="773" spans="1:14" x14ac:dyDescent="0.25">
      <c r="A773" t="s">
        <v>1460</v>
      </c>
      <c r="B773" t="s">
        <v>17</v>
      </c>
      <c r="C773">
        <v>39</v>
      </c>
      <c r="D773" t="s">
        <v>12</v>
      </c>
      <c r="E773" t="s">
        <v>29</v>
      </c>
      <c r="F773" t="s">
        <v>30</v>
      </c>
      <c r="G773">
        <v>3183595</v>
      </c>
      <c r="H773">
        <v>22.13</v>
      </c>
      <c r="I773">
        <v>37.76</v>
      </c>
      <c r="J773" s="1">
        <v>43355</v>
      </c>
      <c r="K773">
        <v>291</v>
      </c>
      <c r="L773">
        <v>5.4794520547945212E-4</v>
      </c>
      <c r="M773">
        <v>1744.4356164383564</v>
      </c>
      <c r="N773">
        <v>507630.76438356173</v>
      </c>
    </row>
    <row r="774" spans="1:14" x14ac:dyDescent="0.25">
      <c r="A774" t="s">
        <v>1462</v>
      </c>
      <c r="B774" t="s">
        <v>11</v>
      </c>
      <c r="C774">
        <v>22</v>
      </c>
      <c r="D774" t="s">
        <v>12</v>
      </c>
      <c r="E774" t="s">
        <v>23</v>
      </c>
      <c r="F774" t="s">
        <v>35</v>
      </c>
      <c r="G774">
        <v>4031009</v>
      </c>
      <c r="H774">
        <v>18.61</v>
      </c>
      <c r="I774">
        <v>-0.94</v>
      </c>
      <c r="J774" s="1">
        <v>45201</v>
      </c>
      <c r="K774">
        <v>101</v>
      </c>
      <c r="L774">
        <v>5.4794520547945212E-4</v>
      </c>
      <c r="M774">
        <v>2208.772054794521</v>
      </c>
      <c r="N774">
        <v>223085.97753424663</v>
      </c>
    </row>
    <row r="775" spans="1:14" x14ac:dyDescent="0.25">
      <c r="A775" t="s">
        <v>1464</v>
      </c>
      <c r="B775" t="s">
        <v>11</v>
      </c>
      <c r="C775">
        <v>22</v>
      </c>
      <c r="D775" t="s">
        <v>18</v>
      </c>
      <c r="E775" t="s">
        <v>19</v>
      </c>
      <c r="F775" t="s">
        <v>20</v>
      </c>
      <c r="G775">
        <v>3752496</v>
      </c>
      <c r="H775">
        <v>30.4</v>
      </c>
      <c r="I775">
        <v>37.92</v>
      </c>
      <c r="J775" s="1">
        <v>43638</v>
      </c>
      <c r="K775">
        <v>229</v>
      </c>
      <c r="L775">
        <v>5.4794520547945212E-4</v>
      </c>
      <c r="M775">
        <v>2056.162191780822</v>
      </c>
      <c r="N775">
        <v>470861.14191780821</v>
      </c>
    </row>
    <row r="776" spans="1:14" x14ac:dyDescent="0.25">
      <c r="A776" t="s">
        <v>1465</v>
      </c>
      <c r="B776" t="s">
        <v>17</v>
      </c>
      <c r="C776">
        <v>49</v>
      </c>
      <c r="D776" t="s">
        <v>12</v>
      </c>
      <c r="E776" t="s">
        <v>19</v>
      </c>
      <c r="F776" t="s">
        <v>30</v>
      </c>
      <c r="G776">
        <v>2291477</v>
      </c>
      <c r="H776">
        <v>23.92</v>
      </c>
      <c r="I776">
        <v>-5.36</v>
      </c>
      <c r="J776" s="1">
        <v>43597</v>
      </c>
      <c r="K776">
        <v>77</v>
      </c>
      <c r="L776">
        <v>5.4794520547945212E-4</v>
      </c>
      <c r="M776">
        <v>1255.6038356164386</v>
      </c>
      <c r="N776">
        <v>96681.495342465772</v>
      </c>
    </row>
    <row r="777" spans="1:14" x14ac:dyDescent="0.25">
      <c r="A777" t="s">
        <v>1467</v>
      </c>
      <c r="B777" t="s">
        <v>11</v>
      </c>
      <c r="C777">
        <v>65</v>
      </c>
      <c r="D777" t="s">
        <v>38</v>
      </c>
      <c r="E777" t="s">
        <v>19</v>
      </c>
      <c r="F777" t="s">
        <v>20</v>
      </c>
      <c r="G777">
        <v>2016163</v>
      </c>
      <c r="H777">
        <v>27.14</v>
      </c>
      <c r="I777">
        <v>-7.36</v>
      </c>
      <c r="J777" s="1">
        <v>45114</v>
      </c>
      <c r="K777">
        <v>350</v>
      </c>
      <c r="L777">
        <v>5.4794520547945212E-4</v>
      </c>
      <c r="M777">
        <v>1104.7468493150686</v>
      </c>
      <c r="N777">
        <v>386661.39726027404</v>
      </c>
    </row>
    <row r="778" spans="1:14" x14ac:dyDescent="0.25">
      <c r="A778" t="s">
        <v>1469</v>
      </c>
      <c r="B778" t="s">
        <v>17</v>
      </c>
      <c r="C778">
        <v>49</v>
      </c>
      <c r="D778" t="s">
        <v>28</v>
      </c>
      <c r="E778" t="s">
        <v>29</v>
      </c>
      <c r="F778" t="s">
        <v>47</v>
      </c>
      <c r="G778">
        <v>4391653</v>
      </c>
      <c r="H778">
        <v>31.75</v>
      </c>
      <c r="I778">
        <v>-2.19</v>
      </c>
      <c r="J778" s="1">
        <v>44670</v>
      </c>
      <c r="K778">
        <v>33</v>
      </c>
      <c r="L778">
        <v>5.4794520547945212E-4</v>
      </c>
      <c r="M778">
        <v>2406.3852054794525</v>
      </c>
      <c r="N778">
        <v>79410.711780821934</v>
      </c>
    </row>
    <row r="779" spans="1:14" x14ac:dyDescent="0.25">
      <c r="A779" t="s">
        <v>1470</v>
      </c>
      <c r="B779" t="s">
        <v>11</v>
      </c>
      <c r="C779">
        <v>24</v>
      </c>
      <c r="D779" t="s">
        <v>46</v>
      </c>
      <c r="E779" t="s">
        <v>19</v>
      </c>
      <c r="F779" t="s">
        <v>47</v>
      </c>
      <c r="G779">
        <v>497662</v>
      </c>
      <c r="H779">
        <v>28.15</v>
      </c>
      <c r="I779">
        <v>-8.98</v>
      </c>
      <c r="J779" s="1">
        <v>43968</v>
      </c>
      <c r="K779">
        <v>103</v>
      </c>
      <c r="L779">
        <v>5.4794520547945212E-4</v>
      </c>
      <c r="M779">
        <v>272.69150684931509</v>
      </c>
      <c r="N779">
        <v>28087.225205479455</v>
      </c>
    </row>
    <row r="780" spans="1:14" x14ac:dyDescent="0.25">
      <c r="A780" t="s">
        <v>1472</v>
      </c>
      <c r="B780" t="s">
        <v>17</v>
      </c>
      <c r="C780">
        <v>21</v>
      </c>
      <c r="D780" t="s">
        <v>28</v>
      </c>
      <c r="E780" t="s">
        <v>23</v>
      </c>
      <c r="F780" t="s">
        <v>35</v>
      </c>
      <c r="G780">
        <v>3391695</v>
      </c>
      <c r="H780">
        <v>17.95</v>
      </c>
      <c r="I780">
        <v>26.87</v>
      </c>
      <c r="J780" s="1">
        <v>43536</v>
      </c>
      <c r="K780">
        <v>62</v>
      </c>
      <c r="L780">
        <v>5.4794520547945212E-4</v>
      </c>
      <c r="M780">
        <v>1858.4630136986304</v>
      </c>
      <c r="N780">
        <v>115224.70684931509</v>
      </c>
    </row>
    <row r="781" spans="1:14" x14ac:dyDescent="0.25">
      <c r="A781" t="s">
        <v>1474</v>
      </c>
      <c r="B781" t="s">
        <v>17</v>
      </c>
      <c r="C781">
        <v>53</v>
      </c>
      <c r="D781" t="s">
        <v>38</v>
      </c>
      <c r="E781" t="s">
        <v>29</v>
      </c>
      <c r="F781" t="s">
        <v>35</v>
      </c>
      <c r="G781">
        <v>3074876</v>
      </c>
      <c r="H781">
        <v>11.38</v>
      </c>
      <c r="I781">
        <v>42.86</v>
      </c>
      <c r="J781" s="1">
        <v>43424</v>
      </c>
      <c r="K781">
        <v>289</v>
      </c>
      <c r="L781">
        <v>5.4794520547945212E-4</v>
      </c>
      <c r="M781">
        <v>1684.8635616438357</v>
      </c>
      <c r="N781">
        <v>486925.56931506854</v>
      </c>
    </row>
    <row r="782" spans="1:14" x14ac:dyDescent="0.25">
      <c r="A782" t="s">
        <v>1476</v>
      </c>
      <c r="B782" t="s">
        <v>11</v>
      </c>
      <c r="C782">
        <v>24</v>
      </c>
      <c r="D782" t="s">
        <v>12</v>
      </c>
      <c r="E782" t="s">
        <v>19</v>
      </c>
      <c r="F782" t="s">
        <v>30</v>
      </c>
      <c r="G782">
        <v>3785531</v>
      </c>
      <c r="H782">
        <v>27.49</v>
      </c>
      <c r="I782">
        <v>42.57</v>
      </c>
      <c r="J782" s="1">
        <v>45132</v>
      </c>
      <c r="K782">
        <v>240</v>
      </c>
      <c r="L782">
        <v>5.4794520547945212E-4</v>
      </c>
      <c r="M782">
        <v>2074.2635616438361</v>
      </c>
      <c r="N782">
        <v>497823.25479452068</v>
      </c>
    </row>
    <row r="783" spans="1:14" x14ac:dyDescent="0.25">
      <c r="A783" t="s">
        <v>1478</v>
      </c>
      <c r="B783" t="s">
        <v>11</v>
      </c>
      <c r="C783">
        <v>55</v>
      </c>
      <c r="D783" t="s">
        <v>12</v>
      </c>
      <c r="E783" t="s">
        <v>50</v>
      </c>
      <c r="F783" t="s">
        <v>30</v>
      </c>
      <c r="G783">
        <v>627822</v>
      </c>
      <c r="H783">
        <v>32.68</v>
      </c>
      <c r="I783">
        <v>0.39</v>
      </c>
      <c r="J783" s="1">
        <v>45361</v>
      </c>
      <c r="K783">
        <v>94</v>
      </c>
      <c r="L783">
        <v>5.4794520547945212E-4</v>
      </c>
      <c r="M783">
        <v>344.01205479452057</v>
      </c>
      <c r="N783">
        <v>32337.133150684935</v>
      </c>
    </row>
    <row r="784" spans="1:14" x14ac:dyDescent="0.25">
      <c r="A784" t="s">
        <v>1480</v>
      </c>
      <c r="B784" t="s">
        <v>11</v>
      </c>
      <c r="C784">
        <v>29</v>
      </c>
      <c r="D784" t="s">
        <v>28</v>
      </c>
      <c r="E784" t="s">
        <v>29</v>
      </c>
      <c r="F784" t="s">
        <v>20</v>
      </c>
      <c r="G784">
        <v>1814434</v>
      </c>
      <c r="H784">
        <v>26.18</v>
      </c>
      <c r="I784">
        <v>2.0099999999999998</v>
      </c>
      <c r="J784" s="1">
        <v>44029</v>
      </c>
      <c r="K784">
        <v>106</v>
      </c>
      <c r="L784">
        <v>5.4794520547945212E-4</v>
      </c>
      <c r="M784">
        <v>994.21041095890428</v>
      </c>
      <c r="N784">
        <v>105386.30356164386</v>
      </c>
    </row>
    <row r="785" spans="1:14" x14ac:dyDescent="0.25">
      <c r="A785" t="s">
        <v>1482</v>
      </c>
      <c r="B785" t="s">
        <v>11</v>
      </c>
      <c r="C785">
        <v>46</v>
      </c>
      <c r="D785" t="s">
        <v>12</v>
      </c>
      <c r="E785" t="s">
        <v>13</v>
      </c>
      <c r="F785" t="s">
        <v>20</v>
      </c>
      <c r="G785">
        <v>4328832</v>
      </c>
      <c r="H785">
        <v>28.17</v>
      </c>
      <c r="I785">
        <v>-7.03</v>
      </c>
      <c r="J785" s="1">
        <v>45323</v>
      </c>
      <c r="K785">
        <v>212</v>
      </c>
      <c r="L785">
        <v>5.4794520547945212E-4</v>
      </c>
      <c r="M785">
        <v>2371.9627397260278</v>
      </c>
      <c r="N785">
        <v>502856.10082191788</v>
      </c>
    </row>
    <row r="786" spans="1:14" x14ac:dyDescent="0.25">
      <c r="A786" t="s">
        <v>1484</v>
      </c>
      <c r="B786" t="s">
        <v>17</v>
      </c>
      <c r="C786">
        <v>42</v>
      </c>
      <c r="D786" t="s">
        <v>46</v>
      </c>
      <c r="E786" t="s">
        <v>19</v>
      </c>
      <c r="F786" t="s">
        <v>14</v>
      </c>
      <c r="G786">
        <v>3097765</v>
      </c>
      <c r="H786">
        <v>16.03</v>
      </c>
      <c r="I786">
        <v>0.2</v>
      </c>
      <c r="J786" s="1">
        <v>45045</v>
      </c>
      <c r="K786">
        <v>23</v>
      </c>
      <c r="L786">
        <v>5.4794520547945212E-4</v>
      </c>
      <c r="M786">
        <v>1697.405479452055</v>
      </c>
      <c r="N786">
        <v>39040.326027397263</v>
      </c>
    </row>
    <row r="787" spans="1:14" x14ac:dyDescent="0.25">
      <c r="A787" t="s">
        <v>1486</v>
      </c>
      <c r="B787" t="s">
        <v>11</v>
      </c>
      <c r="C787">
        <v>32</v>
      </c>
      <c r="D787" t="s">
        <v>28</v>
      </c>
      <c r="E787" t="s">
        <v>19</v>
      </c>
      <c r="F787" t="s">
        <v>47</v>
      </c>
      <c r="G787">
        <v>1917451</v>
      </c>
      <c r="H787">
        <v>34.06</v>
      </c>
      <c r="I787">
        <v>30.71</v>
      </c>
      <c r="J787" s="1">
        <v>43758</v>
      </c>
      <c r="K787">
        <v>32</v>
      </c>
      <c r="L787">
        <v>5.4794520547945212E-4</v>
      </c>
      <c r="M787">
        <v>1050.658082191781</v>
      </c>
      <c r="N787">
        <v>33621.058630136991</v>
      </c>
    </row>
    <row r="788" spans="1:14" x14ac:dyDescent="0.25">
      <c r="A788" t="s">
        <v>1488</v>
      </c>
      <c r="B788" t="s">
        <v>17</v>
      </c>
      <c r="C788">
        <v>65</v>
      </c>
      <c r="D788" t="s">
        <v>46</v>
      </c>
      <c r="E788" t="s">
        <v>29</v>
      </c>
      <c r="F788" t="s">
        <v>20</v>
      </c>
      <c r="G788">
        <v>728977</v>
      </c>
      <c r="H788">
        <v>29.94</v>
      </c>
      <c r="I788">
        <v>-5.33</v>
      </c>
      <c r="J788" s="1">
        <v>44713</v>
      </c>
      <c r="K788">
        <v>21</v>
      </c>
      <c r="L788">
        <v>5.4794520547945212E-4</v>
      </c>
      <c r="M788">
        <v>399.43945205479457</v>
      </c>
      <c r="N788">
        <v>8388.2284931506856</v>
      </c>
    </row>
    <row r="789" spans="1:14" x14ac:dyDescent="0.25">
      <c r="A789" t="s">
        <v>1490</v>
      </c>
      <c r="B789" t="s">
        <v>17</v>
      </c>
      <c r="C789">
        <v>28</v>
      </c>
      <c r="D789" t="s">
        <v>46</v>
      </c>
      <c r="E789" t="s">
        <v>19</v>
      </c>
      <c r="F789" t="s">
        <v>14</v>
      </c>
      <c r="G789">
        <v>4318796</v>
      </c>
      <c r="H789">
        <v>18.3</v>
      </c>
      <c r="I789">
        <v>4.58</v>
      </c>
      <c r="J789" s="1">
        <v>44147</v>
      </c>
      <c r="K789">
        <v>125</v>
      </c>
      <c r="L789">
        <v>5.4794520547945212E-4</v>
      </c>
      <c r="M789">
        <v>2366.4635616438359</v>
      </c>
      <c r="N789">
        <v>295807.94520547951</v>
      </c>
    </row>
    <row r="790" spans="1:14" x14ac:dyDescent="0.25">
      <c r="A790" t="s">
        <v>1491</v>
      </c>
      <c r="B790" t="s">
        <v>17</v>
      </c>
      <c r="C790">
        <v>36</v>
      </c>
      <c r="D790" t="s">
        <v>12</v>
      </c>
      <c r="E790" t="s">
        <v>19</v>
      </c>
      <c r="F790" t="s">
        <v>30</v>
      </c>
      <c r="G790">
        <v>639383</v>
      </c>
      <c r="H790">
        <v>6.15</v>
      </c>
      <c r="I790">
        <v>-4.4000000000000004</v>
      </c>
      <c r="J790" s="1">
        <v>45354</v>
      </c>
      <c r="K790">
        <v>136</v>
      </c>
      <c r="L790">
        <v>5.4794520547945212E-4</v>
      </c>
      <c r="M790">
        <v>350.34684931506854</v>
      </c>
      <c r="N790">
        <v>47647.171506849321</v>
      </c>
    </row>
    <row r="791" spans="1:14" x14ac:dyDescent="0.25">
      <c r="A791" t="s">
        <v>1493</v>
      </c>
      <c r="B791" t="s">
        <v>17</v>
      </c>
      <c r="C791">
        <v>56</v>
      </c>
      <c r="D791" t="s">
        <v>28</v>
      </c>
      <c r="E791" t="s">
        <v>50</v>
      </c>
      <c r="F791" t="s">
        <v>14</v>
      </c>
      <c r="G791">
        <v>3809487</v>
      </c>
      <c r="H791">
        <v>11.3</v>
      </c>
      <c r="I791">
        <v>44.24</v>
      </c>
      <c r="J791" s="1">
        <v>45134</v>
      </c>
      <c r="K791">
        <v>69</v>
      </c>
      <c r="L791">
        <v>5.4794520547945212E-4</v>
      </c>
      <c r="M791">
        <v>2087.3901369863015</v>
      </c>
      <c r="N791">
        <v>144029.9194520548</v>
      </c>
    </row>
    <row r="792" spans="1:14" x14ac:dyDescent="0.25">
      <c r="A792" t="s">
        <v>1494</v>
      </c>
      <c r="B792" t="s">
        <v>17</v>
      </c>
      <c r="C792">
        <v>47</v>
      </c>
      <c r="D792" t="s">
        <v>28</v>
      </c>
      <c r="E792" t="s">
        <v>29</v>
      </c>
      <c r="F792" t="s">
        <v>47</v>
      </c>
      <c r="G792">
        <v>3794067</v>
      </c>
      <c r="H792">
        <v>9.73</v>
      </c>
      <c r="I792">
        <v>32.619999999999997</v>
      </c>
      <c r="J792" s="1">
        <v>43444</v>
      </c>
      <c r="K792">
        <v>143</v>
      </c>
      <c r="L792">
        <v>5.4794520547945212E-4</v>
      </c>
      <c r="M792">
        <v>2078.9408219178085</v>
      </c>
      <c r="N792">
        <v>297288.53753424663</v>
      </c>
    </row>
    <row r="793" spans="1:14" x14ac:dyDescent="0.25">
      <c r="A793" t="s">
        <v>1496</v>
      </c>
      <c r="B793" t="s">
        <v>17</v>
      </c>
      <c r="C793">
        <v>26</v>
      </c>
      <c r="D793" t="s">
        <v>38</v>
      </c>
      <c r="E793" t="s">
        <v>19</v>
      </c>
      <c r="F793" t="s">
        <v>47</v>
      </c>
      <c r="G793">
        <v>2348038</v>
      </c>
      <c r="H793">
        <v>12.54</v>
      </c>
      <c r="I793">
        <v>23.91</v>
      </c>
      <c r="J793" s="1">
        <v>44372</v>
      </c>
      <c r="K793">
        <v>24</v>
      </c>
      <c r="L793">
        <v>5.4794520547945212E-4</v>
      </c>
      <c r="M793">
        <v>1286.5961643835617</v>
      </c>
      <c r="N793">
        <v>30878.307945205481</v>
      </c>
    </row>
    <row r="794" spans="1:14" x14ac:dyDescent="0.25">
      <c r="A794" t="s">
        <v>1498</v>
      </c>
      <c r="B794" t="s">
        <v>17</v>
      </c>
      <c r="C794">
        <v>23</v>
      </c>
      <c r="D794" t="s">
        <v>46</v>
      </c>
      <c r="E794" t="s">
        <v>19</v>
      </c>
      <c r="F794" t="s">
        <v>20</v>
      </c>
      <c r="G794">
        <v>3216003</v>
      </c>
      <c r="H794">
        <v>23.62</v>
      </c>
      <c r="I794">
        <v>14.64</v>
      </c>
      <c r="J794" s="1">
        <v>44157</v>
      </c>
      <c r="K794">
        <v>180</v>
      </c>
      <c r="L794">
        <v>5.4794520547945212E-4</v>
      </c>
      <c r="M794">
        <v>1762.1934246575345</v>
      </c>
      <c r="N794">
        <v>317194.81643835618</v>
      </c>
    </row>
    <row r="795" spans="1:14" x14ac:dyDescent="0.25">
      <c r="A795" t="s">
        <v>1500</v>
      </c>
      <c r="B795" t="s">
        <v>17</v>
      </c>
      <c r="C795">
        <v>47</v>
      </c>
      <c r="D795" t="s">
        <v>46</v>
      </c>
      <c r="E795" t="s">
        <v>13</v>
      </c>
      <c r="F795" t="s">
        <v>30</v>
      </c>
      <c r="G795">
        <v>3353117</v>
      </c>
      <c r="H795">
        <v>11.22</v>
      </c>
      <c r="I795">
        <v>5.51</v>
      </c>
      <c r="J795" s="1">
        <v>45182</v>
      </c>
      <c r="K795">
        <v>315</v>
      </c>
      <c r="L795">
        <v>5.4794520547945212E-4</v>
      </c>
      <c r="M795">
        <v>1837.324383561644</v>
      </c>
      <c r="N795">
        <v>578757.18082191783</v>
      </c>
    </row>
    <row r="796" spans="1:14" x14ac:dyDescent="0.25">
      <c r="A796" t="s">
        <v>1502</v>
      </c>
      <c r="B796" t="s">
        <v>11</v>
      </c>
      <c r="C796">
        <v>23</v>
      </c>
      <c r="D796" t="s">
        <v>18</v>
      </c>
      <c r="E796" t="s">
        <v>19</v>
      </c>
      <c r="F796" t="s">
        <v>41</v>
      </c>
      <c r="G796">
        <v>286127</v>
      </c>
      <c r="H796">
        <v>10.67</v>
      </c>
      <c r="I796">
        <v>34.64</v>
      </c>
      <c r="J796" s="1">
        <v>44031</v>
      </c>
      <c r="K796">
        <v>205</v>
      </c>
      <c r="L796">
        <v>5.4794520547945212E-4</v>
      </c>
      <c r="M796">
        <v>156.78191780821919</v>
      </c>
      <c r="N796">
        <v>32140.293150684935</v>
      </c>
    </row>
    <row r="797" spans="1:14" x14ac:dyDescent="0.25">
      <c r="A797" t="s">
        <v>1503</v>
      </c>
      <c r="B797" t="s">
        <v>11</v>
      </c>
      <c r="C797">
        <v>34</v>
      </c>
      <c r="D797" t="s">
        <v>38</v>
      </c>
      <c r="E797" t="s">
        <v>13</v>
      </c>
      <c r="F797" t="s">
        <v>30</v>
      </c>
      <c r="G797">
        <v>2712188</v>
      </c>
      <c r="H797">
        <v>10.34</v>
      </c>
      <c r="I797">
        <v>25.91</v>
      </c>
      <c r="J797" s="1">
        <v>44684</v>
      </c>
      <c r="K797">
        <v>222</v>
      </c>
      <c r="L797">
        <v>5.4794520547945212E-4</v>
      </c>
      <c r="M797">
        <v>1486.1304109589043</v>
      </c>
      <c r="N797">
        <v>329920.95123287675</v>
      </c>
    </row>
    <row r="798" spans="1:14" x14ac:dyDescent="0.25">
      <c r="A798" t="s">
        <v>1505</v>
      </c>
      <c r="B798" t="s">
        <v>17</v>
      </c>
      <c r="C798">
        <v>28</v>
      </c>
      <c r="D798" t="s">
        <v>38</v>
      </c>
      <c r="E798" t="s">
        <v>50</v>
      </c>
      <c r="F798" t="s">
        <v>35</v>
      </c>
      <c r="G798">
        <v>4743325</v>
      </c>
      <c r="H798">
        <v>32.82</v>
      </c>
      <c r="I798">
        <v>-2.54</v>
      </c>
      <c r="J798" s="1">
        <v>43304</v>
      </c>
      <c r="K798">
        <v>193</v>
      </c>
      <c r="L798">
        <v>5.4794520547945212E-4</v>
      </c>
      <c r="M798">
        <v>2599.0821917808221</v>
      </c>
      <c r="N798">
        <v>501622.86301369866</v>
      </c>
    </row>
    <row r="799" spans="1:14" x14ac:dyDescent="0.25">
      <c r="A799" t="s">
        <v>1506</v>
      </c>
      <c r="B799" t="s">
        <v>17</v>
      </c>
      <c r="C799">
        <v>50</v>
      </c>
      <c r="D799" t="s">
        <v>38</v>
      </c>
      <c r="E799" t="s">
        <v>23</v>
      </c>
      <c r="F799" t="s">
        <v>14</v>
      </c>
      <c r="G799">
        <v>1585733</v>
      </c>
      <c r="H799">
        <v>6.88</v>
      </c>
      <c r="I799">
        <v>41.62</v>
      </c>
      <c r="J799" s="1">
        <v>43258</v>
      </c>
      <c r="K799">
        <v>340</v>
      </c>
      <c r="L799">
        <v>5.4794520547945212E-4</v>
      </c>
      <c r="M799">
        <v>868.89479452054809</v>
      </c>
      <c r="N799">
        <v>295424.23013698636</v>
      </c>
    </row>
    <row r="800" spans="1:14" x14ac:dyDescent="0.25">
      <c r="A800" t="s">
        <v>1507</v>
      </c>
      <c r="B800" t="s">
        <v>11</v>
      </c>
      <c r="C800">
        <v>40</v>
      </c>
      <c r="D800" t="s">
        <v>38</v>
      </c>
      <c r="E800" t="s">
        <v>23</v>
      </c>
      <c r="F800" t="s">
        <v>14</v>
      </c>
      <c r="G800">
        <v>2561999</v>
      </c>
      <c r="H800">
        <v>16.52</v>
      </c>
      <c r="I800">
        <v>21.02</v>
      </c>
      <c r="J800" s="1">
        <v>44854</v>
      </c>
      <c r="K800">
        <v>241</v>
      </c>
      <c r="L800">
        <v>5.4794520547945212E-4</v>
      </c>
      <c r="M800">
        <v>1403.8350684931509</v>
      </c>
      <c r="N800">
        <v>338324.25150684937</v>
      </c>
    </row>
    <row r="801" spans="1:14" x14ac:dyDescent="0.25">
      <c r="A801" t="s">
        <v>1509</v>
      </c>
      <c r="B801" t="s">
        <v>17</v>
      </c>
      <c r="C801">
        <v>38</v>
      </c>
      <c r="D801" t="s">
        <v>46</v>
      </c>
      <c r="E801" t="s">
        <v>57</v>
      </c>
      <c r="F801" t="s">
        <v>47</v>
      </c>
      <c r="G801">
        <v>972057</v>
      </c>
      <c r="H801">
        <v>19.079999999999998</v>
      </c>
      <c r="I801">
        <v>41.79</v>
      </c>
      <c r="J801" s="1">
        <v>44205</v>
      </c>
      <c r="K801">
        <v>354</v>
      </c>
      <c r="L801">
        <v>5.4794520547945212E-4</v>
      </c>
      <c r="M801">
        <v>532.63397260273985</v>
      </c>
      <c r="N801">
        <v>188552.42630136991</v>
      </c>
    </row>
    <row r="802" spans="1:14" x14ac:dyDescent="0.25">
      <c r="A802" t="s">
        <v>1511</v>
      </c>
      <c r="B802" t="s">
        <v>17</v>
      </c>
      <c r="C802">
        <v>31</v>
      </c>
      <c r="D802" t="s">
        <v>18</v>
      </c>
      <c r="E802" t="s">
        <v>19</v>
      </c>
      <c r="F802" t="s">
        <v>14</v>
      </c>
      <c r="G802">
        <v>955484</v>
      </c>
      <c r="H802">
        <v>29.86</v>
      </c>
      <c r="I802">
        <v>-4.96</v>
      </c>
      <c r="J802" s="1">
        <v>43245</v>
      </c>
      <c r="K802">
        <v>40</v>
      </c>
      <c r="L802">
        <v>5.4794520547945212E-4</v>
      </c>
      <c r="M802">
        <v>523.55287671232884</v>
      </c>
      <c r="N802">
        <v>20942.115068493153</v>
      </c>
    </row>
    <row r="803" spans="1:14" x14ac:dyDescent="0.25">
      <c r="A803" t="s">
        <v>1513</v>
      </c>
      <c r="B803" t="s">
        <v>17</v>
      </c>
      <c r="C803">
        <v>36</v>
      </c>
      <c r="D803" t="s">
        <v>18</v>
      </c>
      <c r="E803" t="s">
        <v>13</v>
      </c>
      <c r="F803" t="s">
        <v>30</v>
      </c>
      <c r="G803">
        <v>2799652</v>
      </c>
      <c r="H803">
        <v>32.43</v>
      </c>
      <c r="I803">
        <v>26.53</v>
      </c>
      <c r="J803" s="1">
        <v>43153</v>
      </c>
      <c r="K803">
        <v>114</v>
      </c>
      <c r="L803">
        <v>5.4794520547945212E-4</v>
      </c>
      <c r="M803">
        <v>1534.0558904109591</v>
      </c>
      <c r="N803">
        <v>174882.37150684933</v>
      </c>
    </row>
    <row r="804" spans="1:14" x14ac:dyDescent="0.25">
      <c r="A804" t="s">
        <v>1514</v>
      </c>
      <c r="B804" t="s">
        <v>11</v>
      </c>
      <c r="C804">
        <v>58</v>
      </c>
      <c r="D804" t="s">
        <v>28</v>
      </c>
      <c r="E804" t="s">
        <v>57</v>
      </c>
      <c r="F804" t="s">
        <v>47</v>
      </c>
      <c r="G804">
        <v>4323888</v>
      </c>
      <c r="H804">
        <v>28.76</v>
      </c>
      <c r="I804">
        <v>39.82</v>
      </c>
      <c r="J804" s="1">
        <v>44593</v>
      </c>
      <c r="K804">
        <v>148</v>
      </c>
      <c r="L804">
        <v>5.4794520547945212E-4</v>
      </c>
      <c r="M804">
        <v>2369.2536986301375</v>
      </c>
      <c r="N804">
        <v>350649.54739726032</v>
      </c>
    </row>
    <row r="805" spans="1:14" x14ac:dyDescent="0.25">
      <c r="A805" t="s">
        <v>1515</v>
      </c>
      <c r="B805" t="s">
        <v>17</v>
      </c>
      <c r="C805">
        <v>53</v>
      </c>
      <c r="D805" t="s">
        <v>38</v>
      </c>
      <c r="E805" t="s">
        <v>29</v>
      </c>
      <c r="F805" t="s">
        <v>14</v>
      </c>
      <c r="G805">
        <v>1543502</v>
      </c>
      <c r="H805">
        <v>15.17</v>
      </c>
      <c r="I805">
        <v>20.3</v>
      </c>
      <c r="J805" s="1">
        <v>45266</v>
      </c>
      <c r="K805">
        <v>64</v>
      </c>
      <c r="L805">
        <v>5.4794520547945212E-4</v>
      </c>
      <c r="M805">
        <v>845.75452054794528</v>
      </c>
      <c r="N805">
        <v>54128.289315068498</v>
      </c>
    </row>
    <row r="806" spans="1:14" x14ac:dyDescent="0.25">
      <c r="A806" t="s">
        <v>1517</v>
      </c>
      <c r="B806" t="s">
        <v>17</v>
      </c>
      <c r="C806">
        <v>31</v>
      </c>
      <c r="D806" t="s">
        <v>38</v>
      </c>
      <c r="E806" t="s">
        <v>29</v>
      </c>
      <c r="F806" t="s">
        <v>30</v>
      </c>
      <c r="G806">
        <v>4350330</v>
      </c>
      <c r="H806">
        <v>24.67</v>
      </c>
      <c r="I806">
        <v>8.31</v>
      </c>
      <c r="J806" s="1">
        <v>45297</v>
      </c>
      <c r="K806">
        <v>346</v>
      </c>
      <c r="L806">
        <v>5.4794520547945212E-4</v>
      </c>
      <c r="M806">
        <v>2383.7424657534248</v>
      </c>
      <c r="N806">
        <v>824774.89315068501</v>
      </c>
    </row>
    <row r="807" spans="1:14" x14ac:dyDescent="0.25">
      <c r="A807" t="s">
        <v>1519</v>
      </c>
      <c r="B807" t="s">
        <v>11</v>
      </c>
      <c r="C807">
        <v>34</v>
      </c>
      <c r="D807" t="s">
        <v>18</v>
      </c>
      <c r="E807" t="s">
        <v>19</v>
      </c>
      <c r="F807" t="s">
        <v>35</v>
      </c>
      <c r="G807">
        <v>3678590</v>
      </c>
      <c r="H807">
        <v>17.8</v>
      </c>
      <c r="I807">
        <v>37.020000000000003</v>
      </c>
      <c r="J807" s="1">
        <v>44445</v>
      </c>
      <c r="K807">
        <v>230</v>
      </c>
      <c r="L807">
        <v>5.4794520547945212E-4</v>
      </c>
      <c r="M807">
        <v>2015.6657534246579</v>
      </c>
      <c r="N807">
        <v>463603.1232876713</v>
      </c>
    </row>
    <row r="808" spans="1:14" x14ac:dyDescent="0.25">
      <c r="A808" t="s">
        <v>1521</v>
      </c>
      <c r="B808" t="s">
        <v>11</v>
      </c>
      <c r="C808">
        <v>33</v>
      </c>
      <c r="D808" t="s">
        <v>38</v>
      </c>
      <c r="E808" t="s">
        <v>29</v>
      </c>
      <c r="F808" t="s">
        <v>20</v>
      </c>
      <c r="G808">
        <v>4143885</v>
      </c>
      <c r="H808">
        <v>26.97</v>
      </c>
      <c r="I808">
        <v>25.04</v>
      </c>
      <c r="J808" s="1">
        <v>45219</v>
      </c>
      <c r="K808">
        <v>32</v>
      </c>
      <c r="L808">
        <v>5.4794520547945212E-4</v>
      </c>
      <c r="M808">
        <v>2270.6219178082197</v>
      </c>
      <c r="N808">
        <v>72659.90136986303</v>
      </c>
    </row>
    <row r="809" spans="1:14" x14ac:dyDescent="0.25">
      <c r="A809" t="s">
        <v>1523</v>
      </c>
      <c r="B809" t="s">
        <v>17</v>
      </c>
      <c r="C809">
        <v>62</v>
      </c>
      <c r="D809" t="s">
        <v>28</v>
      </c>
      <c r="E809" t="s">
        <v>13</v>
      </c>
      <c r="F809" t="s">
        <v>30</v>
      </c>
      <c r="G809">
        <v>2289979</v>
      </c>
      <c r="H809">
        <v>18.62</v>
      </c>
      <c r="I809">
        <v>15.59</v>
      </c>
      <c r="J809" s="1">
        <v>43284</v>
      </c>
      <c r="K809">
        <v>49</v>
      </c>
      <c r="L809">
        <v>5.4794520547945212E-4</v>
      </c>
      <c r="M809">
        <v>1254.7830136986304</v>
      </c>
      <c r="N809">
        <v>61484.367671232889</v>
      </c>
    </row>
    <row r="810" spans="1:14" x14ac:dyDescent="0.25">
      <c r="A810" t="s">
        <v>1525</v>
      </c>
      <c r="B810" t="s">
        <v>11</v>
      </c>
      <c r="C810">
        <v>61</v>
      </c>
      <c r="D810" t="s">
        <v>28</v>
      </c>
      <c r="E810" t="s">
        <v>50</v>
      </c>
      <c r="F810" t="s">
        <v>20</v>
      </c>
      <c r="G810">
        <v>3848191</v>
      </c>
      <c r="H810">
        <v>8.94</v>
      </c>
      <c r="I810">
        <v>4.4400000000000004</v>
      </c>
      <c r="J810" s="1">
        <v>44577</v>
      </c>
      <c r="K810">
        <v>192</v>
      </c>
      <c r="L810">
        <v>5.4794520547945212E-4</v>
      </c>
      <c r="M810">
        <v>2108.5978082191782</v>
      </c>
      <c r="N810">
        <v>404850.77917808224</v>
      </c>
    </row>
    <row r="811" spans="1:14" x14ac:dyDescent="0.25">
      <c r="A811" t="s">
        <v>1527</v>
      </c>
      <c r="B811" t="s">
        <v>11</v>
      </c>
      <c r="C811">
        <v>38</v>
      </c>
      <c r="D811" t="s">
        <v>38</v>
      </c>
      <c r="E811" t="s">
        <v>29</v>
      </c>
      <c r="F811" t="s">
        <v>30</v>
      </c>
      <c r="G811">
        <v>894136</v>
      </c>
      <c r="H811">
        <v>13.59</v>
      </c>
      <c r="I811">
        <v>41.15</v>
      </c>
      <c r="J811" s="1">
        <v>45421</v>
      </c>
      <c r="K811">
        <v>317</v>
      </c>
      <c r="L811">
        <v>5.4794520547945212E-4</v>
      </c>
      <c r="M811">
        <v>489.93753424657541</v>
      </c>
      <c r="N811">
        <v>155310.19835616442</v>
      </c>
    </row>
    <row r="812" spans="1:14" x14ac:dyDescent="0.25">
      <c r="A812" t="s">
        <v>1528</v>
      </c>
      <c r="B812" t="s">
        <v>11</v>
      </c>
      <c r="C812">
        <v>58</v>
      </c>
      <c r="D812" t="s">
        <v>12</v>
      </c>
      <c r="E812" t="s">
        <v>57</v>
      </c>
      <c r="F812" t="s">
        <v>20</v>
      </c>
      <c r="G812">
        <v>4417835</v>
      </c>
      <c r="H812">
        <v>26.87</v>
      </c>
      <c r="I812">
        <v>39.14</v>
      </c>
      <c r="J812" s="1">
        <v>45102</v>
      </c>
      <c r="K812">
        <v>83</v>
      </c>
      <c r="L812">
        <v>5.4794520547945212E-4</v>
      </c>
      <c r="M812">
        <v>2420.7315068493153</v>
      </c>
      <c r="N812">
        <v>200920.71506849318</v>
      </c>
    </row>
    <row r="813" spans="1:14" x14ac:dyDescent="0.25">
      <c r="A813" t="s">
        <v>1530</v>
      </c>
      <c r="B813" t="s">
        <v>17</v>
      </c>
      <c r="C813">
        <v>39</v>
      </c>
      <c r="D813" t="s">
        <v>28</v>
      </c>
      <c r="E813" t="s">
        <v>29</v>
      </c>
      <c r="F813" t="s">
        <v>35</v>
      </c>
      <c r="G813">
        <v>1380847</v>
      </c>
      <c r="H813">
        <v>30.73</v>
      </c>
      <c r="I813">
        <v>38.81</v>
      </c>
      <c r="J813" s="1">
        <v>44049</v>
      </c>
      <c r="K813">
        <v>145</v>
      </c>
      <c r="L813">
        <v>5.4794520547945212E-4</v>
      </c>
      <c r="M813">
        <v>756.62849315068502</v>
      </c>
      <c r="N813">
        <v>109711.13150684933</v>
      </c>
    </row>
    <row r="814" spans="1:14" x14ac:dyDescent="0.25">
      <c r="A814" t="s">
        <v>1531</v>
      </c>
      <c r="B814" t="s">
        <v>11</v>
      </c>
      <c r="C814">
        <v>27</v>
      </c>
      <c r="D814" t="s">
        <v>12</v>
      </c>
      <c r="E814" t="s">
        <v>50</v>
      </c>
      <c r="F814" t="s">
        <v>14</v>
      </c>
      <c r="G814">
        <v>3802989</v>
      </c>
      <c r="H814">
        <v>28.71</v>
      </c>
      <c r="I814">
        <v>10.33</v>
      </c>
      <c r="J814" s="1">
        <v>43778</v>
      </c>
      <c r="K814">
        <v>195</v>
      </c>
      <c r="L814">
        <v>5.4794520547945212E-4</v>
      </c>
      <c r="M814">
        <v>2083.8295890410964</v>
      </c>
      <c r="N814">
        <v>406346.76986301382</v>
      </c>
    </row>
    <row r="815" spans="1:14" x14ac:dyDescent="0.25">
      <c r="A815" t="s">
        <v>1533</v>
      </c>
      <c r="B815" t="s">
        <v>11</v>
      </c>
      <c r="C815">
        <v>59</v>
      </c>
      <c r="D815" t="s">
        <v>28</v>
      </c>
      <c r="E815" t="s">
        <v>50</v>
      </c>
      <c r="F815" t="s">
        <v>47</v>
      </c>
      <c r="G815">
        <v>3122004</v>
      </c>
      <c r="H815">
        <v>7.73</v>
      </c>
      <c r="I815">
        <v>44.87</v>
      </c>
      <c r="J815" s="1">
        <v>44963</v>
      </c>
      <c r="K815">
        <v>242</v>
      </c>
      <c r="L815">
        <v>5.4794520547945212E-4</v>
      </c>
      <c r="M815">
        <v>1710.6871232876715</v>
      </c>
      <c r="N815">
        <v>413986.28383561649</v>
      </c>
    </row>
    <row r="816" spans="1:14" x14ac:dyDescent="0.25">
      <c r="A816" t="s">
        <v>1535</v>
      </c>
      <c r="B816" t="s">
        <v>11</v>
      </c>
      <c r="C816">
        <v>51</v>
      </c>
      <c r="D816" t="s">
        <v>12</v>
      </c>
      <c r="E816" t="s">
        <v>57</v>
      </c>
      <c r="F816" t="s">
        <v>14</v>
      </c>
      <c r="G816">
        <v>1436395</v>
      </c>
      <c r="H816">
        <v>11.8</v>
      </c>
      <c r="I816">
        <v>12.73</v>
      </c>
      <c r="J816" s="1">
        <v>44038</v>
      </c>
      <c r="K816">
        <v>364</v>
      </c>
      <c r="L816">
        <v>5.4794520547945212E-4</v>
      </c>
      <c r="M816">
        <v>787.0657534246576</v>
      </c>
      <c r="N816">
        <v>286491.93424657534</v>
      </c>
    </row>
    <row r="817" spans="1:14" x14ac:dyDescent="0.25">
      <c r="A817" t="s">
        <v>1536</v>
      </c>
      <c r="B817" t="s">
        <v>11</v>
      </c>
      <c r="C817">
        <v>49</v>
      </c>
      <c r="D817" t="s">
        <v>28</v>
      </c>
      <c r="E817" t="s">
        <v>29</v>
      </c>
      <c r="F817" t="s">
        <v>35</v>
      </c>
      <c r="G817">
        <v>2938500</v>
      </c>
      <c r="H817">
        <v>27.51</v>
      </c>
      <c r="I817">
        <v>16.670000000000002</v>
      </c>
      <c r="J817" s="1">
        <v>45132</v>
      </c>
      <c r="K817">
        <v>220</v>
      </c>
      <c r="L817">
        <v>5.4794520547945212E-4</v>
      </c>
      <c r="M817">
        <v>1610.1369863013701</v>
      </c>
      <c r="N817">
        <v>354230.13698630146</v>
      </c>
    </row>
    <row r="818" spans="1:14" x14ac:dyDescent="0.25">
      <c r="A818" t="s">
        <v>1537</v>
      </c>
      <c r="B818" t="s">
        <v>11</v>
      </c>
      <c r="C818">
        <v>23</v>
      </c>
      <c r="D818" t="s">
        <v>46</v>
      </c>
      <c r="E818" t="s">
        <v>19</v>
      </c>
      <c r="F818" t="s">
        <v>14</v>
      </c>
      <c r="G818">
        <v>3246880</v>
      </c>
      <c r="H818">
        <v>16.52</v>
      </c>
      <c r="I818">
        <v>21.8</v>
      </c>
      <c r="J818" s="1">
        <v>43946</v>
      </c>
      <c r="K818">
        <v>190</v>
      </c>
      <c r="L818">
        <v>5.4794520547945212E-4</v>
      </c>
      <c r="M818">
        <v>1779.1123287671235</v>
      </c>
      <c r="N818">
        <v>338031.34246575343</v>
      </c>
    </row>
    <row r="819" spans="1:14" x14ac:dyDescent="0.25">
      <c r="A819" t="s">
        <v>1538</v>
      </c>
      <c r="B819" t="s">
        <v>11</v>
      </c>
      <c r="C819">
        <v>38</v>
      </c>
      <c r="D819" t="s">
        <v>18</v>
      </c>
      <c r="E819" t="s">
        <v>29</v>
      </c>
      <c r="F819" t="s">
        <v>47</v>
      </c>
      <c r="G819">
        <v>2861149</v>
      </c>
      <c r="H819">
        <v>21.7</v>
      </c>
      <c r="I819">
        <v>9.07</v>
      </c>
      <c r="J819" s="1">
        <v>45298</v>
      </c>
      <c r="K819">
        <v>34</v>
      </c>
      <c r="L819">
        <v>5.4794520547945212E-4</v>
      </c>
      <c r="M819">
        <v>1567.752876712329</v>
      </c>
      <c r="N819">
        <v>53303.597808219187</v>
      </c>
    </row>
    <row r="820" spans="1:14" x14ac:dyDescent="0.25">
      <c r="A820" t="s">
        <v>1540</v>
      </c>
      <c r="B820" t="s">
        <v>11</v>
      </c>
      <c r="C820">
        <v>65</v>
      </c>
      <c r="D820" t="s">
        <v>38</v>
      </c>
      <c r="E820" t="s">
        <v>57</v>
      </c>
      <c r="F820" t="s">
        <v>35</v>
      </c>
      <c r="G820">
        <v>467774</v>
      </c>
      <c r="H820">
        <v>23.89</v>
      </c>
      <c r="I820">
        <v>4.0599999999999996</v>
      </c>
      <c r="J820" s="1">
        <v>43977</v>
      </c>
      <c r="K820">
        <v>171</v>
      </c>
      <c r="L820">
        <v>5.4794520547945212E-4</v>
      </c>
      <c r="M820">
        <v>256.31452054794522</v>
      </c>
      <c r="N820">
        <v>43829.78301369863</v>
      </c>
    </row>
    <row r="821" spans="1:14" x14ac:dyDescent="0.25">
      <c r="A821" t="s">
        <v>1542</v>
      </c>
      <c r="B821" t="s">
        <v>11</v>
      </c>
      <c r="C821">
        <v>37</v>
      </c>
      <c r="D821" t="s">
        <v>28</v>
      </c>
      <c r="E821" t="s">
        <v>57</v>
      </c>
      <c r="F821" t="s">
        <v>20</v>
      </c>
      <c r="G821">
        <v>1361828</v>
      </c>
      <c r="H821">
        <v>32.96</v>
      </c>
      <c r="I821">
        <v>17.12</v>
      </c>
      <c r="J821" s="1">
        <v>43373</v>
      </c>
      <c r="K821">
        <v>170</v>
      </c>
      <c r="L821">
        <v>5.4794520547945212E-4</v>
      </c>
      <c r="M821">
        <v>746.20712328767138</v>
      </c>
      <c r="N821">
        <v>126855.21095890414</v>
      </c>
    </row>
    <row r="822" spans="1:14" x14ac:dyDescent="0.25">
      <c r="A822" t="s">
        <v>1544</v>
      </c>
      <c r="B822" t="s">
        <v>11</v>
      </c>
      <c r="C822">
        <v>36</v>
      </c>
      <c r="D822" t="s">
        <v>46</v>
      </c>
      <c r="E822" t="s">
        <v>13</v>
      </c>
      <c r="F822" t="s">
        <v>41</v>
      </c>
      <c r="G822">
        <v>4564814</v>
      </c>
      <c r="H822">
        <v>6.06</v>
      </c>
      <c r="I822">
        <v>-3.32</v>
      </c>
      <c r="J822" s="1">
        <v>43633</v>
      </c>
      <c r="K822">
        <v>186</v>
      </c>
      <c r="L822">
        <v>5.4794520547945212E-4</v>
      </c>
      <c r="M822">
        <v>2501.2679452054799</v>
      </c>
      <c r="N822">
        <v>465235.83780821925</v>
      </c>
    </row>
    <row r="823" spans="1:14" x14ac:dyDescent="0.25">
      <c r="A823" t="s">
        <v>1546</v>
      </c>
      <c r="B823" t="s">
        <v>17</v>
      </c>
      <c r="C823">
        <v>62</v>
      </c>
      <c r="D823" t="s">
        <v>18</v>
      </c>
      <c r="E823" t="s">
        <v>29</v>
      </c>
      <c r="F823" t="s">
        <v>30</v>
      </c>
      <c r="G823">
        <v>234666</v>
      </c>
      <c r="H823">
        <v>33.340000000000003</v>
      </c>
      <c r="I823">
        <v>28.87</v>
      </c>
      <c r="J823" s="1">
        <v>44687</v>
      </c>
      <c r="K823">
        <v>83</v>
      </c>
      <c r="L823">
        <v>5.4794520547945212E-4</v>
      </c>
      <c r="M823">
        <v>128.58410958904111</v>
      </c>
      <c r="N823">
        <v>10672.481095890411</v>
      </c>
    </row>
    <row r="824" spans="1:14" x14ac:dyDescent="0.25">
      <c r="A824" t="s">
        <v>1547</v>
      </c>
      <c r="B824" t="s">
        <v>11</v>
      </c>
      <c r="C824">
        <v>59</v>
      </c>
      <c r="D824" t="s">
        <v>28</v>
      </c>
      <c r="E824" t="s">
        <v>57</v>
      </c>
      <c r="F824" t="s">
        <v>14</v>
      </c>
      <c r="G824">
        <v>3809179</v>
      </c>
      <c r="H824">
        <v>32.090000000000003</v>
      </c>
      <c r="I824">
        <v>41.63</v>
      </c>
      <c r="J824" s="1">
        <v>43117</v>
      </c>
      <c r="K824">
        <v>348</v>
      </c>
      <c r="L824">
        <v>5.4794520547945212E-4</v>
      </c>
      <c r="M824">
        <v>2087.2213698630139</v>
      </c>
      <c r="N824">
        <v>726353.0367123289</v>
      </c>
    </row>
    <row r="825" spans="1:14" x14ac:dyDescent="0.25">
      <c r="A825" t="s">
        <v>1548</v>
      </c>
      <c r="B825" t="s">
        <v>17</v>
      </c>
      <c r="C825">
        <v>26</v>
      </c>
      <c r="D825" t="s">
        <v>28</v>
      </c>
      <c r="E825" t="s">
        <v>29</v>
      </c>
      <c r="F825" t="s">
        <v>35</v>
      </c>
      <c r="G825">
        <v>942339</v>
      </c>
      <c r="H825">
        <v>5.63</v>
      </c>
      <c r="I825">
        <v>-9.7799999999999994</v>
      </c>
      <c r="J825" s="1">
        <v>44895</v>
      </c>
      <c r="K825">
        <v>199</v>
      </c>
      <c r="L825">
        <v>5.4794520547945212E-4</v>
      </c>
      <c r="M825">
        <v>516.35013698630144</v>
      </c>
      <c r="N825">
        <v>102753.67726027398</v>
      </c>
    </row>
    <row r="826" spans="1:14" x14ac:dyDescent="0.25">
      <c r="A826" t="s">
        <v>1550</v>
      </c>
      <c r="B826" t="s">
        <v>17</v>
      </c>
      <c r="C826">
        <v>44</v>
      </c>
      <c r="D826" t="s">
        <v>12</v>
      </c>
      <c r="E826" t="s">
        <v>57</v>
      </c>
      <c r="F826" t="s">
        <v>14</v>
      </c>
      <c r="G826">
        <v>745583</v>
      </c>
      <c r="H826">
        <v>28.4</v>
      </c>
      <c r="I826">
        <v>8.26</v>
      </c>
      <c r="J826" s="1">
        <v>43696</v>
      </c>
      <c r="K826">
        <v>43</v>
      </c>
      <c r="L826">
        <v>5.4794520547945212E-4</v>
      </c>
      <c r="M826">
        <v>408.53863013698634</v>
      </c>
      <c r="N826">
        <v>17567.161095890413</v>
      </c>
    </row>
    <row r="827" spans="1:14" x14ac:dyDescent="0.25">
      <c r="A827" t="s">
        <v>1551</v>
      </c>
      <c r="B827" t="s">
        <v>17</v>
      </c>
      <c r="C827">
        <v>45</v>
      </c>
      <c r="D827" t="s">
        <v>12</v>
      </c>
      <c r="E827" t="s">
        <v>19</v>
      </c>
      <c r="F827" t="s">
        <v>14</v>
      </c>
      <c r="G827">
        <v>337855</v>
      </c>
      <c r="H827">
        <v>18.09</v>
      </c>
      <c r="I827">
        <v>35.75</v>
      </c>
      <c r="J827" s="1">
        <v>44837</v>
      </c>
      <c r="K827">
        <v>88</v>
      </c>
      <c r="L827">
        <v>5.4794520547945212E-4</v>
      </c>
      <c r="M827">
        <v>185.12602739726029</v>
      </c>
      <c r="N827">
        <v>16291.090410958905</v>
      </c>
    </row>
    <row r="828" spans="1:14" x14ac:dyDescent="0.25">
      <c r="A828" t="s">
        <v>1552</v>
      </c>
      <c r="B828" t="s">
        <v>11</v>
      </c>
      <c r="C828">
        <v>32</v>
      </c>
      <c r="D828" t="s">
        <v>28</v>
      </c>
      <c r="E828" t="s">
        <v>23</v>
      </c>
      <c r="F828" t="s">
        <v>41</v>
      </c>
      <c r="G828">
        <v>4540148</v>
      </c>
      <c r="H828">
        <v>23.97</v>
      </c>
      <c r="I828">
        <v>15.23</v>
      </c>
      <c r="J828" s="1">
        <v>45571</v>
      </c>
      <c r="K828">
        <v>325</v>
      </c>
      <c r="L828">
        <v>5.4794520547945212E-4</v>
      </c>
      <c r="M828">
        <v>2487.7523287671238</v>
      </c>
      <c r="N828">
        <v>808519.50684931525</v>
      </c>
    </row>
    <row r="829" spans="1:14" x14ac:dyDescent="0.25">
      <c r="A829" t="s">
        <v>1553</v>
      </c>
      <c r="B829" t="s">
        <v>11</v>
      </c>
      <c r="C829">
        <v>60</v>
      </c>
      <c r="D829" t="s">
        <v>46</v>
      </c>
      <c r="E829" t="s">
        <v>50</v>
      </c>
      <c r="F829" t="s">
        <v>47</v>
      </c>
      <c r="G829">
        <v>2033603</v>
      </c>
      <c r="H829">
        <v>28.85</v>
      </c>
      <c r="I829">
        <v>10.49</v>
      </c>
      <c r="J829" s="1">
        <v>43966</v>
      </c>
      <c r="K829">
        <v>259</v>
      </c>
      <c r="L829">
        <v>5.4794520547945212E-4</v>
      </c>
      <c r="M829">
        <v>1114.3030136986304</v>
      </c>
      <c r="N829">
        <v>288604.48054794525</v>
      </c>
    </row>
    <row r="830" spans="1:14" x14ac:dyDescent="0.25">
      <c r="A830" t="s">
        <v>1555</v>
      </c>
      <c r="B830" t="s">
        <v>11</v>
      </c>
      <c r="C830">
        <v>61</v>
      </c>
      <c r="D830" t="s">
        <v>38</v>
      </c>
      <c r="E830" t="s">
        <v>50</v>
      </c>
      <c r="F830" t="s">
        <v>41</v>
      </c>
      <c r="G830">
        <v>2085991</v>
      </c>
      <c r="H830">
        <v>26.21</v>
      </c>
      <c r="I830">
        <v>12.71</v>
      </c>
      <c r="J830" s="1">
        <v>43268</v>
      </c>
      <c r="K830">
        <v>120</v>
      </c>
      <c r="L830">
        <v>5.4794520547945212E-4</v>
      </c>
      <c r="M830">
        <v>1143.0087671232877</v>
      </c>
      <c r="N830">
        <v>137161.05205479453</v>
      </c>
    </row>
    <row r="831" spans="1:14" x14ac:dyDescent="0.25">
      <c r="A831" t="s">
        <v>1556</v>
      </c>
      <c r="B831" t="s">
        <v>11</v>
      </c>
      <c r="C831">
        <v>57</v>
      </c>
      <c r="D831" t="s">
        <v>28</v>
      </c>
      <c r="E831" t="s">
        <v>50</v>
      </c>
      <c r="F831" t="s">
        <v>47</v>
      </c>
      <c r="G831">
        <v>3398714</v>
      </c>
      <c r="H831">
        <v>22.68</v>
      </c>
      <c r="I831">
        <v>26.83</v>
      </c>
      <c r="J831" s="1">
        <v>45514</v>
      </c>
      <c r="K831">
        <v>257</v>
      </c>
      <c r="L831">
        <v>5.4794520547945212E-4</v>
      </c>
      <c r="M831">
        <v>1862.3090410958907</v>
      </c>
      <c r="N831">
        <v>478613.42356164393</v>
      </c>
    </row>
    <row r="832" spans="1:14" x14ac:dyDescent="0.25">
      <c r="A832" t="s">
        <v>1558</v>
      </c>
      <c r="B832" t="s">
        <v>11</v>
      </c>
      <c r="C832">
        <v>51</v>
      </c>
      <c r="D832" t="s">
        <v>46</v>
      </c>
      <c r="E832" t="s">
        <v>29</v>
      </c>
      <c r="F832" t="s">
        <v>14</v>
      </c>
      <c r="G832">
        <v>4251396</v>
      </c>
      <c r="H832">
        <v>22.88</v>
      </c>
      <c r="I832">
        <v>4.47</v>
      </c>
      <c r="J832" s="1">
        <v>43777</v>
      </c>
      <c r="K832">
        <v>225</v>
      </c>
      <c r="L832">
        <v>5.4794520547945212E-4</v>
      </c>
      <c r="M832">
        <v>2329.5320547945207</v>
      </c>
      <c r="N832">
        <v>524144.71232876717</v>
      </c>
    </row>
    <row r="833" spans="1:14" x14ac:dyDescent="0.25">
      <c r="A833" t="s">
        <v>1559</v>
      </c>
      <c r="B833" t="s">
        <v>11</v>
      </c>
      <c r="C833">
        <v>64</v>
      </c>
      <c r="D833" t="s">
        <v>38</v>
      </c>
      <c r="E833" t="s">
        <v>19</v>
      </c>
      <c r="F833" t="s">
        <v>30</v>
      </c>
      <c r="G833">
        <v>998747</v>
      </c>
      <c r="H833">
        <v>13.68</v>
      </c>
      <c r="I833">
        <v>37.08</v>
      </c>
      <c r="J833" s="1">
        <v>45223</v>
      </c>
      <c r="K833">
        <v>73</v>
      </c>
      <c r="L833">
        <v>5.4794520547945212E-4</v>
      </c>
      <c r="M833">
        <v>547.25863013698643</v>
      </c>
      <c r="N833">
        <v>39949.880000000012</v>
      </c>
    </row>
    <row r="834" spans="1:14" x14ac:dyDescent="0.25">
      <c r="A834" t="s">
        <v>1560</v>
      </c>
      <c r="B834" t="s">
        <v>17</v>
      </c>
      <c r="C834">
        <v>37</v>
      </c>
      <c r="D834" t="s">
        <v>12</v>
      </c>
      <c r="E834" t="s">
        <v>50</v>
      </c>
      <c r="F834" t="s">
        <v>35</v>
      </c>
      <c r="G834">
        <v>805305</v>
      </c>
      <c r="H834">
        <v>30.34</v>
      </c>
      <c r="I834">
        <v>18.47</v>
      </c>
      <c r="J834" s="1">
        <v>43762</v>
      </c>
      <c r="K834">
        <v>170</v>
      </c>
      <c r="L834">
        <v>5.4794520547945212E-4</v>
      </c>
      <c r="M834">
        <v>441.26301369863017</v>
      </c>
      <c r="N834">
        <v>75014.712328767127</v>
      </c>
    </row>
    <row r="835" spans="1:14" x14ac:dyDescent="0.25">
      <c r="A835" t="s">
        <v>1561</v>
      </c>
      <c r="B835" t="s">
        <v>17</v>
      </c>
      <c r="C835">
        <v>30</v>
      </c>
      <c r="D835" t="s">
        <v>38</v>
      </c>
      <c r="E835" t="s">
        <v>50</v>
      </c>
      <c r="F835" t="s">
        <v>30</v>
      </c>
      <c r="G835">
        <v>4644353</v>
      </c>
      <c r="H835">
        <v>12.45</v>
      </c>
      <c r="I835">
        <v>28.16</v>
      </c>
      <c r="J835" s="1">
        <v>44428</v>
      </c>
      <c r="K835">
        <v>269</v>
      </c>
      <c r="L835">
        <v>5.4794520547945212E-4</v>
      </c>
      <c r="M835">
        <v>2544.85095890411</v>
      </c>
      <c r="N835">
        <v>684564.90794520557</v>
      </c>
    </row>
    <row r="836" spans="1:14" x14ac:dyDescent="0.25">
      <c r="A836" t="s">
        <v>1562</v>
      </c>
      <c r="B836" t="s">
        <v>11</v>
      </c>
      <c r="C836">
        <v>24</v>
      </c>
      <c r="D836" t="s">
        <v>12</v>
      </c>
      <c r="E836" t="s">
        <v>50</v>
      </c>
      <c r="F836" t="s">
        <v>14</v>
      </c>
      <c r="G836">
        <v>2219465</v>
      </c>
      <c r="H836">
        <v>20.440000000000001</v>
      </c>
      <c r="I836">
        <v>-3.92</v>
      </c>
      <c r="J836" s="1">
        <v>43141</v>
      </c>
      <c r="K836">
        <v>197</v>
      </c>
      <c r="L836">
        <v>5.4794520547945212E-4</v>
      </c>
      <c r="M836">
        <v>1216.1452054794522</v>
      </c>
      <c r="N836">
        <v>239580.60547945209</v>
      </c>
    </row>
    <row r="837" spans="1:14" x14ac:dyDescent="0.25">
      <c r="A837" t="s">
        <v>1563</v>
      </c>
      <c r="B837" t="s">
        <v>17</v>
      </c>
      <c r="C837">
        <v>44</v>
      </c>
      <c r="D837" t="s">
        <v>28</v>
      </c>
      <c r="E837" t="s">
        <v>19</v>
      </c>
      <c r="F837" t="s">
        <v>20</v>
      </c>
      <c r="G837">
        <v>4571007</v>
      </c>
      <c r="H837">
        <v>13.05</v>
      </c>
      <c r="I837">
        <v>5.13</v>
      </c>
      <c r="J837" s="1">
        <v>44052</v>
      </c>
      <c r="K837">
        <v>295</v>
      </c>
      <c r="L837">
        <v>5.4794520547945212E-4</v>
      </c>
      <c r="M837">
        <v>2504.661369863014</v>
      </c>
      <c r="N837">
        <v>738875.10410958913</v>
      </c>
    </row>
    <row r="838" spans="1:14" x14ac:dyDescent="0.25">
      <c r="A838" t="s">
        <v>1565</v>
      </c>
      <c r="B838" t="s">
        <v>11</v>
      </c>
      <c r="C838">
        <v>41</v>
      </c>
      <c r="D838" t="s">
        <v>12</v>
      </c>
      <c r="E838" t="s">
        <v>50</v>
      </c>
      <c r="F838" t="s">
        <v>30</v>
      </c>
      <c r="G838">
        <v>4374969</v>
      </c>
      <c r="H838">
        <v>7.34</v>
      </c>
      <c r="I838">
        <v>16.52</v>
      </c>
      <c r="J838" s="1">
        <v>43447</v>
      </c>
      <c r="K838">
        <v>100</v>
      </c>
      <c r="L838">
        <v>5.4794520547945212E-4</v>
      </c>
      <c r="M838">
        <v>2397.2432876712332</v>
      </c>
      <c r="N838">
        <v>239724.32876712331</v>
      </c>
    </row>
    <row r="839" spans="1:14" x14ac:dyDescent="0.25">
      <c r="A839" t="s">
        <v>1566</v>
      </c>
      <c r="B839" t="s">
        <v>11</v>
      </c>
      <c r="C839">
        <v>34</v>
      </c>
      <c r="D839" t="s">
        <v>28</v>
      </c>
      <c r="E839" t="s">
        <v>23</v>
      </c>
      <c r="F839" t="s">
        <v>41</v>
      </c>
      <c r="G839">
        <v>1350083</v>
      </c>
      <c r="H839">
        <v>24.79</v>
      </c>
      <c r="I839">
        <v>44.21</v>
      </c>
      <c r="J839" s="1">
        <v>43790</v>
      </c>
      <c r="K839">
        <v>194</v>
      </c>
      <c r="L839">
        <v>5.4794520547945212E-4</v>
      </c>
      <c r="M839">
        <v>739.77150684931519</v>
      </c>
      <c r="N839">
        <v>143515.67232876713</v>
      </c>
    </row>
    <row r="840" spans="1:14" x14ac:dyDescent="0.25">
      <c r="A840" t="s">
        <v>1568</v>
      </c>
      <c r="B840" t="s">
        <v>11</v>
      </c>
      <c r="C840">
        <v>45</v>
      </c>
      <c r="D840" t="s">
        <v>18</v>
      </c>
      <c r="E840" t="s">
        <v>19</v>
      </c>
      <c r="F840" t="s">
        <v>20</v>
      </c>
      <c r="G840">
        <v>847232</v>
      </c>
      <c r="H840">
        <v>21.63</v>
      </c>
      <c r="I840">
        <v>33.85</v>
      </c>
      <c r="J840" s="1">
        <v>45412</v>
      </c>
      <c r="K840">
        <v>21</v>
      </c>
      <c r="L840">
        <v>5.4794520547945212E-4</v>
      </c>
      <c r="M840">
        <v>464.23671232876717</v>
      </c>
      <c r="N840">
        <v>9748.9709589041104</v>
      </c>
    </row>
    <row r="841" spans="1:14" x14ac:dyDescent="0.25">
      <c r="A841" t="s">
        <v>1570</v>
      </c>
      <c r="B841" t="s">
        <v>17</v>
      </c>
      <c r="C841">
        <v>52</v>
      </c>
      <c r="D841" t="s">
        <v>46</v>
      </c>
      <c r="E841" t="s">
        <v>57</v>
      </c>
      <c r="F841" t="s">
        <v>14</v>
      </c>
      <c r="G841">
        <v>4457672</v>
      </c>
      <c r="H841">
        <v>21.69</v>
      </c>
      <c r="I841">
        <v>-5.73</v>
      </c>
      <c r="J841" s="1">
        <v>44278</v>
      </c>
      <c r="K841">
        <v>84</v>
      </c>
      <c r="L841">
        <v>5.4794520547945212E-4</v>
      </c>
      <c r="M841">
        <v>2442.5600000000004</v>
      </c>
      <c r="N841">
        <v>205175.04000000004</v>
      </c>
    </row>
    <row r="842" spans="1:14" x14ac:dyDescent="0.25">
      <c r="A842" t="s">
        <v>1571</v>
      </c>
      <c r="B842" t="s">
        <v>17</v>
      </c>
      <c r="C842">
        <v>51</v>
      </c>
      <c r="D842" t="s">
        <v>38</v>
      </c>
      <c r="E842" t="s">
        <v>13</v>
      </c>
      <c r="F842" t="s">
        <v>20</v>
      </c>
      <c r="G842">
        <v>83271</v>
      </c>
      <c r="H842">
        <v>12.94</v>
      </c>
      <c r="I842">
        <v>1.17</v>
      </c>
      <c r="J842" s="1">
        <v>43637</v>
      </c>
      <c r="K842">
        <v>120</v>
      </c>
      <c r="L842">
        <v>5.4794520547945212E-4</v>
      </c>
      <c r="M842">
        <v>45.627945205479456</v>
      </c>
      <c r="N842">
        <v>5475.3534246575346</v>
      </c>
    </row>
    <row r="843" spans="1:14" x14ac:dyDescent="0.25">
      <c r="A843" t="s">
        <v>1572</v>
      </c>
      <c r="B843" t="s">
        <v>17</v>
      </c>
      <c r="C843">
        <v>31</v>
      </c>
      <c r="D843" t="s">
        <v>28</v>
      </c>
      <c r="E843" t="s">
        <v>19</v>
      </c>
      <c r="F843" t="s">
        <v>47</v>
      </c>
      <c r="G843">
        <v>1528491</v>
      </c>
      <c r="H843">
        <v>5.18</v>
      </c>
      <c r="I843">
        <v>9.83</v>
      </c>
      <c r="J843" s="1">
        <v>43909</v>
      </c>
      <c r="K843">
        <v>138</v>
      </c>
      <c r="L843">
        <v>5.4794520547945212E-4</v>
      </c>
      <c r="M843">
        <v>837.52931506849325</v>
      </c>
      <c r="N843">
        <v>115579.04547945206</v>
      </c>
    </row>
    <row r="844" spans="1:14" x14ac:dyDescent="0.25">
      <c r="A844" t="s">
        <v>1573</v>
      </c>
      <c r="B844" t="s">
        <v>11</v>
      </c>
      <c r="C844">
        <v>49</v>
      </c>
      <c r="D844" t="s">
        <v>38</v>
      </c>
      <c r="E844" t="s">
        <v>57</v>
      </c>
      <c r="F844" t="s">
        <v>30</v>
      </c>
      <c r="G844">
        <v>1349302</v>
      </c>
      <c r="H844">
        <v>28.59</v>
      </c>
      <c r="I844">
        <v>9.7799999999999994</v>
      </c>
      <c r="J844" s="1">
        <v>44297</v>
      </c>
      <c r="K844">
        <v>287</v>
      </c>
      <c r="L844">
        <v>5.4794520547945212E-4</v>
      </c>
      <c r="M844">
        <v>739.34356164383576</v>
      </c>
      <c r="N844">
        <v>212191.60219178087</v>
      </c>
    </row>
    <row r="845" spans="1:14" x14ac:dyDescent="0.25">
      <c r="A845" t="s">
        <v>1575</v>
      </c>
      <c r="B845" t="s">
        <v>17</v>
      </c>
      <c r="C845">
        <v>54</v>
      </c>
      <c r="D845" t="s">
        <v>46</v>
      </c>
      <c r="E845" t="s">
        <v>57</v>
      </c>
      <c r="F845" t="s">
        <v>35</v>
      </c>
      <c r="G845">
        <v>1589385</v>
      </c>
      <c r="H845">
        <v>25.76</v>
      </c>
      <c r="I845">
        <v>11.54</v>
      </c>
      <c r="J845" s="1">
        <v>45075</v>
      </c>
      <c r="K845">
        <v>345</v>
      </c>
      <c r="L845">
        <v>5.4794520547945212E-4</v>
      </c>
      <c r="M845">
        <v>870.89589041095905</v>
      </c>
      <c r="N845">
        <v>300459.08219178085</v>
      </c>
    </row>
    <row r="846" spans="1:14" x14ac:dyDescent="0.25">
      <c r="A846" t="s">
        <v>1577</v>
      </c>
      <c r="B846" t="s">
        <v>11</v>
      </c>
      <c r="C846">
        <v>63</v>
      </c>
      <c r="D846" t="s">
        <v>46</v>
      </c>
      <c r="E846" t="s">
        <v>23</v>
      </c>
      <c r="F846" t="s">
        <v>14</v>
      </c>
      <c r="G846">
        <v>1124760</v>
      </c>
      <c r="H846">
        <v>27.26</v>
      </c>
      <c r="I846">
        <v>13.29</v>
      </c>
      <c r="J846" s="1">
        <v>45263</v>
      </c>
      <c r="K846">
        <v>319</v>
      </c>
      <c r="L846">
        <v>5.4794520547945212E-4</v>
      </c>
      <c r="M846">
        <v>616.30684931506858</v>
      </c>
      <c r="N846">
        <v>196601.88493150688</v>
      </c>
    </row>
    <row r="847" spans="1:14" x14ac:dyDescent="0.25">
      <c r="A847" t="s">
        <v>1578</v>
      </c>
      <c r="B847" t="s">
        <v>17</v>
      </c>
      <c r="C847">
        <v>21</v>
      </c>
      <c r="D847" t="s">
        <v>18</v>
      </c>
      <c r="E847" t="s">
        <v>19</v>
      </c>
      <c r="F847" t="s">
        <v>30</v>
      </c>
      <c r="G847">
        <v>2493541</v>
      </c>
      <c r="H847">
        <v>33.950000000000003</v>
      </c>
      <c r="I847">
        <v>37.880000000000003</v>
      </c>
      <c r="J847" s="1">
        <v>45578</v>
      </c>
      <c r="K847">
        <v>10</v>
      </c>
      <c r="L847">
        <v>5.4794520547945212E-4</v>
      </c>
      <c r="M847">
        <v>1366.3238356164386</v>
      </c>
      <c r="N847">
        <v>13663.238356164386</v>
      </c>
    </row>
    <row r="848" spans="1:14" x14ac:dyDescent="0.25">
      <c r="A848" t="s">
        <v>1580</v>
      </c>
      <c r="B848" t="s">
        <v>11</v>
      </c>
      <c r="C848">
        <v>62</v>
      </c>
      <c r="D848" t="s">
        <v>38</v>
      </c>
      <c r="E848" t="s">
        <v>50</v>
      </c>
      <c r="F848" t="s">
        <v>35</v>
      </c>
      <c r="G848">
        <v>3355855</v>
      </c>
      <c r="H848">
        <v>23.07</v>
      </c>
      <c r="I848">
        <v>29.2</v>
      </c>
      <c r="J848" s="1">
        <v>45003</v>
      </c>
      <c r="K848">
        <v>100</v>
      </c>
      <c r="L848">
        <v>5.4794520547945212E-4</v>
      </c>
      <c r="M848">
        <v>1838.8246575342469</v>
      </c>
      <c r="N848">
        <v>183882.46575342468</v>
      </c>
    </row>
    <row r="849" spans="1:14" x14ac:dyDescent="0.25">
      <c r="A849" t="s">
        <v>1581</v>
      </c>
      <c r="B849" t="s">
        <v>11</v>
      </c>
      <c r="C849">
        <v>23</v>
      </c>
      <c r="D849" t="s">
        <v>38</v>
      </c>
      <c r="E849" t="s">
        <v>13</v>
      </c>
      <c r="F849" t="s">
        <v>30</v>
      </c>
      <c r="G849">
        <v>3418319</v>
      </c>
      <c r="H849">
        <v>7.04</v>
      </c>
      <c r="I849">
        <v>40.200000000000003</v>
      </c>
      <c r="J849" s="1">
        <v>43411</v>
      </c>
      <c r="K849">
        <v>244</v>
      </c>
      <c r="L849">
        <v>5.4794520547945212E-4</v>
      </c>
      <c r="M849">
        <v>1873.0515068493153</v>
      </c>
      <c r="N849">
        <v>457024.56767123292</v>
      </c>
    </row>
    <row r="850" spans="1:14" x14ac:dyDescent="0.25">
      <c r="A850" t="s">
        <v>1583</v>
      </c>
      <c r="B850" t="s">
        <v>17</v>
      </c>
      <c r="C850">
        <v>44</v>
      </c>
      <c r="D850" t="s">
        <v>18</v>
      </c>
      <c r="E850" t="s">
        <v>57</v>
      </c>
      <c r="F850" t="s">
        <v>41</v>
      </c>
      <c r="G850">
        <v>536125</v>
      </c>
      <c r="H850">
        <v>33.44</v>
      </c>
      <c r="I850">
        <v>38.03</v>
      </c>
      <c r="J850" s="1">
        <v>45253</v>
      </c>
      <c r="K850">
        <v>284</v>
      </c>
      <c r="L850">
        <v>5.4794520547945212E-4</v>
      </c>
      <c r="M850">
        <v>293.76712328767127</v>
      </c>
      <c r="N850">
        <v>83429.863013698647</v>
      </c>
    </row>
    <row r="851" spans="1:14" x14ac:dyDescent="0.25">
      <c r="A851" t="s">
        <v>1585</v>
      </c>
      <c r="B851" t="s">
        <v>17</v>
      </c>
      <c r="C851">
        <v>27</v>
      </c>
      <c r="D851" t="s">
        <v>18</v>
      </c>
      <c r="E851" t="s">
        <v>50</v>
      </c>
      <c r="F851" t="s">
        <v>35</v>
      </c>
      <c r="G851">
        <v>4463495</v>
      </c>
      <c r="H851">
        <v>34.380000000000003</v>
      </c>
      <c r="I851">
        <v>-6.11</v>
      </c>
      <c r="J851" s="1">
        <v>43621</v>
      </c>
      <c r="K851">
        <v>227</v>
      </c>
      <c r="L851">
        <v>5.4794520547945212E-4</v>
      </c>
      <c r="M851">
        <v>2445.7506849315073</v>
      </c>
      <c r="N851">
        <v>555185.40547945211</v>
      </c>
    </row>
    <row r="852" spans="1:14" x14ac:dyDescent="0.25">
      <c r="A852" t="s">
        <v>1587</v>
      </c>
      <c r="B852" t="s">
        <v>17</v>
      </c>
      <c r="C852">
        <v>22</v>
      </c>
      <c r="D852" t="s">
        <v>38</v>
      </c>
      <c r="E852" t="s">
        <v>57</v>
      </c>
      <c r="F852" t="s">
        <v>35</v>
      </c>
      <c r="G852">
        <v>1706612</v>
      </c>
      <c r="H852">
        <v>7.45</v>
      </c>
      <c r="I852">
        <v>11.17</v>
      </c>
      <c r="J852" s="1">
        <v>44445</v>
      </c>
      <c r="K852">
        <v>153</v>
      </c>
      <c r="L852">
        <v>5.4794520547945212E-4</v>
      </c>
      <c r="M852">
        <v>935.1298630136987</v>
      </c>
      <c r="N852">
        <v>143074.8690410959</v>
      </c>
    </row>
    <row r="853" spans="1:14" x14ac:dyDescent="0.25">
      <c r="A853" t="s">
        <v>1588</v>
      </c>
      <c r="B853" t="s">
        <v>17</v>
      </c>
      <c r="C853">
        <v>29</v>
      </c>
      <c r="D853" t="s">
        <v>28</v>
      </c>
      <c r="E853" t="s">
        <v>19</v>
      </c>
      <c r="F853" t="s">
        <v>30</v>
      </c>
      <c r="G853">
        <v>3277344</v>
      </c>
      <c r="H853">
        <v>29.23</v>
      </c>
      <c r="I853">
        <v>42.01</v>
      </c>
      <c r="J853" s="1">
        <v>43242</v>
      </c>
      <c r="K853">
        <v>23</v>
      </c>
      <c r="L853">
        <v>5.4794520547945212E-4</v>
      </c>
      <c r="M853">
        <v>1795.8049315068495</v>
      </c>
      <c r="N853">
        <v>41303.51342465754</v>
      </c>
    </row>
    <row r="854" spans="1:14" x14ac:dyDescent="0.25">
      <c r="A854" t="s">
        <v>1590</v>
      </c>
      <c r="B854" t="s">
        <v>11</v>
      </c>
      <c r="C854">
        <v>53</v>
      </c>
      <c r="D854" t="s">
        <v>38</v>
      </c>
      <c r="E854" t="s">
        <v>29</v>
      </c>
      <c r="F854" t="s">
        <v>14</v>
      </c>
      <c r="G854">
        <v>1469798</v>
      </c>
      <c r="H854">
        <v>13.64</v>
      </c>
      <c r="I854">
        <v>7.61</v>
      </c>
      <c r="J854" s="1">
        <v>45049</v>
      </c>
      <c r="K854">
        <v>231</v>
      </c>
      <c r="L854">
        <v>5.4794520547945212E-4</v>
      </c>
      <c r="M854">
        <v>805.36876712328774</v>
      </c>
      <c r="N854">
        <v>186040.18520547947</v>
      </c>
    </row>
    <row r="855" spans="1:14" x14ac:dyDescent="0.25">
      <c r="A855" t="s">
        <v>1591</v>
      </c>
      <c r="B855" t="s">
        <v>17</v>
      </c>
      <c r="C855">
        <v>61</v>
      </c>
      <c r="D855" t="s">
        <v>38</v>
      </c>
      <c r="E855" t="s">
        <v>13</v>
      </c>
      <c r="F855" t="s">
        <v>41</v>
      </c>
      <c r="G855">
        <v>83257</v>
      </c>
      <c r="H855">
        <v>9.6300000000000008</v>
      </c>
      <c r="I855">
        <v>21.6</v>
      </c>
      <c r="J855" s="1">
        <v>43540</v>
      </c>
      <c r="K855">
        <v>316</v>
      </c>
      <c r="L855">
        <v>5.4794520547945212E-4</v>
      </c>
      <c r="M855">
        <v>45.620273972602746</v>
      </c>
      <c r="N855">
        <v>14416.006575342468</v>
      </c>
    </row>
    <row r="856" spans="1:14" x14ac:dyDescent="0.25">
      <c r="A856" t="s">
        <v>1592</v>
      </c>
      <c r="B856" t="s">
        <v>11</v>
      </c>
      <c r="C856">
        <v>35</v>
      </c>
      <c r="D856" t="s">
        <v>28</v>
      </c>
      <c r="E856" t="s">
        <v>23</v>
      </c>
      <c r="F856" t="s">
        <v>30</v>
      </c>
      <c r="G856">
        <v>4545250</v>
      </c>
      <c r="H856">
        <v>10.06</v>
      </c>
      <c r="I856">
        <v>0.93</v>
      </c>
      <c r="J856" s="1">
        <v>45565</v>
      </c>
      <c r="K856">
        <v>98</v>
      </c>
      <c r="L856">
        <v>5.4794520547945212E-4</v>
      </c>
      <c r="M856">
        <v>2490.5479452054797</v>
      </c>
      <c r="N856">
        <v>244073.69863013702</v>
      </c>
    </row>
    <row r="857" spans="1:14" x14ac:dyDescent="0.25">
      <c r="A857" t="s">
        <v>1594</v>
      </c>
      <c r="B857" t="s">
        <v>11</v>
      </c>
      <c r="C857">
        <v>58</v>
      </c>
      <c r="D857" t="s">
        <v>38</v>
      </c>
      <c r="E857" t="s">
        <v>23</v>
      </c>
      <c r="F857" t="s">
        <v>14</v>
      </c>
      <c r="G857">
        <v>1224875</v>
      </c>
      <c r="H857">
        <v>34.479999999999997</v>
      </c>
      <c r="I857">
        <v>5.82</v>
      </c>
      <c r="J857" s="1">
        <v>45497</v>
      </c>
      <c r="K857">
        <v>251</v>
      </c>
      <c r="L857">
        <v>5.4794520547945212E-4</v>
      </c>
      <c r="M857">
        <v>671.16438356164394</v>
      </c>
      <c r="N857">
        <v>168462.26027397264</v>
      </c>
    </row>
    <row r="858" spans="1:14" x14ac:dyDescent="0.25">
      <c r="A858" t="s">
        <v>1596</v>
      </c>
      <c r="B858" t="s">
        <v>17</v>
      </c>
      <c r="C858">
        <v>54</v>
      </c>
      <c r="D858" t="s">
        <v>28</v>
      </c>
      <c r="E858" t="s">
        <v>57</v>
      </c>
      <c r="F858" t="s">
        <v>20</v>
      </c>
      <c r="G858">
        <v>472812</v>
      </c>
      <c r="H858">
        <v>30.87</v>
      </c>
      <c r="I858">
        <v>18.989999999999998</v>
      </c>
      <c r="J858" s="1">
        <v>43715</v>
      </c>
      <c r="K858">
        <v>317</v>
      </c>
      <c r="L858">
        <v>5.4794520547945212E-4</v>
      </c>
      <c r="M858">
        <v>259.0750684931507</v>
      </c>
      <c r="N858">
        <v>82126.796712328767</v>
      </c>
    </row>
    <row r="859" spans="1:14" x14ac:dyDescent="0.25">
      <c r="A859" t="s">
        <v>1598</v>
      </c>
      <c r="B859" t="s">
        <v>11</v>
      </c>
      <c r="C859">
        <v>55</v>
      </c>
      <c r="D859" t="s">
        <v>46</v>
      </c>
      <c r="E859" t="s">
        <v>29</v>
      </c>
      <c r="F859" t="s">
        <v>41</v>
      </c>
      <c r="G859">
        <v>1129594</v>
      </c>
      <c r="H859">
        <v>24.26</v>
      </c>
      <c r="I859">
        <v>25.01</v>
      </c>
      <c r="J859" s="1">
        <v>44260</v>
      </c>
      <c r="K859">
        <v>11</v>
      </c>
      <c r="L859">
        <v>5.4794520547945212E-4</v>
      </c>
      <c r="M859">
        <v>618.95561643835629</v>
      </c>
      <c r="N859">
        <v>6808.5117808219193</v>
      </c>
    </row>
    <row r="860" spans="1:14" x14ac:dyDescent="0.25">
      <c r="A860" t="s">
        <v>1600</v>
      </c>
      <c r="B860" t="s">
        <v>11</v>
      </c>
      <c r="C860">
        <v>36</v>
      </c>
      <c r="D860" t="s">
        <v>28</v>
      </c>
      <c r="E860" t="s">
        <v>13</v>
      </c>
      <c r="F860" t="s">
        <v>14</v>
      </c>
      <c r="G860">
        <v>2006445</v>
      </c>
      <c r="H860">
        <v>29.02</v>
      </c>
      <c r="I860">
        <v>30.86</v>
      </c>
      <c r="J860" s="1">
        <v>43612</v>
      </c>
      <c r="K860">
        <v>219</v>
      </c>
      <c r="L860">
        <v>5.4794520547945212E-4</v>
      </c>
      <c r="M860">
        <v>1099.4219178082194</v>
      </c>
      <c r="N860">
        <v>240773.40000000005</v>
      </c>
    </row>
    <row r="861" spans="1:14" x14ac:dyDescent="0.25">
      <c r="A861" t="s">
        <v>1602</v>
      </c>
      <c r="B861" t="s">
        <v>11</v>
      </c>
      <c r="C861">
        <v>34</v>
      </c>
      <c r="D861" t="s">
        <v>46</v>
      </c>
      <c r="E861" t="s">
        <v>19</v>
      </c>
      <c r="F861" t="s">
        <v>30</v>
      </c>
      <c r="G861">
        <v>617794</v>
      </c>
      <c r="H861">
        <v>31.32</v>
      </c>
      <c r="I861">
        <v>30.3</v>
      </c>
      <c r="J861" s="1">
        <v>45093</v>
      </c>
      <c r="K861">
        <v>218</v>
      </c>
      <c r="L861">
        <v>5.4794520547945212E-4</v>
      </c>
      <c r="M861">
        <v>338.51726027397262</v>
      </c>
      <c r="N861">
        <v>73796.762739726037</v>
      </c>
    </row>
    <row r="862" spans="1:14" x14ac:dyDescent="0.25">
      <c r="A862" t="s">
        <v>1604</v>
      </c>
      <c r="B862" t="s">
        <v>17</v>
      </c>
      <c r="C862">
        <v>43</v>
      </c>
      <c r="D862" t="s">
        <v>28</v>
      </c>
      <c r="E862" t="s">
        <v>50</v>
      </c>
      <c r="F862" t="s">
        <v>47</v>
      </c>
      <c r="G862">
        <v>3440636</v>
      </c>
      <c r="H862">
        <v>23.87</v>
      </c>
      <c r="I862">
        <v>41.2</v>
      </c>
      <c r="J862" s="1">
        <v>43971</v>
      </c>
      <c r="K862">
        <v>248</v>
      </c>
      <c r="L862">
        <v>5.4794520547945212E-4</v>
      </c>
      <c r="M862">
        <v>1885.2800000000002</v>
      </c>
      <c r="N862">
        <v>467549.44000000006</v>
      </c>
    </row>
    <row r="863" spans="1:14" x14ac:dyDescent="0.25">
      <c r="A863" t="s">
        <v>1606</v>
      </c>
      <c r="B863" t="s">
        <v>11</v>
      </c>
      <c r="C863">
        <v>49</v>
      </c>
      <c r="D863" t="s">
        <v>12</v>
      </c>
      <c r="E863" t="s">
        <v>13</v>
      </c>
      <c r="F863" t="s">
        <v>30</v>
      </c>
      <c r="G863">
        <v>3937233</v>
      </c>
      <c r="H863">
        <v>24.47</v>
      </c>
      <c r="I863">
        <v>28.11</v>
      </c>
      <c r="J863" s="1">
        <v>44864</v>
      </c>
      <c r="K863">
        <v>263</v>
      </c>
      <c r="L863">
        <v>5.4794520547945212E-4</v>
      </c>
      <c r="M863">
        <v>2157.3879452054798</v>
      </c>
      <c r="N863">
        <v>567393.02958904114</v>
      </c>
    </row>
    <row r="864" spans="1:14" x14ac:dyDescent="0.25">
      <c r="A864" t="s">
        <v>1608</v>
      </c>
      <c r="B864" t="s">
        <v>17</v>
      </c>
      <c r="C864">
        <v>41</v>
      </c>
      <c r="D864" t="s">
        <v>38</v>
      </c>
      <c r="E864" t="s">
        <v>19</v>
      </c>
      <c r="F864" t="s">
        <v>14</v>
      </c>
      <c r="G864">
        <v>1430705</v>
      </c>
      <c r="H864">
        <v>20.58</v>
      </c>
      <c r="I864">
        <v>20.99</v>
      </c>
      <c r="J864" s="1">
        <v>45369</v>
      </c>
      <c r="K864">
        <v>135</v>
      </c>
      <c r="L864">
        <v>5.4794520547945212E-4</v>
      </c>
      <c r="M864">
        <v>783.94794520547953</v>
      </c>
      <c r="N864">
        <v>105832.97260273974</v>
      </c>
    </row>
    <row r="865" spans="1:14" x14ac:dyDescent="0.25">
      <c r="A865" t="s">
        <v>1610</v>
      </c>
      <c r="B865" t="s">
        <v>11</v>
      </c>
      <c r="C865">
        <v>24</v>
      </c>
      <c r="D865" t="s">
        <v>28</v>
      </c>
      <c r="E865" t="s">
        <v>19</v>
      </c>
      <c r="F865" t="s">
        <v>47</v>
      </c>
      <c r="G865">
        <v>3391737</v>
      </c>
      <c r="H865">
        <v>27.29</v>
      </c>
      <c r="I865">
        <v>32.57</v>
      </c>
      <c r="J865" s="1">
        <v>44105</v>
      </c>
      <c r="K865">
        <v>244</v>
      </c>
      <c r="L865">
        <v>5.4794520547945212E-4</v>
      </c>
      <c r="M865">
        <v>1858.4860273972606</v>
      </c>
      <c r="N865">
        <v>453470.59068493161</v>
      </c>
    </row>
    <row r="866" spans="1:14" x14ac:dyDescent="0.25">
      <c r="A866" t="s">
        <v>1611</v>
      </c>
      <c r="B866" t="s">
        <v>11</v>
      </c>
      <c r="C866">
        <v>31</v>
      </c>
      <c r="D866" t="s">
        <v>12</v>
      </c>
      <c r="E866" t="s">
        <v>50</v>
      </c>
      <c r="F866" t="s">
        <v>35</v>
      </c>
      <c r="G866">
        <v>4917734</v>
      </c>
      <c r="H866">
        <v>5.58</v>
      </c>
      <c r="I866">
        <v>33.57</v>
      </c>
      <c r="J866" s="1">
        <v>43179</v>
      </c>
      <c r="K866">
        <v>307</v>
      </c>
      <c r="L866">
        <v>5.4794520547945212E-4</v>
      </c>
      <c r="M866">
        <v>2694.6487671232881</v>
      </c>
      <c r="N866">
        <v>827257.17150684947</v>
      </c>
    </row>
    <row r="867" spans="1:14" x14ac:dyDescent="0.25">
      <c r="A867" t="s">
        <v>1612</v>
      </c>
      <c r="B867" t="s">
        <v>11</v>
      </c>
      <c r="C867">
        <v>61</v>
      </c>
      <c r="D867" t="s">
        <v>28</v>
      </c>
      <c r="E867" t="s">
        <v>23</v>
      </c>
      <c r="F867" t="s">
        <v>41</v>
      </c>
      <c r="G867">
        <v>3723002</v>
      </c>
      <c r="H867">
        <v>30.92</v>
      </c>
      <c r="I867">
        <v>13.65</v>
      </c>
      <c r="J867" s="1">
        <v>45247</v>
      </c>
      <c r="K867">
        <v>31</v>
      </c>
      <c r="L867">
        <v>5.4794520547945212E-4</v>
      </c>
      <c r="M867">
        <v>2040.0010958904113</v>
      </c>
      <c r="N867">
        <v>63240.033972602752</v>
      </c>
    </row>
    <row r="868" spans="1:14" x14ac:dyDescent="0.25">
      <c r="A868" t="s">
        <v>1614</v>
      </c>
      <c r="B868" t="s">
        <v>17</v>
      </c>
      <c r="C868">
        <v>27</v>
      </c>
      <c r="D868" t="s">
        <v>46</v>
      </c>
      <c r="E868" t="s">
        <v>57</v>
      </c>
      <c r="F868" t="s">
        <v>30</v>
      </c>
      <c r="G868">
        <v>4863102</v>
      </c>
      <c r="H868">
        <v>21.84</v>
      </c>
      <c r="I868">
        <v>27.16</v>
      </c>
      <c r="J868" s="1">
        <v>43791</v>
      </c>
      <c r="K868">
        <v>300</v>
      </c>
      <c r="L868">
        <v>5.4794520547945212E-4</v>
      </c>
      <c r="M868">
        <v>2664.7134246575347</v>
      </c>
      <c r="N868">
        <v>799414.02739726042</v>
      </c>
    </row>
    <row r="869" spans="1:14" x14ac:dyDescent="0.25">
      <c r="A869" t="s">
        <v>1616</v>
      </c>
      <c r="B869" t="s">
        <v>11</v>
      </c>
      <c r="C869">
        <v>43</v>
      </c>
      <c r="D869" t="s">
        <v>28</v>
      </c>
      <c r="E869" t="s">
        <v>19</v>
      </c>
      <c r="F869" t="s">
        <v>30</v>
      </c>
      <c r="G869">
        <v>4308942</v>
      </c>
      <c r="H869">
        <v>21.4</v>
      </c>
      <c r="I869">
        <v>-2.25</v>
      </c>
      <c r="J869" s="1">
        <v>43956</v>
      </c>
      <c r="K869">
        <v>220</v>
      </c>
      <c r="L869">
        <v>5.4794520547945212E-4</v>
      </c>
      <c r="M869">
        <v>2361.0641095890414</v>
      </c>
      <c r="N869">
        <v>519434.10410958913</v>
      </c>
    </row>
    <row r="870" spans="1:14" x14ac:dyDescent="0.25">
      <c r="A870" t="s">
        <v>1617</v>
      </c>
      <c r="B870" t="s">
        <v>11</v>
      </c>
      <c r="C870">
        <v>47</v>
      </c>
      <c r="D870" t="s">
        <v>12</v>
      </c>
      <c r="E870" t="s">
        <v>50</v>
      </c>
      <c r="F870" t="s">
        <v>14</v>
      </c>
      <c r="G870">
        <v>1136739</v>
      </c>
      <c r="H870">
        <v>25.48</v>
      </c>
      <c r="I870">
        <v>-2.74</v>
      </c>
      <c r="J870" s="1">
        <v>43999</v>
      </c>
      <c r="K870">
        <v>335</v>
      </c>
      <c r="L870">
        <v>5.4794520547945212E-4</v>
      </c>
      <c r="M870">
        <v>622.87068493150696</v>
      </c>
      <c r="N870">
        <v>208661.67945205484</v>
      </c>
    </row>
    <row r="871" spans="1:14" x14ac:dyDescent="0.25">
      <c r="A871" t="s">
        <v>1618</v>
      </c>
      <c r="B871" t="s">
        <v>11</v>
      </c>
      <c r="C871">
        <v>22</v>
      </c>
      <c r="D871" t="s">
        <v>46</v>
      </c>
      <c r="E871" t="s">
        <v>50</v>
      </c>
      <c r="F871" t="s">
        <v>14</v>
      </c>
      <c r="G871">
        <v>3221199</v>
      </c>
      <c r="H871">
        <v>23.34</v>
      </c>
      <c r="I871">
        <v>38.86</v>
      </c>
      <c r="J871" s="1">
        <v>43981</v>
      </c>
      <c r="K871">
        <v>326</v>
      </c>
      <c r="L871">
        <v>5.4794520547945212E-4</v>
      </c>
      <c r="M871">
        <v>1765.0405479452056</v>
      </c>
      <c r="N871">
        <v>575403.21863013704</v>
      </c>
    </row>
    <row r="872" spans="1:14" x14ac:dyDescent="0.25">
      <c r="A872" t="s">
        <v>1620</v>
      </c>
      <c r="B872" t="s">
        <v>17</v>
      </c>
      <c r="C872">
        <v>23</v>
      </c>
      <c r="D872" t="s">
        <v>18</v>
      </c>
      <c r="E872" t="s">
        <v>57</v>
      </c>
      <c r="F872" t="s">
        <v>41</v>
      </c>
      <c r="G872">
        <v>2286379</v>
      </c>
      <c r="H872">
        <v>8.2899999999999991</v>
      </c>
      <c r="I872">
        <v>-9.58</v>
      </c>
      <c r="J872" s="1">
        <v>44740</v>
      </c>
      <c r="K872">
        <v>288</v>
      </c>
      <c r="L872">
        <v>5.4794520547945212E-4</v>
      </c>
      <c r="M872">
        <v>1252.8104109589042</v>
      </c>
      <c r="N872">
        <v>360809.3983561644</v>
      </c>
    </row>
    <row r="873" spans="1:14" x14ac:dyDescent="0.25">
      <c r="A873" t="s">
        <v>1622</v>
      </c>
      <c r="B873" t="s">
        <v>11</v>
      </c>
      <c r="C873">
        <v>51</v>
      </c>
      <c r="D873" t="s">
        <v>46</v>
      </c>
      <c r="E873" t="s">
        <v>57</v>
      </c>
      <c r="F873" t="s">
        <v>41</v>
      </c>
      <c r="G873">
        <v>1182047</v>
      </c>
      <c r="H873">
        <v>11.75</v>
      </c>
      <c r="I873">
        <v>40.450000000000003</v>
      </c>
      <c r="J873" s="1">
        <v>43338</v>
      </c>
      <c r="K873">
        <v>64</v>
      </c>
      <c r="L873">
        <v>5.4794520547945212E-4</v>
      </c>
      <c r="M873">
        <v>647.69698630136998</v>
      </c>
      <c r="N873">
        <v>41452.607123287678</v>
      </c>
    </row>
    <row r="874" spans="1:14" x14ac:dyDescent="0.25">
      <c r="A874" t="s">
        <v>1624</v>
      </c>
      <c r="B874" t="s">
        <v>17</v>
      </c>
      <c r="C874">
        <v>51</v>
      </c>
      <c r="D874" t="s">
        <v>18</v>
      </c>
      <c r="E874" t="s">
        <v>50</v>
      </c>
      <c r="F874" t="s">
        <v>30</v>
      </c>
      <c r="G874">
        <v>2057010</v>
      </c>
      <c r="H874">
        <v>34.67</v>
      </c>
      <c r="I874">
        <v>21.87</v>
      </c>
      <c r="J874" s="1">
        <v>45586</v>
      </c>
      <c r="K874">
        <v>276</v>
      </c>
      <c r="L874">
        <v>5.4794520547945212E-4</v>
      </c>
      <c r="M874">
        <v>1127.1287671232878</v>
      </c>
      <c r="N874">
        <v>311087.53972602746</v>
      </c>
    </row>
    <row r="875" spans="1:14" x14ac:dyDescent="0.25">
      <c r="A875" t="s">
        <v>1626</v>
      </c>
      <c r="B875" t="s">
        <v>17</v>
      </c>
      <c r="C875">
        <v>29</v>
      </c>
      <c r="D875" t="s">
        <v>28</v>
      </c>
      <c r="E875" t="s">
        <v>13</v>
      </c>
      <c r="F875" t="s">
        <v>30</v>
      </c>
      <c r="G875">
        <v>1416474</v>
      </c>
      <c r="H875">
        <v>18.75</v>
      </c>
      <c r="I875">
        <v>34.51</v>
      </c>
      <c r="J875" s="1">
        <v>43670</v>
      </c>
      <c r="K875">
        <v>171</v>
      </c>
      <c r="L875">
        <v>5.4794520547945212E-4</v>
      </c>
      <c r="M875">
        <v>776.1501369863015</v>
      </c>
      <c r="N875">
        <v>132721.67342465755</v>
      </c>
    </row>
    <row r="876" spans="1:14" x14ac:dyDescent="0.25">
      <c r="A876" t="s">
        <v>1627</v>
      </c>
      <c r="B876" t="s">
        <v>11</v>
      </c>
      <c r="C876">
        <v>52</v>
      </c>
      <c r="D876" t="s">
        <v>38</v>
      </c>
      <c r="E876" t="s">
        <v>29</v>
      </c>
      <c r="F876" t="s">
        <v>47</v>
      </c>
      <c r="G876">
        <v>4957322</v>
      </c>
      <c r="H876">
        <v>6.05</v>
      </c>
      <c r="I876">
        <v>40.56</v>
      </c>
      <c r="J876" s="1">
        <v>43111</v>
      </c>
      <c r="K876">
        <v>46</v>
      </c>
      <c r="L876">
        <v>5.4794520547945212E-4</v>
      </c>
      <c r="M876">
        <v>2716.3408219178086</v>
      </c>
      <c r="N876">
        <v>124951.6778082192</v>
      </c>
    </row>
    <row r="877" spans="1:14" x14ac:dyDescent="0.25">
      <c r="A877" t="s">
        <v>1629</v>
      </c>
      <c r="B877" t="s">
        <v>11</v>
      </c>
      <c r="C877">
        <v>36</v>
      </c>
      <c r="D877" t="s">
        <v>46</v>
      </c>
      <c r="E877" t="s">
        <v>23</v>
      </c>
      <c r="F877" t="s">
        <v>47</v>
      </c>
      <c r="G877">
        <v>4331293</v>
      </c>
      <c r="H877">
        <v>33.03</v>
      </c>
      <c r="I877">
        <v>35.270000000000003</v>
      </c>
      <c r="J877" s="1">
        <v>44522</v>
      </c>
      <c r="K877">
        <v>364</v>
      </c>
      <c r="L877">
        <v>5.4794520547945212E-4</v>
      </c>
      <c r="M877">
        <v>2373.3112328767124</v>
      </c>
      <c r="N877">
        <v>863885.28876712336</v>
      </c>
    </row>
    <row r="878" spans="1:14" x14ac:dyDescent="0.25">
      <c r="A878" t="s">
        <v>1630</v>
      </c>
      <c r="B878" t="s">
        <v>11</v>
      </c>
      <c r="C878">
        <v>27</v>
      </c>
      <c r="D878" t="s">
        <v>12</v>
      </c>
      <c r="E878" t="s">
        <v>13</v>
      </c>
      <c r="F878" t="s">
        <v>35</v>
      </c>
      <c r="G878">
        <v>4293674</v>
      </c>
      <c r="H878">
        <v>33.46</v>
      </c>
      <c r="I878">
        <v>9.31</v>
      </c>
      <c r="J878" s="1">
        <v>44463</v>
      </c>
      <c r="K878">
        <v>246</v>
      </c>
      <c r="L878">
        <v>5.4794520547945212E-4</v>
      </c>
      <c r="M878">
        <v>2352.6980821917809</v>
      </c>
      <c r="N878">
        <v>578763.72821917816</v>
      </c>
    </row>
    <row r="879" spans="1:14" x14ac:dyDescent="0.25">
      <c r="A879" t="s">
        <v>1632</v>
      </c>
      <c r="B879" t="s">
        <v>11</v>
      </c>
      <c r="C879">
        <v>45</v>
      </c>
      <c r="D879" t="s">
        <v>18</v>
      </c>
      <c r="E879" t="s">
        <v>23</v>
      </c>
      <c r="F879" t="s">
        <v>35</v>
      </c>
      <c r="G879">
        <v>1339434</v>
      </c>
      <c r="H879">
        <v>13.21</v>
      </c>
      <c r="I879">
        <v>-2.9</v>
      </c>
      <c r="J879" s="1">
        <v>44828</v>
      </c>
      <c r="K879">
        <v>232</v>
      </c>
      <c r="L879">
        <v>5.4794520547945212E-4</v>
      </c>
      <c r="M879">
        <v>733.93643835616444</v>
      </c>
      <c r="N879">
        <v>170273.25369863014</v>
      </c>
    </row>
    <row r="880" spans="1:14" x14ac:dyDescent="0.25">
      <c r="A880" t="s">
        <v>1633</v>
      </c>
      <c r="B880" t="s">
        <v>17</v>
      </c>
      <c r="C880">
        <v>42</v>
      </c>
      <c r="D880" t="s">
        <v>28</v>
      </c>
      <c r="E880" t="s">
        <v>13</v>
      </c>
      <c r="F880" t="s">
        <v>41</v>
      </c>
      <c r="G880">
        <v>4164697</v>
      </c>
      <c r="H880">
        <v>31.01</v>
      </c>
      <c r="I880">
        <v>3.78</v>
      </c>
      <c r="J880" s="1">
        <v>43958</v>
      </c>
      <c r="K880">
        <v>149</v>
      </c>
      <c r="L880">
        <v>5.4794520547945212E-4</v>
      </c>
      <c r="M880">
        <v>2282.025753424658</v>
      </c>
      <c r="N880">
        <v>340021.83726027404</v>
      </c>
    </row>
    <row r="881" spans="1:14" x14ac:dyDescent="0.25">
      <c r="A881" t="s">
        <v>1635</v>
      </c>
      <c r="B881" t="s">
        <v>17</v>
      </c>
      <c r="C881">
        <v>51</v>
      </c>
      <c r="D881" t="s">
        <v>38</v>
      </c>
      <c r="E881" t="s">
        <v>23</v>
      </c>
      <c r="F881" t="s">
        <v>20</v>
      </c>
      <c r="G881">
        <v>4968461</v>
      </c>
      <c r="H881">
        <v>23.98</v>
      </c>
      <c r="I881">
        <v>19.53</v>
      </c>
      <c r="J881" s="1">
        <v>44767</v>
      </c>
      <c r="K881">
        <v>81</v>
      </c>
      <c r="L881">
        <v>5.4794520547945212E-4</v>
      </c>
      <c r="M881">
        <v>2722.4443835616444</v>
      </c>
      <c r="N881">
        <v>220517.99506849318</v>
      </c>
    </row>
    <row r="882" spans="1:14" x14ac:dyDescent="0.25">
      <c r="A882" t="s">
        <v>1636</v>
      </c>
      <c r="B882" t="s">
        <v>11</v>
      </c>
      <c r="C882">
        <v>33</v>
      </c>
      <c r="D882" t="s">
        <v>46</v>
      </c>
      <c r="E882" t="s">
        <v>19</v>
      </c>
      <c r="F882" t="s">
        <v>35</v>
      </c>
      <c r="G882">
        <v>1145437</v>
      </c>
      <c r="H882">
        <v>16.850000000000001</v>
      </c>
      <c r="I882">
        <v>23.97</v>
      </c>
      <c r="J882" s="1">
        <v>43664</v>
      </c>
      <c r="K882">
        <v>186</v>
      </c>
      <c r="L882">
        <v>5.4794520547945212E-4</v>
      </c>
      <c r="M882">
        <v>627.6367123287672</v>
      </c>
      <c r="N882">
        <v>116740.4284931507</v>
      </c>
    </row>
    <row r="883" spans="1:14" x14ac:dyDescent="0.25">
      <c r="A883" t="s">
        <v>1637</v>
      </c>
      <c r="B883" t="s">
        <v>17</v>
      </c>
      <c r="C883">
        <v>41</v>
      </c>
      <c r="D883" t="s">
        <v>12</v>
      </c>
      <c r="E883" t="s">
        <v>13</v>
      </c>
      <c r="F883" t="s">
        <v>14</v>
      </c>
      <c r="G883">
        <v>2955031</v>
      </c>
      <c r="H883">
        <v>33.299999999999997</v>
      </c>
      <c r="I883">
        <v>-3.39</v>
      </c>
      <c r="J883" s="1">
        <v>43528</v>
      </c>
      <c r="K883">
        <v>35</v>
      </c>
      <c r="L883">
        <v>5.4794520547945212E-4</v>
      </c>
      <c r="M883">
        <v>1619.195068493151</v>
      </c>
      <c r="N883">
        <v>56671.827397260284</v>
      </c>
    </row>
    <row r="884" spans="1:14" x14ac:dyDescent="0.25">
      <c r="A884" t="s">
        <v>1639</v>
      </c>
      <c r="B884" t="s">
        <v>17</v>
      </c>
      <c r="C884">
        <v>30</v>
      </c>
      <c r="D884" t="s">
        <v>46</v>
      </c>
      <c r="E884" t="s">
        <v>23</v>
      </c>
      <c r="F884" t="s">
        <v>47</v>
      </c>
      <c r="G884">
        <v>3590192</v>
      </c>
      <c r="H884">
        <v>33.770000000000003</v>
      </c>
      <c r="I884">
        <v>7.86</v>
      </c>
      <c r="J884" s="1">
        <v>43567</v>
      </c>
      <c r="K884">
        <v>211</v>
      </c>
      <c r="L884">
        <v>5.4794520547945212E-4</v>
      </c>
      <c r="M884">
        <v>1967.2284931506852</v>
      </c>
      <c r="N884">
        <v>415085.2120547946</v>
      </c>
    </row>
    <row r="885" spans="1:14" x14ac:dyDescent="0.25">
      <c r="A885" t="s">
        <v>1640</v>
      </c>
      <c r="B885" t="s">
        <v>11</v>
      </c>
      <c r="C885">
        <v>29</v>
      </c>
      <c r="D885" t="s">
        <v>38</v>
      </c>
      <c r="E885" t="s">
        <v>57</v>
      </c>
      <c r="F885" t="s">
        <v>41</v>
      </c>
      <c r="G885">
        <v>2557161</v>
      </c>
      <c r="H885">
        <v>13.89</v>
      </c>
      <c r="I885">
        <v>23.62</v>
      </c>
      <c r="J885" s="1">
        <v>44244</v>
      </c>
      <c r="K885">
        <v>58</v>
      </c>
      <c r="L885">
        <v>5.4794520547945212E-4</v>
      </c>
      <c r="M885">
        <v>1401.1841095890413</v>
      </c>
      <c r="N885">
        <v>81268.678356164397</v>
      </c>
    </row>
    <row r="886" spans="1:14" x14ac:dyDescent="0.25">
      <c r="A886" t="s">
        <v>1642</v>
      </c>
      <c r="B886" t="s">
        <v>11</v>
      </c>
      <c r="C886">
        <v>35</v>
      </c>
      <c r="D886" t="s">
        <v>12</v>
      </c>
      <c r="E886" t="s">
        <v>13</v>
      </c>
      <c r="F886" t="s">
        <v>47</v>
      </c>
      <c r="G886">
        <v>1721458</v>
      </c>
      <c r="H886">
        <v>13.63</v>
      </c>
      <c r="I886">
        <v>25.99</v>
      </c>
      <c r="J886" s="1">
        <v>44081</v>
      </c>
      <c r="K886">
        <v>307</v>
      </c>
      <c r="L886">
        <v>5.4794520547945212E-4</v>
      </c>
      <c r="M886">
        <v>943.26465753424668</v>
      </c>
      <c r="N886">
        <v>289582.24986301374</v>
      </c>
    </row>
    <row r="887" spans="1:14" x14ac:dyDescent="0.25">
      <c r="A887" t="s">
        <v>1644</v>
      </c>
      <c r="B887" t="s">
        <v>17</v>
      </c>
      <c r="C887">
        <v>65</v>
      </c>
      <c r="D887" t="s">
        <v>38</v>
      </c>
      <c r="E887" t="s">
        <v>23</v>
      </c>
      <c r="F887" t="s">
        <v>14</v>
      </c>
      <c r="G887">
        <v>1832220</v>
      </c>
      <c r="H887">
        <v>23.18</v>
      </c>
      <c r="I887">
        <v>13.08</v>
      </c>
      <c r="J887" s="1">
        <v>44978</v>
      </c>
      <c r="K887">
        <v>147</v>
      </c>
      <c r="L887">
        <v>5.4794520547945212E-4</v>
      </c>
      <c r="M887">
        <v>1003.9561643835618</v>
      </c>
      <c r="N887">
        <v>147581.5561643836</v>
      </c>
    </row>
    <row r="888" spans="1:14" x14ac:dyDescent="0.25">
      <c r="A888" t="s">
        <v>1646</v>
      </c>
      <c r="B888" t="s">
        <v>11</v>
      </c>
      <c r="C888">
        <v>22</v>
      </c>
      <c r="D888" t="s">
        <v>38</v>
      </c>
      <c r="E888" t="s">
        <v>23</v>
      </c>
      <c r="F888" t="s">
        <v>35</v>
      </c>
      <c r="G888">
        <v>201373</v>
      </c>
      <c r="H888">
        <v>16.75</v>
      </c>
      <c r="I888">
        <v>3.59</v>
      </c>
      <c r="J888" s="1">
        <v>43918</v>
      </c>
      <c r="K888">
        <v>129</v>
      </c>
      <c r="L888">
        <v>5.4794520547945212E-4</v>
      </c>
      <c r="M888">
        <v>110.34136986301371</v>
      </c>
      <c r="N888">
        <v>14234.036712328769</v>
      </c>
    </row>
    <row r="889" spans="1:14" x14ac:dyDescent="0.25">
      <c r="A889" t="s">
        <v>1647</v>
      </c>
      <c r="B889" t="s">
        <v>17</v>
      </c>
      <c r="C889">
        <v>64</v>
      </c>
      <c r="D889" t="s">
        <v>12</v>
      </c>
      <c r="E889" t="s">
        <v>50</v>
      </c>
      <c r="F889" t="s">
        <v>47</v>
      </c>
      <c r="G889">
        <v>708309</v>
      </c>
      <c r="H889">
        <v>28.48</v>
      </c>
      <c r="I889">
        <v>6.32</v>
      </c>
      <c r="J889" s="1">
        <v>44037</v>
      </c>
      <c r="K889">
        <v>80</v>
      </c>
      <c r="L889">
        <v>5.4794520547945212E-4</v>
      </c>
      <c r="M889">
        <v>388.11452054794523</v>
      </c>
      <c r="N889">
        <v>31049.161643835618</v>
      </c>
    </row>
    <row r="890" spans="1:14" x14ac:dyDescent="0.25">
      <c r="A890" t="s">
        <v>1649</v>
      </c>
      <c r="B890" t="s">
        <v>17</v>
      </c>
      <c r="C890">
        <v>27</v>
      </c>
      <c r="D890" t="s">
        <v>18</v>
      </c>
      <c r="E890" t="s">
        <v>57</v>
      </c>
      <c r="F890" t="s">
        <v>20</v>
      </c>
      <c r="G890">
        <v>3687969</v>
      </c>
      <c r="H890">
        <v>10.66</v>
      </c>
      <c r="I890">
        <v>-9.98</v>
      </c>
      <c r="J890" s="1">
        <v>44158</v>
      </c>
      <c r="K890">
        <v>195</v>
      </c>
      <c r="L890">
        <v>5.4794520547945212E-4</v>
      </c>
      <c r="M890">
        <v>2020.8049315068495</v>
      </c>
      <c r="N890">
        <v>394056.96164383565</v>
      </c>
    </row>
    <row r="891" spans="1:14" x14ac:dyDescent="0.25">
      <c r="A891" t="s">
        <v>1651</v>
      </c>
      <c r="B891" t="s">
        <v>11</v>
      </c>
      <c r="C891">
        <v>49</v>
      </c>
      <c r="D891" t="s">
        <v>12</v>
      </c>
      <c r="E891" t="s">
        <v>13</v>
      </c>
      <c r="F891" t="s">
        <v>20</v>
      </c>
      <c r="G891">
        <v>4621601</v>
      </c>
      <c r="H891">
        <v>24.15</v>
      </c>
      <c r="I891">
        <v>3.18</v>
      </c>
      <c r="J891" s="1">
        <v>43995</v>
      </c>
      <c r="K891">
        <v>231</v>
      </c>
      <c r="L891">
        <v>5.4794520547945212E-4</v>
      </c>
      <c r="M891">
        <v>2532.3841095890416</v>
      </c>
      <c r="N891">
        <v>584980.72931506857</v>
      </c>
    </row>
    <row r="892" spans="1:14" x14ac:dyDescent="0.25">
      <c r="A892" t="s">
        <v>1653</v>
      </c>
      <c r="B892" t="s">
        <v>11</v>
      </c>
      <c r="C892">
        <v>48</v>
      </c>
      <c r="D892" t="s">
        <v>18</v>
      </c>
      <c r="E892" t="s">
        <v>29</v>
      </c>
      <c r="F892" t="s">
        <v>35</v>
      </c>
      <c r="G892">
        <v>447639</v>
      </c>
      <c r="H892">
        <v>21.71</v>
      </c>
      <c r="I892">
        <v>4.05</v>
      </c>
      <c r="J892" s="1">
        <v>43917</v>
      </c>
      <c r="K892">
        <v>334</v>
      </c>
      <c r="L892">
        <v>5.4794520547945212E-4</v>
      </c>
      <c r="M892">
        <v>245.28164383561648</v>
      </c>
      <c r="N892">
        <v>81924.069041095907</v>
      </c>
    </row>
    <row r="893" spans="1:14" x14ac:dyDescent="0.25">
      <c r="A893" t="s">
        <v>1654</v>
      </c>
      <c r="B893" t="s">
        <v>11</v>
      </c>
      <c r="C893">
        <v>34</v>
      </c>
      <c r="D893" t="s">
        <v>12</v>
      </c>
      <c r="E893" t="s">
        <v>29</v>
      </c>
      <c r="F893" t="s">
        <v>20</v>
      </c>
      <c r="G893">
        <v>1333855</v>
      </c>
      <c r="H893">
        <v>21.57</v>
      </c>
      <c r="I893">
        <v>16.59</v>
      </c>
      <c r="J893" s="1">
        <v>45565</v>
      </c>
      <c r="K893">
        <v>187</v>
      </c>
      <c r="L893">
        <v>5.4794520547945212E-4</v>
      </c>
      <c r="M893">
        <v>730.87945205479457</v>
      </c>
      <c r="N893">
        <v>136674.45753424658</v>
      </c>
    </row>
    <row r="894" spans="1:14" x14ac:dyDescent="0.25">
      <c r="A894" t="s">
        <v>1655</v>
      </c>
      <c r="B894" t="s">
        <v>17</v>
      </c>
      <c r="C894">
        <v>30</v>
      </c>
      <c r="D894" t="s">
        <v>38</v>
      </c>
      <c r="E894" t="s">
        <v>23</v>
      </c>
      <c r="F894" t="s">
        <v>20</v>
      </c>
      <c r="G894">
        <v>3668472</v>
      </c>
      <c r="H894">
        <v>27.64</v>
      </c>
      <c r="I894">
        <v>13.96</v>
      </c>
      <c r="J894" s="1">
        <v>44657</v>
      </c>
      <c r="K894">
        <v>96</v>
      </c>
      <c r="L894">
        <v>5.4794520547945212E-4</v>
      </c>
      <c r="M894">
        <v>2010.1216438356166</v>
      </c>
      <c r="N894">
        <v>192971.67780821919</v>
      </c>
    </row>
    <row r="895" spans="1:14" x14ac:dyDescent="0.25">
      <c r="A895" t="s">
        <v>1657</v>
      </c>
      <c r="B895" t="s">
        <v>17</v>
      </c>
      <c r="C895">
        <v>22</v>
      </c>
      <c r="D895" t="s">
        <v>38</v>
      </c>
      <c r="E895" t="s">
        <v>13</v>
      </c>
      <c r="F895" t="s">
        <v>14</v>
      </c>
      <c r="G895">
        <v>4768210</v>
      </c>
      <c r="H895">
        <v>27.22</v>
      </c>
      <c r="I895">
        <v>28.67</v>
      </c>
      <c r="J895" s="1">
        <v>45318</v>
      </c>
      <c r="K895">
        <v>124</v>
      </c>
      <c r="L895">
        <v>5.4794520547945212E-4</v>
      </c>
      <c r="M895">
        <v>2612.7178082191786</v>
      </c>
      <c r="N895">
        <v>323977.00821917813</v>
      </c>
    </row>
    <row r="896" spans="1:14" x14ac:dyDescent="0.25">
      <c r="A896" t="s">
        <v>1659</v>
      </c>
      <c r="B896" t="s">
        <v>17</v>
      </c>
      <c r="C896">
        <v>37</v>
      </c>
      <c r="D896" t="s">
        <v>38</v>
      </c>
      <c r="E896" t="s">
        <v>23</v>
      </c>
      <c r="F896" t="s">
        <v>47</v>
      </c>
      <c r="G896">
        <v>4054659</v>
      </c>
      <c r="H896">
        <v>20.5</v>
      </c>
      <c r="I896">
        <v>12.56</v>
      </c>
      <c r="J896" s="1">
        <v>44380</v>
      </c>
      <c r="K896">
        <v>171</v>
      </c>
      <c r="L896">
        <v>5.4794520547945212E-4</v>
      </c>
      <c r="M896">
        <v>2221.7309589041097</v>
      </c>
      <c r="N896">
        <v>379915.99397260277</v>
      </c>
    </row>
    <row r="897" spans="1:14" x14ac:dyDescent="0.25">
      <c r="A897" t="s">
        <v>1661</v>
      </c>
      <c r="B897" t="s">
        <v>11</v>
      </c>
      <c r="C897">
        <v>47</v>
      </c>
      <c r="D897" t="s">
        <v>12</v>
      </c>
      <c r="E897" t="s">
        <v>23</v>
      </c>
      <c r="F897" t="s">
        <v>47</v>
      </c>
      <c r="G897">
        <v>3704879</v>
      </c>
      <c r="H897">
        <v>19.440000000000001</v>
      </c>
      <c r="I897">
        <v>15.67</v>
      </c>
      <c r="J897" s="1">
        <v>44354</v>
      </c>
      <c r="K897">
        <v>285</v>
      </c>
      <c r="L897">
        <v>5.4794520547945212E-4</v>
      </c>
      <c r="M897">
        <v>2030.070684931507</v>
      </c>
      <c r="N897">
        <v>578570.14520547946</v>
      </c>
    </row>
    <row r="898" spans="1:14" x14ac:dyDescent="0.25">
      <c r="A898" t="s">
        <v>1662</v>
      </c>
      <c r="B898" t="s">
        <v>17</v>
      </c>
      <c r="C898">
        <v>59</v>
      </c>
      <c r="D898" t="s">
        <v>28</v>
      </c>
      <c r="E898" t="s">
        <v>29</v>
      </c>
      <c r="F898" t="s">
        <v>20</v>
      </c>
      <c r="G898">
        <v>3061248</v>
      </c>
      <c r="H898">
        <v>26.37</v>
      </c>
      <c r="I898">
        <v>24.54</v>
      </c>
      <c r="J898" s="1">
        <v>45013</v>
      </c>
      <c r="K898">
        <v>219</v>
      </c>
      <c r="L898">
        <v>5.4794520547945212E-4</v>
      </c>
      <c r="M898">
        <v>1677.3961643835619</v>
      </c>
      <c r="N898">
        <v>367349.76000000007</v>
      </c>
    </row>
    <row r="899" spans="1:14" x14ac:dyDescent="0.25">
      <c r="A899" t="s">
        <v>1663</v>
      </c>
      <c r="B899" t="s">
        <v>17</v>
      </c>
      <c r="C899">
        <v>56</v>
      </c>
      <c r="D899" t="s">
        <v>28</v>
      </c>
      <c r="E899" t="s">
        <v>50</v>
      </c>
      <c r="F899" t="s">
        <v>14</v>
      </c>
      <c r="G899">
        <v>4184229</v>
      </c>
      <c r="H899">
        <v>29.04</v>
      </c>
      <c r="I899">
        <v>5.04</v>
      </c>
      <c r="J899" s="1">
        <v>44144</v>
      </c>
      <c r="K899">
        <v>27</v>
      </c>
      <c r="L899">
        <v>5.4794520547945212E-4</v>
      </c>
      <c r="M899">
        <v>2292.7282191780823</v>
      </c>
      <c r="N899">
        <v>61903.661917808226</v>
      </c>
    </row>
    <row r="900" spans="1:14" x14ac:dyDescent="0.25">
      <c r="A900" t="s">
        <v>1664</v>
      </c>
      <c r="B900" t="s">
        <v>17</v>
      </c>
      <c r="C900">
        <v>45</v>
      </c>
      <c r="D900" t="s">
        <v>46</v>
      </c>
      <c r="E900" t="s">
        <v>50</v>
      </c>
      <c r="F900" t="s">
        <v>20</v>
      </c>
      <c r="G900">
        <v>2863688</v>
      </c>
      <c r="H900">
        <v>5.44</v>
      </c>
      <c r="I900">
        <v>13.28</v>
      </c>
      <c r="J900" s="1">
        <v>44858</v>
      </c>
      <c r="K900">
        <v>148</v>
      </c>
      <c r="L900">
        <v>5.4794520547945212E-4</v>
      </c>
      <c r="M900">
        <v>1569.1441095890414</v>
      </c>
      <c r="N900">
        <v>232233.32821917813</v>
      </c>
    </row>
    <row r="901" spans="1:14" x14ac:dyDescent="0.25">
      <c r="A901" t="s">
        <v>1665</v>
      </c>
      <c r="B901" t="s">
        <v>17</v>
      </c>
      <c r="C901">
        <v>38</v>
      </c>
      <c r="D901" t="s">
        <v>12</v>
      </c>
      <c r="E901" t="s">
        <v>23</v>
      </c>
      <c r="F901" t="s">
        <v>47</v>
      </c>
      <c r="G901">
        <v>4184417</v>
      </c>
      <c r="H901">
        <v>34.1</v>
      </c>
      <c r="I901">
        <v>34.049999999999997</v>
      </c>
      <c r="J901" s="1">
        <v>43375</v>
      </c>
      <c r="K901">
        <v>313</v>
      </c>
      <c r="L901">
        <v>5.4794520547945212E-4</v>
      </c>
      <c r="M901">
        <v>2292.8312328767124</v>
      </c>
      <c r="N901">
        <v>717656.17589041102</v>
      </c>
    </row>
    <row r="902" spans="1:14" x14ac:dyDescent="0.25">
      <c r="A902" t="s">
        <v>1667</v>
      </c>
      <c r="B902" t="s">
        <v>11</v>
      </c>
      <c r="C902">
        <v>24</v>
      </c>
      <c r="D902" t="s">
        <v>38</v>
      </c>
      <c r="E902" t="s">
        <v>19</v>
      </c>
      <c r="F902" t="s">
        <v>14</v>
      </c>
      <c r="G902">
        <v>4003703</v>
      </c>
      <c r="H902">
        <v>32.130000000000003</v>
      </c>
      <c r="I902">
        <v>38.75</v>
      </c>
      <c r="J902" s="1">
        <v>45351</v>
      </c>
      <c r="K902">
        <v>60</v>
      </c>
      <c r="L902">
        <v>5.4794520547945212E-4</v>
      </c>
      <c r="M902">
        <v>2193.8098630136988</v>
      </c>
      <c r="N902">
        <v>131628.59178082194</v>
      </c>
    </row>
    <row r="903" spans="1:14" x14ac:dyDescent="0.25">
      <c r="A903" t="s">
        <v>1669</v>
      </c>
      <c r="B903" t="s">
        <v>11</v>
      </c>
      <c r="C903">
        <v>27</v>
      </c>
      <c r="D903" t="s">
        <v>46</v>
      </c>
      <c r="E903" t="s">
        <v>19</v>
      </c>
      <c r="F903" t="s">
        <v>47</v>
      </c>
      <c r="G903">
        <v>2268967</v>
      </c>
      <c r="H903">
        <v>19.8</v>
      </c>
      <c r="I903">
        <v>-8.75</v>
      </c>
      <c r="J903" s="1">
        <v>43750</v>
      </c>
      <c r="K903">
        <v>228</v>
      </c>
      <c r="L903">
        <v>5.4794520547945212E-4</v>
      </c>
      <c r="M903">
        <v>1243.269589041096</v>
      </c>
      <c r="N903">
        <v>283465.46630136989</v>
      </c>
    </row>
    <row r="904" spans="1:14" x14ac:dyDescent="0.25">
      <c r="A904" t="s">
        <v>1671</v>
      </c>
      <c r="B904" t="s">
        <v>17</v>
      </c>
      <c r="C904">
        <v>28</v>
      </c>
      <c r="D904" t="s">
        <v>46</v>
      </c>
      <c r="E904" t="s">
        <v>19</v>
      </c>
      <c r="F904" t="s">
        <v>41</v>
      </c>
      <c r="G904">
        <v>4189898</v>
      </c>
      <c r="H904">
        <v>19.04</v>
      </c>
      <c r="I904">
        <v>-2.08</v>
      </c>
      <c r="J904" s="1">
        <v>44345</v>
      </c>
      <c r="K904">
        <v>310</v>
      </c>
      <c r="L904">
        <v>5.4794520547945212E-4</v>
      </c>
      <c r="M904">
        <v>2295.8345205479454</v>
      </c>
      <c r="N904">
        <v>711708.70136986312</v>
      </c>
    </row>
    <row r="905" spans="1:14" x14ac:dyDescent="0.25">
      <c r="A905" t="s">
        <v>1673</v>
      </c>
      <c r="B905" t="s">
        <v>11</v>
      </c>
      <c r="C905">
        <v>30</v>
      </c>
      <c r="D905" t="s">
        <v>46</v>
      </c>
      <c r="E905" t="s">
        <v>57</v>
      </c>
      <c r="F905" t="s">
        <v>47</v>
      </c>
      <c r="G905">
        <v>4859723</v>
      </c>
      <c r="H905">
        <v>7.16</v>
      </c>
      <c r="I905">
        <v>26.84</v>
      </c>
      <c r="J905" s="1">
        <v>44642</v>
      </c>
      <c r="K905">
        <v>248</v>
      </c>
      <c r="L905">
        <v>5.4794520547945212E-4</v>
      </c>
      <c r="M905">
        <v>2662.8619178082195</v>
      </c>
      <c r="N905">
        <v>660389.75561643846</v>
      </c>
    </row>
    <row r="906" spans="1:14" x14ac:dyDescent="0.25">
      <c r="A906" t="s">
        <v>1675</v>
      </c>
      <c r="B906" t="s">
        <v>17</v>
      </c>
      <c r="C906">
        <v>54</v>
      </c>
      <c r="D906" t="s">
        <v>18</v>
      </c>
      <c r="E906" t="s">
        <v>50</v>
      </c>
      <c r="F906" t="s">
        <v>47</v>
      </c>
      <c r="G906">
        <v>2147254</v>
      </c>
      <c r="H906">
        <v>20.32</v>
      </c>
      <c r="I906">
        <v>31.42</v>
      </c>
      <c r="J906" s="1">
        <v>43105</v>
      </c>
      <c r="K906">
        <v>235</v>
      </c>
      <c r="L906">
        <v>5.4794520547945212E-4</v>
      </c>
      <c r="M906">
        <v>1176.5775342465754</v>
      </c>
      <c r="N906">
        <v>276495.72054794524</v>
      </c>
    </row>
    <row r="907" spans="1:14" x14ac:dyDescent="0.25">
      <c r="A907" t="s">
        <v>1676</v>
      </c>
      <c r="B907" t="s">
        <v>11</v>
      </c>
      <c r="C907">
        <v>22</v>
      </c>
      <c r="D907" t="s">
        <v>28</v>
      </c>
      <c r="E907" t="s">
        <v>57</v>
      </c>
      <c r="F907" t="s">
        <v>41</v>
      </c>
      <c r="G907">
        <v>3649515</v>
      </c>
      <c r="H907">
        <v>33.32</v>
      </c>
      <c r="I907">
        <v>42.3</v>
      </c>
      <c r="J907" s="1">
        <v>45553</v>
      </c>
      <c r="K907">
        <v>246</v>
      </c>
      <c r="L907">
        <v>5.4794520547945212E-4</v>
      </c>
      <c r="M907">
        <v>1999.7342465753427</v>
      </c>
      <c r="N907">
        <v>491934.6246575343</v>
      </c>
    </row>
    <row r="908" spans="1:14" x14ac:dyDescent="0.25">
      <c r="A908" t="s">
        <v>1678</v>
      </c>
      <c r="B908" t="s">
        <v>17</v>
      </c>
      <c r="C908">
        <v>51</v>
      </c>
      <c r="D908" t="s">
        <v>38</v>
      </c>
      <c r="E908" t="s">
        <v>23</v>
      </c>
      <c r="F908" t="s">
        <v>14</v>
      </c>
      <c r="G908">
        <v>740707</v>
      </c>
      <c r="H908">
        <v>31.2</v>
      </c>
      <c r="I908">
        <v>-7.85</v>
      </c>
      <c r="J908" s="1">
        <v>44201</v>
      </c>
      <c r="K908">
        <v>288</v>
      </c>
      <c r="L908">
        <v>5.4794520547945212E-4</v>
      </c>
      <c r="M908">
        <v>405.86684931506852</v>
      </c>
      <c r="N908">
        <v>116889.65260273973</v>
      </c>
    </row>
    <row r="909" spans="1:14" x14ac:dyDescent="0.25">
      <c r="A909" t="s">
        <v>1680</v>
      </c>
      <c r="B909" t="s">
        <v>11</v>
      </c>
      <c r="C909">
        <v>53</v>
      </c>
      <c r="D909" t="s">
        <v>46</v>
      </c>
      <c r="E909" t="s">
        <v>19</v>
      </c>
      <c r="F909" t="s">
        <v>14</v>
      </c>
      <c r="G909">
        <v>3585634</v>
      </c>
      <c r="H909">
        <v>9.1</v>
      </c>
      <c r="I909">
        <v>-0.8</v>
      </c>
      <c r="J909" s="1">
        <v>44908</v>
      </c>
      <c r="K909">
        <v>161</v>
      </c>
      <c r="L909">
        <v>5.4794520547945212E-4</v>
      </c>
      <c r="M909">
        <v>1964.7309589041099</v>
      </c>
      <c r="N909">
        <v>316321.68438356172</v>
      </c>
    </row>
    <row r="910" spans="1:14" x14ac:dyDescent="0.25">
      <c r="A910" t="s">
        <v>1682</v>
      </c>
      <c r="B910" t="s">
        <v>11</v>
      </c>
      <c r="C910">
        <v>57</v>
      </c>
      <c r="D910" t="s">
        <v>18</v>
      </c>
      <c r="E910" t="s">
        <v>13</v>
      </c>
      <c r="F910" t="s">
        <v>14</v>
      </c>
      <c r="G910">
        <v>2472422</v>
      </c>
      <c r="H910">
        <v>18.8</v>
      </c>
      <c r="I910">
        <v>30.62</v>
      </c>
      <c r="J910" s="1">
        <v>45066</v>
      </c>
      <c r="K910">
        <v>100</v>
      </c>
      <c r="L910">
        <v>5.4794520547945212E-4</v>
      </c>
      <c r="M910">
        <v>1354.7517808219179</v>
      </c>
      <c r="N910">
        <v>135475.17808219179</v>
      </c>
    </row>
    <row r="911" spans="1:14" x14ac:dyDescent="0.25">
      <c r="A911" t="s">
        <v>1683</v>
      </c>
      <c r="B911" t="s">
        <v>17</v>
      </c>
      <c r="C911">
        <v>44</v>
      </c>
      <c r="D911" t="s">
        <v>18</v>
      </c>
      <c r="E911" t="s">
        <v>50</v>
      </c>
      <c r="F911" t="s">
        <v>41</v>
      </c>
      <c r="G911">
        <v>2395056</v>
      </c>
      <c r="H911">
        <v>9.24</v>
      </c>
      <c r="I911">
        <v>-4</v>
      </c>
      <c r="J911" s="1">
        <v>44647</v>
      </c>
      <c r="K911">
        <v>132</v>
      </c>
      <c r="L911">
        <v>5.4794520547945212E-4</v>
      </c>
      <c r="M911">
        <v>1312.3594520547947</v>
      </c>
      <c r="N911">
        <v>173231.44767123289</v>
      </c>
    </row>
    <row r="912" spans="1:14" x14ac:dyDescent="0.25">
      <c r="A912" t="s">
        <v>1685</v>
      </c>
      <c r="B912" t="s">
        <v>11</v>
      </c>
      <c r="C912">
        <v>62</v>
      </c>
      <c r="D912" t="s">
        <v>18</v>
      </c>
      <c r="E912" t="s">
        <v>29</v>
      </c>
      <c r="F912" t="s">
        <v>20</v>
      </c>
      <c r="G912">
        <v>460391</v>
      </c>
      <c r="H912">
        <v>26.53</v>
      </c>
      <c r="I912">
        <v>19.25</v>
      </c>
      <c r="J912" s="1">
        <v>43807</v>
      </c>
      <c r="K912">
        <v>37</v>
      </c>
      <c r="L912">
        <v>5.4794520547945212E-4</v>
      </c>
      <c r="M912">
        <v>252.26904109589043</v>
      </c>
      <c r="N912">
        <v>9333.9545205479462</v>
      </c>
    </row>
    <row r="913" spans="1:14" x14ac:dyDescent="0.25">
      <c r="A913" t="s">
        <v>1686</v>
      </c>
      <c r="B913" t="s">
        <v>11</v>
      </c>
      <c r="C913">
        <v>44</v>
      </c>
      <c r="D913" t="s">
        <v>38</v>
      </c>
      <c r="E913" t="s">
        <v>57</v>
      </c>
      <c r="F913" t="s">
        <v>14</v>
      </c>
      <c r="G913">
        <v>3425964</v>
      </c>
      <c r="H913">
        <v>34.549999999999997</v>
      </c>
      <c r="I913">
        <v>26.45</v>
      </c>
      <c r="J913" s="1">
        <v>43904</v>
      </c>
      <c r="K913">
        <v>295</v>
      </c>
      <c r="L913">
        <v>5.4794520547945212E-4</v>
      </c>
      <c r="M913">
        <v>1877.2405479452057</v>
      </c>
      <c r="N913">
        <v>553785.96164383565</v>
      </c>
    </row>
    <row r="914" spans="1:14" x14ac:dyDescent="0.25">
      <c r="A914" t="s">
        <v>1688</v>
      </c>
      <c r="B914" t="s">
        <v>17</v>
      </c>
      <c r="C914">
        <v>65</v>
      </c>
      <c r="D914" t="s">
        <v>28</v>
      </c>
      <c r="E914" t="s">
        <v>50</v>
      </c>
      <c r="F914" t="s">
        <v>41</v>
      </c>
      <c r="G914">
        <v>3124518</v>
      </c>
      <c r="H914">
        <v>5.98</v>
      </c>
      <c r="I914">
        <v>32.65</v>
      </c>
      <c r="J914" s="1">
        <v>44278</v>
      </c>
      <c r="K914">
        <v>104</v>
      </c>
      <c r="L914">
        <v>5.4794520547945212E-4</v>
      </c>
      <c r="M914">
        <v>1712.0646575342469</v>
      </c>
      <c r="N914">
        <v>178054.72438356167</v>
      </c>
    </row>
    <row r="915" spans="1:14" x14ac:dyDescent="0.25">
      <c r="A915" t="s">
        <v>1689</v>
      </c>
      <c r="B915" t="s">
        <v>11</v>
      </c>
      <c r="C915">
        <v>44</v>
      </c>
      <c r="D915" t="s">
        <v>12</v>
      </c>
      <c r="E915" t="s">
        <v>13</v>
      </c>
      <c r="F915" t="s">
        <v>47</v>
      </c>
      <c r="G915">
        <v>1800329</v>
      </c>
      <c r="H915">
        <v>32.81</v>
      </c>
      <c r="I915">
        <v>41.83</v>
      </c>
      <c r="J915" s="1">
        <v>44798</v>
      </c>
      <c r="K915">
        <v>228</v>
      </c>
      <c r="L915">
        <v>5.4794520547945212E-4</v>
      </c>
      <c r="M915">
        <v>986.48164383561652</v>
      </c>
      <c r="N915">
        <v>224917.81479452056</v>
      </c>
    </row>
    <row r="916" spans="1:14" x14ac:dyDescent="0.25">
      <c r="A916" t="s">
        <v>1691</v>
      </c>
      <c r="B916" t="s">
        <v>17</v>
      </c>
      <c r="C916">
        <v>64</v>
      </c>
      <c r="D916" t="s">
        <v>28</v>
      </c>
      <c r="E916" t="s">
        <v>19</v>
      </c>
      <c r="F916" t="s">
        <v>47</v>
      </c>
      <c r="G916">
        <v>3285994</v>
      </c>
      <c r="H916">
        <v>20.07</v>
      </c>
      <c r="I916">
        <v>3.13</v>
      </c>
      <c r="J916" s="1">
        <v>45220</v>
      </c>
      <c r="K916">
        <v>264</v>
      </c>
      <c r="L916">
        <v>5.4794520547945212E-4</v>
      </c>
      <c r="M916">
        <v>1800.5446575342469</v>
      </c>
      <c r="N916">
        <v>475343.7895890412</v>
      </c>
    </row>
    <row r="917" spans="1:14" x14ac:dyDescent="0.25">
      <c r="A917" t="s">
        <v>1693</v>
      </c>
      <c r="B917" t="s">
        <v>11</v>
      </c>
      <c r="C917">
        <v>32</v>
      </c>
      <c r="D917" t="s">
        <v>38</v>
      </c>
      <c r="E917" t="s">
        <v>23</v>
      </c>
      <c r="F917" t="s">
        <v>30</v>
      </c>
      <c r="G917">
        <v>301956</v>
      </c>
      <c r="H917">
        <v>7.69</v>
      </c>
      <c r="I917">
        <v>17.09</v>
      </c>
      <c r="J917" s="1">
        <v>44730</v>
      </c>
      <c r="K917">
        <v>61</v>
      </c>
      <c r="L917">
        <v>5.4794520547945212E-4</v>
      </c>
      <c r="M917">
        <v>165.45534246575343</v>
      </c>
      <c r="N917">
        <v>10092.77589041096</v>
      </c>
    </row>
    <row r="918" spans="1:14" x14ac:dyDescent="0.25">
      <c r="A918" t="s">
        <v>1695</v>
      </c>
      <c r="B918" t="s">
        <v>17</v>
      </c>
      <c r="C918">
        <v>57</v>
      </c>
      <c r="D918" t="s">
        <v>18</v>
      </c>
      <c r="E918" t="s">
        <v>13</v>
      </c>
      <c r="F918" t="s">
        <v>20</v>
      </c>
      <c r="G918">
        <v>3589553</v>
      </c>
      <c r="H918">
        <v>32.04</v>
      </c>
      <c r="I918">
        <v>11.68</v>
      </c>
      <c r="J918" s="1">
        <v>44494</v>
      </c>
      <c r="K918">
        <v>247</v>
      </c>
      <c r="L918">
        <v>5.4794520547945212E-4</v>
      </c>
      <c r="M918">
        <v>1966.8783561643838</v>
      </c>
      <c r="N918">
        <v>485818.95397260279</v>
      </c>
    </row>
    <row r="919" spans="1:14" x14ac:dyDescent="0.25">
      <c r="A919" t="s">
        <v>1696</v>
      </c>
      <c r="B919" t="s">
        <v>17</v>
      </c>
      <c r="C919">
        <v>35</v>
      </c>
      <c r="D919" t="s">
        <v>18</v>
      </c>
      <c r="E919" t="s">
        <v>23</v>
      </c>
      <c r="F919" t="s">
        <v>41</v>
      </c>
      <c r="G919">
        <v>3112947</v>
      </c>
      <c r="H919">
        <v>14.74</v>
      </c>
      <c r="I919">
        <v>21</v>
      </c>
      <c r="J919" s="1">
        <v>45288</v>
      </c>
      <c r="K919">
        <v>64</v>
      </c>
      <c r="L919">
        <v>5.4794520547945212E-4</v>
      </c>
      <c r="M919">
        <v>1705.7243835616441</v>
      </c>
      <c r="N919">
        <v>109166.36054794522</v>
      </c>
    </row>
    <row r="920" spans="1:14" x14ac:dyDescent="0.25">
      <c r="A920" t="s">
        <v>1698</v>
      </c>
      <c r="B920" t="s">
        <v>11</v>
      </c>
      <c r="C920">
        <v>27</v>
      </c>
      <c r="D920" t="s">
        <v>18</v>
      </c>
      <c r="E920" t="s">
        <v>57</v>
      </c>
      <c r="F920" t="s">
        <v>20</v>
      </c>
      <c r="G920">
        <v>4338464</v>
      </c>
      <c r="H920">
        <v>31.76</v>
      </c>
      <c r="I920">
        <v>13.25</v>
      </c>
      <c r="J920" s="1">
        <v>43245</v>
      </c>
      <c r="K920">
        <v>266</v>
      </c>
      <c r="L920">
        <v>5.4794520547945212E-4</v>
      </c>
      <c r="M920">
        <v>2377.2405479452059</v>
      </c>
      <c r="N920">
        <v>632345.98575342481</v>
      </c>
    </row>
    <row r="921" spans="1:14" x14ac:dyDescent="0.25">
      <c r="A921" t="s">
        <v>1699</v>
      </c>
      <c r="B921" t="s">
        <v>11</v>
      </c>
      <c r="C921">
        <v>35</v>
      </c>
      <c r="D921" t="s">
        <v>28</v>
      </c>
      <c r="E921" t="s">
        <v>29</v>
      </c>
      <c r="F921" t="s">
        <v>41</v>
      </c>
      <c r="G921">
        <v>3586553</v>
      </c>
      <c r="H921">
        <v>27.03</v>
      </c>
      <c r="I921">
        <v>-2.2000000000000002</v>
      </c>
      <c r="J921" s="1">
        <v>44894</v>
      </c>
      <c r="K921">
        <v>239</v>
      </c>
      <c r="L921">
        <v>5.4794520547945212E-4</v>
      </c>
      <c r="M921">
        <v>1965.2345205479455</v>
      </c>
      <c r="N921">
        <v>469691.050410959</v>
      </c>
    </row>
    <row r="922" spans="1:14" x14ac:dyDescent="0.25">
      <c r="A922" t="s">
        <v>1701</v>
      </c>
      <c r="B922" t="s">
        <v>17</v>
      </c>
      <c r="C922">
        <v>21</v>
      </c>
      <c r="D922" t="s">
        <v>38</v>
      </c>
      <c r="E922" t="s">
        <v>23</v>
      </c>
      <c r="F922" t="s">
        <v>30</v>
      </c>
      <c r="G922">
        <v>4616761</v>
      </c>
      <c r="H922">
        <v>33.659999999999997</v>
      </c>
      <c r="I922">
        <v>-7.17</v>
      </c>
      <c r="J922" s="1">
        <v>45080</v>
      </c>
      <c r="K922">
        <v>193</v>
      </c>
      <c r="L922">
        <v>5.4794520547945212E-4</v>
      </c>
      <c r="M922">
        <v>2529.732054794521</v>
      </c>
      <c r="N922">
        <v>488238.28657534253</v>
      </c>
    </row>
    <row r="923" spans="1:14" x14ac:dyDescent="0.25">
      <c r="A923" t="s">
        <v>1703</v>
      </c>
      <c r="B923" t="s">
        <v>17</v>
      </c>
      <c r="C923">
        <v>56</v>
      </c>
      <c r="D923" t="s">
        <v>38</v>
      </c>
      <c r="E923" t="s">
        <v>50</v>
      </c>
      <c r="F923" t="s">
        <v>14</v>
      </c>
      <c r="G923">
        <v>4138090</v>
      </c>
      <c r="H923">
        <v>5.2</v>
      </c>
      <c r="I923">
        <v>4.93</v>
      </c>
      <c r="J923" s="1">
        <v>44515</v>
      </c>
      <c r="K923">
        <v>48</v>
      </c>
      <c r="L923">
        <v>5.4794520547945212E-4</v>
      </c>
      <c r="M923">
        <v>2267.4465753424661</v>
      </c>
      <c r="N923">
        <v>108837.43561643836</v>
      </c>
    </row>
    <row r="924" spans="1:14" x14ac:dyDescent="0.25">
      <c r="A924" t="s">
        <v>1704</v>
      </c>
      <c r="B924" t="s">
        <v>11</v>
      </c>
      <c r="C924">
        <v>39</v>
      </c>
      <c r="D924" t="s">
        <v>46</v>
      </c>
      <c r="E924" t="s">
        <v>19</v>
      </c>
      <c r="F924" t="s">
        <v>41</v>
      </c>
      <c r="G924">
        <v>968561</v>
      </c>
      <c r="H924">
        <v>12.58</v>
      </c>
      <c r="I924">
        <v>23.33</v>
      </c>
      <c r="J924" s="1">
        <v>43731</v>
      </c>
      <c r="K924">
        <v>8</v>
      </c>
      <c r="L924">
        <v>5.4794520547945212E-4</v>
      </c>
      <c r="M924">
        <v>530.71835616438364</v>
      </c>
      <c r="N924">
        <v>4245.7468493150691</v>
      </c>
    </row>
    <row r="925" spans="1:14" x14ac:dyDescent="0.25">
      <c r="A925" t="s">
        <v>1706</v>
      </c>
      <c r="B925" t="s">
        <v>17</v>
      </c>
      <c r="C925">
        <v>55</v>
      </c>
      <c r="D925" t="s">
        <v>12</v>
      </c>
      <c r="E925" t="s">
        <v>57</v>
      </c>
      <c r="F925" t="s">
        <v>41</v>
      </c>
      <c r="G925">
        <v>2843110</v>
      </c>
      <c r="H925">
        <v>34.94</v>
      </c>
      <c r="I925">
        <v>21.66</v>
      </c>
      <c r="J925" s="1">
        <v>44065</v>
      </c>
      <c r="K925">
        <v>271</v>
      </c>
      <c r="L925">
        <v>5.4794520547945212E-4</v>
      </c>
      <c r="M925">
        <v>1557.868493150685</v>
      </c>
      <c r="N925">
        <v>422182.36164383567</v>
      </c>
    </row>
    <row r="926" spans="1:14" x14ac:dyDescent="0.25">
      <c r="A926" t="s">
        <v>1708</v>
      </c>
      <c r="B926" t="s">
        <v>11</v>
      </c>
      <c r="C926">
        <v>61</v>
      </c>
      <c r="D926" t="s">
        <v>46</v>
      </c>
      <c r="E926" t="s">
        <v>13</v>
      </c>
      <c r="F926" t="s">
        <v>41</v>
      </c>
      <c r="G926">
        <v>4788787</v>
      </c>
      <c r="H926">
        <v>19.72</v>
      </c>
      <c r="I926">
        <v>4.5599999999999996</v>
      </c>
      <c r="J926" s="1">
        <v>43282</v>
      </c>
      <c r="K926">
        <v>129</v>
      </c>
      <c r="L926">
        <v>5.4794520547945212E-4</v>
      </c>
      <c r="M926">
        <v>2623.9928767123292</v>
      </c>
      <c r="N926">
        <v>338495.08109589049</v>
      </c>
    </row>
    <row r="927" spans="1:14" x14ac:dyDescent="0.25">
      <c r="A927" t="s">
        <v>1710</v>
      </c>
      <c r="B927" t="s">
        <v>11</v>
      </c>
      <c r="C927">
        <v>53</v>
      </c>
      <c r="D927" t="s">
        <v>46</v>
      </c>
      <c r="E927" t="s">
        <v>23</v>
      </c>
      <c r="F927" t="s">
        <v>30</v>
      </c>
      <c r="G927">
        <v>280521</v>
      </c>
      <c r="H927">
        <v>28.42</v>
      </c>
      <c r="I927">
        <v>23.75</v>
      </c>
      <c r="J927" s="1">
        <v>44175</v>
      </c>
      <c r="K927">
        <v>149</v>
      </c>
      <c r="L927">
        <v>5.4794520547945212E-4</v>
      </c>
      <c r="M927">
        <v>153.71013698630139</v>
      </c>
      <c r="N927">
        <v>22902.810410958908</v>
      </c>
    </row>
    <row r="928" spans="1:14" x14ac:dyDescent="0.25">
      <c r="A928" t="s">
        <v>1711</v>
      </c>
      <c r="B928" t="s">
        <v>11</v>
      </c>
      <c r="C928">
        <v>53</v>
      </c>
      <c r="D928" t="s">
        <v>18</v>
      </c>
      <c r="E928" t="s">
        <v>50</v>
      </c>
      <c r="F928" t="s">
        <v>35</v>
      </c>
      <c r="G928">
        <v>3839635</v>
      </c>
      <c r="H928">
        <v>19.84</v>
      </c>
      <c r="I928">
        <v>26.94</v>
      </c>
      <c r="J928" s="1">
        <v>44970</v>
      </c>
      <c r="K928">
        <v>308</v>
      </c>
      <c r="L928">
        <v>5.4794520547945212E-4</v>
      </c>
      <c r="M928">
        <v>2103.9095890410963</v>
      </c>
      <c r="N928">
        <v>648004.15342465765</v>
      </c>
    </row>
    <row r="929" spans="1:14" x14ac:dyDescent="0.25">
      <c r="A929" t="s">
        <v>1713</v>
      </c>
      <c r="B929" t="s">
        <v>17</v>
      </c>
      <c r="C929">
        <v>35</v>
      </c>
      <c r="D929" t="s">
        <v>18</v>
      </c>
      <c r="E929" t="s">
        <v>23</v>
      </c>
      <c r="F929" t="s">
        <v>14</v>
      </c>
      <c r="G929">
        <v>1302200</v>
      </c>
      <c r="H929">
        <v>14.9</v>
      </c>
      <c r="I929">
        <v>40.799999999999997</v>
      </c>
      <c r="J929" s="1">
        <v>45024</v>
      </c>
      <c r="K929">
        <v>110</v>
      </c>
      <c r="L929">
        <v>5.4794520547945212E-4</v>
      </c>
      <c r="M929">
        <v>713.53424657534254</v>
      </c>
      <c r="N929">
        <v>78488.767123287675</v>
      </c>
    </row>
    <row r="930" spans="1:14" x14ac:dyDescent="0.25">
      <c r="A930" t="s">
        <v>1715</v>
      </c>
      <c r="B930" t="s">
        <v>17</v>
      </c>
      <c r="C930">
        <v>38</v>
      </c>
      <c r="D930" t="s">
        <v>12</v>
      </c>
      <c r="E930" t="s">
        <v>50</v>
      </c>
      <c r="F930" t="s">
        <v>47</v>
      </c>
      <c r="G930">
        <v>2896937</v>
      </c>
      <c r="H930">
        <v>33.54</v>
      </c>
      <c r="I930">
        <v>14.34</v>
      </c>
      <c r="J930" s="1">
        <v>44425</v>
      </c>
      <c r="K930">
        <v>252</v>
      </c>
      <c r="L930">
        <v>5.4794520547945212E-4</v>
      </c>
      <c r="M930">
        <v>1587.3627397260275</v>
      </c>
      <c r="N930">
        <v>400015.41041095892</v>
      </c>
    </row>
    <row r="931" spans="1:14" x14ac:dyDescent="0.25">
      <c r="A931" t="s">
        <v>1716</v>
      </c>
      <c r="B931" t="s">
        <v>11</v>
      </c>
      <c r="C931">
        <v>38</v>
      </c>
      <c r="D931" t="s">
        <v>46</v>
      </c>
      <c r="E931" t="s">
        <v>23</v>
      </c>
      <c r="F931" t="s">
        <v>35</v>
      </c>
      <c r="G931">
        <v>477127</v>
      </c>
      <c r="H931">
        <v>16.989999999999998</v>
      </c>
      <c r="I931">
        <v>32.07</v>
      </c>
      <c r="J931" s="1">
        <v>44010</v>
      </c>
      <c r="K931">
        <v>247</v>
      </c>
      <c r="L931">
        <v>5.4794520547945212E-4</v>
      </c>
      <c r="M931">
        <v>261.43945205479457</v>
      </c>
      <c r="N931">
        <v>64575.544657534258</v>
      </c>
    </row>
    <row r="932" spans="1:14" x14ac:dyDescent="0.25">
      <c r="A932" t="s">
        <v>1717</v>
      </c>
      <c r="B932" t="s">
        <v>17</v>
      </c>
      <c r="C932">
        <v>23</v>
      </c>
      <c r="D932" t="s">
        <v>18</v>
      </c>
      <c r="E932" t="s">
        <v>50</v>
      </c>
      <c r="F932" t="s">
        <v>20</v>
      </c>
      <c r="G932">
        <v>4414189</v>
      </c>
      <c r="H932">
        <v>20.43</v>
      </c>
      <c r="I932">
        <v>44.08</v>
      </c>
      <c r="J932" s="1">
        <v>43788</v>
      </c>
      <c r="K932">
        <v>355</v>
      </c>
      <c r="L932">
        <v>5.4794520547945212E-4</v>
      </c>
      <c r="M932">
        <v>2418.7336986301375</v>
      </c>
      <c r="N932">
        <v>858650.46301369881</v>
      </c>
    </row>
    <row r="933" spans="1:14" x14ac:dyDescent="0.25">
      <c r="A933" t="s">
        <v>1718</v>
      </c>
      <c r="B933" t="s">
        <v>11</v>
      </c>
      <c r="C933">
        <v>60</v>
      </c>
      <c r="D933" t="s">
        <v>46</v>
      </c>
      <c r="E933" t="s">
        <v>29</v>
      </c>
      <c r="F933" t="s">
        <v>35</v>
      </c>
      <c r="G933">
        <v>601436</v>
      </c>
      <c r="H933">
        <v>20.52</v>
      </c>
      <c r="I933">
        <v>6.12</v>
      </c>
      <c r="J933" s="1">
        <v>44131</v>
      </c>
      <c r="K933">
        <v>338</v>
      </c>
      <c r="L933">
        <v>5.4794520547945212E-4</v>
      </c>
      <c r="M933">
        <v>329.55397260273975</v>
      </c>
      <c r="N933">
        <v>111389.24273972603</v>
      </c>
    </row>
    <row r="934" spans="1:14" x14ac:dyDescent="0.25">
      <c r="A934" t="s">
        <v>1720</v>
      </c>
      <c r="B934" t="s">
        <v>11</v>
      </c>
      <c r="C934">
        <v>62</v>
      </c>
      <c r="D934" t="s">
        <v>12</v>
      </c>
      <c r="E934" t="s">
        <v>50</v>
      </c>
      <c r="F934" t="s">
        <v>35</v>
      </c>
      <c r="G934">
        <v>3341236</v>
      </c>
      <c r="H934">
        <v>16.43</v>
      </c>
      <c r="I934">
        <v>33.880000000000003</v>
      </c>
      <c r="J934" s="1">
        <v>43797</v>
      </c>
      <c r="K934">
        <v>355</v>
      </c>
      <c r="L934">
        <v>5.4794520547945212E-4</v>
      </c>
      <c r="M934">
        <v>1830.8142465753426</v>
      </c>
      <c r="N934">
        <v>649939.05753424659</v>
      </c>
    </row>
    <row r="935" spans="1:14" x14ac:dyDescent="0.25">
      <c r="A935" t="s">
        <v>1722</v>
      </c>
      <c r="B935" t="s">
        <v>11</v>
      </c>
      <c r="C935">
        <v>37</v>
      </c>
      <c r="D935" t="s">
        <v>38</v>
      </c>
      <c r="E935" t="s">
        <v>23</v>
      </c>
      <c r="F935" t="s">
        <v>41</v>
      </c>
      <c r="G935">
        <v>3418487</v>
      </c>
      <c r="H935">
        <v>14.25</v>
      </c>
      <c r="I935">
        <v>42.73</v>
      </c>
      <c r="J935" s="1">
        <v>43579</v>
      </c>
      <c r="K935">
        <v>138</v>
      </c>
      <c r="L935">
        <v>5.4794520547945212E-4</v>
      </c>
      <c r="M935">
        <v>1873.1435616438359</v>
      </c>
      <c r="N935">
        <v>258493.81150684936</v>
      </c>
    </row>
    <row r="936" spans="1:14" x14ac:dyDescent="0.25">
      <c r="A936" t="s">
        <v>1724</v>
      </c>
      <c r="B936" t="s">
        <v>11</v>
      </c>
      <c r="C936">
        <v>42</v>
      </c>
      <c r="D936" t="s">
        <v>12</v>
      </c>
      <c r="E936" t="s">
        <v>57</v>
      </c>
      <c r="F936" t="s">
        <v>20</v>
      </c>
      <c r="G936">
        <v>422685</v>
      </c>
      <c r="H936">
        <v>22.59</v>
      </c>
      <c r="I936">
        <v>1.42</v>
      </c>
      <c r="J936" s="1">
        <v>45188</v>
      </c>
      <c r="K936">
        <v>151</v>
      </c>
      <c r="L936">
        <v>5.4794520547945212E-4</v>
      </c>
      <c r="M936">
        <v>231.60821917808221</v>
      </c>
      <c r="N936">
        <v>34972.841095890413</v>
      </c>
    </row>
    <row r="937" spans="1:14" x14ac:dyDescent="0.25">
      <c r="A937" t="s">
        <v>1726</v>
      </c>
      <c r="B937" t="s">
        <v>17</v>
      </c>
      <c r="C937">
        <v>44</v>
      </c>
      <c r="D937" t="s">
        <v>28</v>
      </c>
      <c r="E937" t="s">
        <v>13</v>
      </c>
      <c r="F937" t="s">
        <v>35</v>
      </c>
      <c r="G937">
        <v>4738905</v>
      </c>
      <c r="H937">
        <v>32.520000000000003</v>
      </c>
      <c r="I937">
        <v>5.0999999999999996</v>
      </c>
      <c r="J937" s="1">
        <v>43371</v>
      </c>
      <c r="K937">
        <v>321</v>
      </c>
      <c r="L937">
        <v>5.4794520547945212E-4</v>
      </c>
      <c r="M937">
        <v>2596.6602739726031</v>
      </c>
      <c r="N937">
        <v>833527.94794520561</v>
      </c>
    </row>
    <row r="938" spans="1:14" x14ac:dyDescent="0.25">
      <c r="A938" t="s">
        <v>1728</v>
      </c>
      <c r="B938" t="s">
        <v>11</v>
      </c>
      <c r="C938">
        <v>27</v>
      </c>
      <c r="D938" t="s">
        <v>28</v>
      </c>
      <c r="E938" t="s">
        <v>57</v>
      </c>
      <c r="F938" t="s">
        <v>35</v>
      </c>
      <c r="G938">
        <v>2468875</v>
      </c>
      <c r="H938">
        <v>6.96</v>
      </c>
      <c r="I938">
        <v>-8.86</v>
      </c>
      <c r="J938" s="1">
        <v>45275</v>
      </c>
      <c r="K938">
        <v>261</v>
      </c>
      <c r="L938">
        <v>5.4794520547945212E-4</v>
      </c>
      <c r="M938">
        <v>1352.8082191780823</v>
      </c>
      <c r="N938">
        <v>353082.94520547945</v>
      </c>
    </row>
    <row r="939" spans="1:14" x14ac:dyDescent="0.25">
      <c r="A939" t="s">
        <v>1730</v>
      </c>
      <c r="B939" t="s">
        <v>11</v>
      </c>
      <c r="C939">
        <v>24</v>
      </c>
      <c r="D939" t="s">
        <v>18</v>
      </c>
      <c r="E939" t="s">
        <v>57</v>
      </c>
      <c r="F939" t="s">
        <v>20</v>
      </c>
      <c r="G939">
        <v>2572813</v>
      </c>
      <c r="H939">
        <v>22.57</v>
      </c>
      <c r="I939">
        <v>0.88</v>
      </c>
      <c r="J939" s="1">
        <v>44083</v>
      </c>
      <c r="K939">
        <v>209</v>
      </c>
      <c r="L939">
        <v>5.4794520547945212E-4</v>
      </c>
      <c r="M939">
        <v>1409.7605479452056</v>
      </c>
      <c r="N939">
        <v>294639.954520548</v>
      </c>
    </row>
    <row r="940" spans="1:14" x14ac:dyDescent="0.25">
      <c r="A940" t="s">
        <v>1732</v>
      </c>
      <c r="B940" t="s">
        <v>11</v>
      </c>
      <c r="C940">
        <v>52</v>
      </c>
      <c r="D940" t="s">
        <v>12</v>
      </c>
      <c r="E940" t="s">
        <v>23</v>
      </c>
      <c r="F940" t="s">
        <v>14</v>
      </c>
      <c r="G940">
        <v>4566200</v>
      </c>
      <c r="H940">
        <v>12.65</v>
      </c>
      <c r="I940">
        <v>-2.74</v>
      </c>
      <c r="J940" s="1">
        <v>43160</v>
      </c>
      <c r="K940">
        <v>174</v>
      </c>
      <c r="L940">
        <v>5.4794520547945212E-4</v>
      </c>
      <c r="M940">
        <v>2502.0273972602745</v>
      </c>
      <c r="N940">
        <v>435352.76712328778</v>
      </c>
    </row>
    <row r="941" spans="1:14" x14ac:dyDescent="0.25">
      <c r="A941" t="s">
        <v>1734</v>
      </c>
      <c r="B941" t="s">
        <v>17</v>
      </c>
      <c r="C941">
        <v>30</v>
      </c>
      <c r="D941" t="s">
        <v>12</v>
      </c>
      <c r="E941" t="s">
        <v>13</v>
      </c>
      <c r="F941" t="s">
        <v>20</v>
      </c>
      <c r="G941">
        <v>1357074</v>
      </c>
      <c r="H941">
        <v>12.37</v>
      </c>
      <c r="I941">
        <v>2.92</v>
      </c>
      <c r="J941" s="1">
        <v>44315</v>
      </c>
      <c r="K941">
        <v>284</v>
      </c>
      <c r="L941">
        <v>5.4794520547945212E-4</v>
      </c>
      <c r="M941">
        <v>743.60219178082207</v>
      </c>
      <c r="N941">
        <v>211183.02246575346</v>
      </c>
    </row>
    <row r="942" spans="1:14" x14ac:dyDescent="0.25">
      <c r="A942" t="s">
        <v>1736</v>
      </c>
      <c r="B942" t="s">
        <v>11</v>
      </c>
      <c r="C942">
        <v>33</v>
      </c>
      <c r="D942" t="s">
        <v>46</v>
      </c>
      <c r="E942" t="s">
        <v>29</v>
      </c>
      <c r="F942" t="s">
        <v>30</v>
      </c>
      <c r="G942">
        <v>3750902</v>
      </c>
      <c r="H942">
        <v>18.29</v>
      </c>
      <c r="I942">
        <v>41.25</v>
      </c>
      <c r="J942" s="1">
        <v>43591</v>
      </c>
      <c r="K942">
        <v>177</v>
      </c>
      <c r="L942">
        <v>5.4794520547945212E-4</v>
      </c>
      <c r="M942">
        <v>2055.2887671232879</v>
      </c>
      <c r="N942">
        <v>363786.11178082199</v>
      </c>
    </row>
    <row r="943" spans="1:14" x14ac:dyDescent="0.25">
      <c r="A943" t="s">
        <v>1738</v>
      </c>
      <c r="B943" t="s">
        <v>11</v>
      </c>
      <c r="C943">
        <v>34</v>
      </c>
      <c r="D943" t="s">
        <v>46</v>
      </c>
      <c r="E943" t="s">
        <v>23</v>
      </c>
      <c r="F943" t="s">
        <v>20</v>
      </c>
      <c r="G943">
        <v>3347615</v>
      </c>
      <c r="H943">
        <v>10.34</v>
      </c>
      <c r="I943">
        <v>24.86</v>
      </c>
      <c r="J943" s="1">
        <v>44089</v>
      </c>
      <c r="K943">
        <v>293</v>
      </c>
      <c r="L943">
        <v>5.4794520547945212E-4</v>
      </c>
      <c r="M943">
        <v>1834.3095890410962</v>
      </c>
      <c r="N943">
        <v>537452.70958904119</v>
      </c>
    </row>
    <row r="944" spans="1:14" x14ac:dyDescent="0.25">
      <c r="A944" t="s">
        <v>1740</v>
      </c>
      <c r="B944" t="s">
        <v>17</v>
      </c>
      <c r="C944">
        <v>24</v>
      </c>
      <c r="D944" t="s">
        <v>28</v>
      </c>
      <c r="E944" t="s">
        <v>23</v>
      </c>
      <c r="F944" t="s">
        <v>20</v>
      </c>
      <c r="G944">
        <v>1293183</v>
      </c>
      <c r="H944">
        <v>15.19</v>
      </c>
      <c r="I944">
        <v>18.41</v>
      </c>
      <c r="J944" s="1">
        <v>43300</v>
      </c>
      <c r="K944">
        <v>114</v>
      </c>
      <c r="L944">
        <v>5.4794520547945212E-4</v>
      </c>
      <c r="M944">
        <v>708.59342465753434</v>
      </c>
      <c r="N944">
        <v>80779.650410958915</v>
      </c>
    </row>
    <row r="945" spans="1:14" x14ac:dyDescent="0.25">
      <c r="A945" t="s">
        <v>1742</v>
      </c>
      <c r="B945" t="s">
        <v>11</v>
      </c>
      <c r="C945">
        <v>30</v>
      </c>
      <c r="D945" t="s">
        <v>28</v>
      </c>
      <c r="E945" t="s">
        <v>57</v>
      </c>
      <c r="F945" t="s">
        <v>30</v>
      </c>
      <c r="G945">
        <v>1136573</v>
      </c>
      <c r="H945">
        <v>32.44</v>
      </c>
      <c r="I945">
        <v>12.27</v>
      </c>
      <c r="J945" s="1">
        <v>45557</v>
      </c>
      <c r="K945">
        <v>303</v>
      </c>
      <c r="L945">
        <v>5.4794520547945212E-4</v>
      </c>
      <c r="M945">
        <v>622.77972602739737</v>
      </c>
      <c r="N945">
        <v>188702.25698630139</v>
      </c>
    </row>
    <row r="946" spans="1:14" x14ac:dyDescent="0.25">
      <c r="A946" t="s">
        <v>1744</v>
      </c>
      <c r="B946" t="s">
        <v>11</v>
      </c>
      <c r="C946">
        <v>55</v>
      </c>
      <c r="D946" t="s">
        <v>28</v>
      </c>
      <c r="E946" t="s">
        <v>23</v>
      </c>
      <c r="F946" t="s">
        <v>41</v>
      </c>
      <c r="G946">
        <v>1939255</v>
      </c>
      <c r="H946">
        <v>9.1300000000000008</v>
      </c>
      <c r="I946">
        <v>5.71</v>
      </c>
      <c r="J946" s="1">
        <v>45565</v>
      </c>
      <c r="K946">
        <v>229</v>
      </c>
      <c r="L946">
        <v>5.4794520547945212E-4</v>
      </c>
      <c r="M946">
        <v>1062.6054794520549</v>
      </c>
      <c r="N946">
        <v>243336.65479452055</v>
      </c>
    </row>
    <row r="947" spans="1:14" x14ac:dyDescent="0.25">
      <c r="A947" t="s">
        <v>1745</v>
      </c>
      <c r="B947" t="s">
        <v>11</v>
      </c>
      <c r="C947">
        <v>59</v>
      </c>
      <c r="D947" t="s">
        <v>18</v>
      </c>
      <c r="E947" t="s">
        <v>50</v>
      </c>
      <c r="F947" t="s">
        <v>35</v>
      </c>
      <c r="G947">
        <v>701896</v>
      </c>
      <c r="H947">
        <v>32.24</v>
      </c>
      <c r="I947">
        <v>22.28</v>
      </c>
      <c r="J947" s="1">
        <v>45300</v>
      </c>
      <c r="K947">
        <v>55</v>
      </c>
      <c r="L947">
        <v>5.4794520547945212E-4</v>
      </c>
      <c r="M947">
        <v>384.60054794520551</v>
      </c>
      <c r="N947">
        <v>21153.030136986305</v>
      </c>
    </row>
    <row r="948" spans="1:14" x14ac:dyDescent="0.25">
      <c r="A948" t="s">
        <v>1746</v>
      </c>
      <c r="B948" t="s">
        <v>17</v>
      </c>
      <c r="C948">
        <v>26</v>
      </c>
      <c r="D948" t="s">
        <v>18</v>
      </c>
      <c r="E948" t="s">
        <v>57</v>
      </c>
      <c r="F948" t="s">
        <v>47</v>
      </c>
      <c r="G948">
        <v>2801858</v>
      </c>
      <c r="H948">
        <v>14.24</v>
      </c>
      <c r="I948">
        <v>27.68</v>
      </c>
      <c r="J948" s="1">
        <v>44886</v>
      </c>
      <c r="K948">
        <v>327</v>
      </c>
      <c r="L948">
        <v>5.4794520547945212E-4</v>
      </c>
      <c r="M948">
        <v>1535.2646575342467</v>
      </c>
      <c r="N948">
        <v>502031.54301369865</v>
      </c>
    </row>
    <row r="949" spans="1:14" x14ac:dyDescent="0.25">
      <c r="A949" t="s">
        <v>1747</v>
      </c>
      <c r="B949" t="s">
        <v>11</v>
      </c>
      <c r="C949">
        <v>61</v>
      </c>
      <c r="D949" t="s">
        <v>28</v>
      </c>
      <c r="E949" t="s">
        <v>50</v>
      </c>
      <c r="F949" t="s">
        <v>47</v>
      </c>
      <c r="G949">
        <v>4555328</v>
      </c>
      <c r="H949">
        <v>8.15</v>
      </c>
      <c r="I949">
        <v>16.13</v>
      </c>
      <c r="J949" s="1">
        <v>44218</v>
      </c>
      <c r="K949">
        <v>130</v>
      </c>
      <c r="L949">
        <v>5.4794520547945212E-4</v>
      </c>
      <c r="M949">
        <v>2496.0701369863018</v>
      </c>
      <c r="N949">
        <v>324489.11780821922</v>
      </c>
    </row>
    <row r="950" spans="1:14" x14ac:dyDescent="0.25">
      <c r="A950" t="s">
        <v>1748</v>
      </c>
      <c r="B950" t="s">
        <v>17</v>
      </c>
      <c r="C950">
        <v>38</v>
      </c>
      <c r="D950" t="s">
        <v>18</v>
      </c>
      <c r="E950" t="s">
        <v>29</v>
      </c>
      <c r="F950" t="s">
        <v>20</v>
      </c>
      <c r="G950">
        <v>854805</v>
      </c>
      <c r="H950">
        <v>23.49</v>
      </c>
      <c r="I950">
        <v>40.25</v>
      </c>
      <c r="J950" s="1">
        <v>44949</v>
      </c>
      <c r="K950">
        <v>269</v>
      </c>
      <c r="L950">
        <v>5.4794520547945212E-4</v>
      </c>
      <c r="M950">
        <v>468.38630136986308</v>
      </c>
      <c r="N950">
        <v>125995.91506849317</v>
      </c>
    </row>
    <row r="951" spans="1:14" x14ac:dyDescent="0.25">
      <c r="A951" t="s">
        <v>1750</v>
      </c>
      <c r="B951" t="s">
        <v>17</v>
      </c>
      <c r="C951">
        <v>29</v>
      </c>
      <c r="D951" t="s">
        <v>38</v>
      </c>
      <c r="E951" t="s">
        <v>23</v>
      </c>
      <c r="F951" t="s">
        <v>20</v>
      </c>
      <c r="G951">
        <v>1898496</v>
      </c>
      <c r="H951">
        <v>21.49</v>
      </c>
      <c r="I951">
        <v>-9.5299999999999994</v>
      </c>
      <c r="J951" s="1">
        <v>45310</v>
      </c>
      <c r="K951">
        <v>152</v>
      </c>
      <c r="L951">
        <v>5.4794520547945212E-4</v>
      </c>
      <c r="M951">
        <v>1040.2717808219179</v>
      </c>
      <c r="N951">
        <v>158121.31068493152</v>
      </c>
    </row>
    <row r="952" spans="1:14" x14ac:dyDescent="0.25">
      <c r="A952" t="s">
        <v>1752</v>
      </c>
      <c r="B952" t="s">
        <v>11</v>
      </c>
      <c r="C952">
        <v>26</v>
      </c>
      <c r="D952" t="s">
        <v>18</v>
      </c>
      <c r="E952" t="s">
        <v>19</v>
      </c>
      <c r="F952" t="s">
        <v>30</v>
      </c>
      <c r="G952">
        <v>2834511</v>
      </c>
      <c r="H952">
        <v>7.9</v>
      </c>
      <c r="I952">
        <v>-4.97</v>
      </c>
      <c r="J952" s="1">
        <v>44832</v>
      </c>
      <c r="K952">
        <v>159</v>
      </c>
      <c r="L952">
        <v>5.4794520547945212E-4</v>
      </c>
      <c r="M952">
        <v>1553.1567123287673</v>
      </c>
      <c r="N952">
        <v>246951.917260274</v>
      </c>
    </row>
    <row r="953" spans="1:14" x14ac:dyDescent="0.25">
      <c r="A953" t="s">
        <v>1754</v>
      </c>
      <c r="B953" t="s">
        <v>17</v>
      </c>
      <c r="C953">
        <v>61</v>
      </c>
      <c r="D953" t="s">
        <v>28</v>
      </c>
      <c r="E953" t="s">
        <v>19</v>
      </c>
      <c r="F953" t="s">
        <v>20</v>
      </c>
      <c r="G953">
        <v>3971811</v>
      </c>
      <c r="H953">
        <v>13.78</v>
      </c>
      <c r="I953">
        <v>7</v>
      </c>
      <c r="J953" s="1">
        <v>45576</v>
      </c>
      <c r="K953">
        <v>89</v>
      </c>
      <c r="L953">
        <v>5.4794520547945212E-4</v>
      </c>
      <c r="M953">
        <v>2176.3347945205483</v>
      </c>
      <c r="N953">
        <v>193693.7967123288</v>
      </c>
    </row>
    <row r="954" spans="1:14" x14ac:dyDescent="0.25">
      <c r="A954" t="s">
        <v>1756</v>
      </c>
      <c r="B954" t="s">
        <v>17</v>
      </c>
      <c r="C954">
        <v>39</v>
      </c>
      <c r="D954" t="s">
        <v>38</v>
      </c>
      <c r="E954" t="s">
        <v>57</v>
      </c>
      <c r="F954" t="s">
        <v>30</v>
      </c>
      <c r="G954">
        <v>1658197</v>
      </c>
      <c r="H954">
        <v>26.63</v>
      </c>
      <c r="I954">
        <v>32.92</v>
      </c>
      <c r="J954" s="1">
        <v>44983</v>
      </c>
      <c r="K954">
        <v>43</v>
      </c>
      <c r="L954">
        <v>5.4794520547945212E-4</v>
      </c>
      <c r="M954">
        <v>908.6010958904111</v>
      </c>
      <c r="N954">
        <v>39069.847123287676</v>
      </c>
    </row>
    <row r="955" spans="1:14" x14ac:dyDescent="0.25">
      <c r="A955" t="s">
        <v>1758</v>
      </c>
      <c r="B955" t="s">
        <v>17</v>
      </c>
      <c r="C955">
        <v>24</v>
      </c>
      <c r="D955" t="s">
        <v>12</v>
      </c>
      <c r="E955" t="s">
        <v>50</v>
      </c>
      <c r="F955" t="s">
        <v>20</v>
      </c>
      <c r="G955">
        <v>1719615</v>
      </c>
      <c r="H955">
        <v>33.61</v>
      </c>
      <c r="I955">
        <v>33</v>
      </c>
      <c r="J955" s="1">
        <v>44386</v>
      </c>
      <c r="K955">
        <v>105</v>
      </c>
      <c r="L955">
        <v>5.4794520547945212E-4</v>
      </c>
      <c r="M955">
        <v>942.2547945205481</v>
      </c>
      <c r="N955">
        <v>98936.753424657552</v>
      </c>
    </row>
    <row r="956" spans="1:14" x14ac:dyDescent="0.25">
      <c r="A956" t="s">
        <v>1759</v>
      </c>
      <c r="B956" t="s">
        <v>17</v>
      </c>
      <c r="C956">
        <v>30</v>
      </c>
      <c r="D956" t="s">
        <v>12</v>
      </c>
      <c r="E956" t="s">
        <v>19</v>
      </c>
      <c r="F956" t="s">
        <v>35</v>
      </c>
      <c r="G956">
        <v>1718983</v>
      </c>
      <c r="H956">
        <v>17.420000000000002</v>
      </c>
      <c r="I956">
        <v>15.97</v>
      </c>
      <c r="J956" s="1">
        <v>45055</v>
      </c>
      <c r="K956">
        <v>32</v>
      </c>
      <c r="L956">
        <v>5.4794520547945212E-4</v>
      </c>
      <c r="M956">
        <v>941.9084931506851</v>
      </c>
      <c r="N956">
        <v>30141.071780821923</v>
      </c>
    </row>
    <row r="957" spans="1:14" x14ac:dyDescent="0.25">
      <c r="A957" t="s">
        <v>1761</v>
      </c>
      <c r="B957" t="s">
        <v>11</v>
      </c>
      <c r="C957">
        <v>25</v>
      </c>
      <c r="D957" t="s">
        <v>46</v>
      </c>
      <c r="E957" t="s">
        <v>23</v>
      </c>
      <c r="F957" t="s">
        <v>41</v>
      </c>
      <c r="G957">
        <v>1834231</v>
      </c>
      <c r="H957">
        <v>33.32</v>
      </c>
      <c r="I957">
        <v>6.44</v>
      </c>
      <c r="J957" s="1">
        <v>44574</v>
      </c>
      <c r="K957">
        <v>255</v>
      </c>
      <c r="L957">
        <v>5.4794520547945212E-4</v>
      </c>
      <c r="M957">
        <v>1005.058082191781</v>
      </c>
      <c r="N957">
        <v>256289.81095890416</v>
      </c>
    </row>
    <row r="958" spans="1:14" x14ac:dyDescent="0.25">
      <c r="A958" t="s">
        <v>1763</v>
      </c>
      <c r="B958" t="s">
        <v>17</v>
      </c>
      <c r="C958">
        <v>35</v>
      </c>
      <c r="D958" t="s">
        <v>18</v>
      </c>
      <c r="E958" t="s">
        <v>23</v>
      </c>
      <c r="F958" t="s">
        <v>14</v>
      </c>
      <c r="G958">
        <v>2601036</v>
      </c>
      <c r="H958">
        <v>16.920000000000002</v>
      </c>
      <c r="I958">
        <v>29.35</v>
      </c>
      <c r="J958" s="1">
        <v>44414</v>
      </c>
      <c r="K958">
        <v>185</v>
      </c>
      <c r="L958">
        <v>5.4794520547945212E-4</v>
      </c>
      <c r="M958">
        <v>1425.2252054794521</v>
      </c>
      <c r="N958">
        <v>263666.66301369865</v>
      </c>
    </row>
    <row r="959" spans="1:14" x14ac:dyDescent="0.25">
      <c r="A959" t="s">
        <v>1765</v>
      </c>
      <c r="B959" t="s">
        <v>11</v>
      </c>
      <c r="C959">
        <v>31</v>
      </c>
      <c r="D959" t="s">
        <v>38</v>
      </c>
      <c r="E959" t="s">
        <v>50</v>
      </c>
      <c r="F959" t="s">
        <v>14</v>
      </c>
      <c r="G959">
        <v>3779896</v>
      </c>
      <c r="H959">
        <v>22.09</v>
      </c>
      <c r="I959">
        <v>36.56</v>
      </c>
      <c r="J959" s="1">
        <v>44966</v>
      </c>
      <c r="K959">
        <v>223</v>
      </c>
      <c r="L959">
        <v>5.4794520547945212E-4</v>
      </c>
      <c r="M959">
        <v>2071.1758904109593</v>
      </c>
      <c r="N959">
        <v>461872.22356164391</v>
      </c>
    </row>
    <row r="960" spans="1:14" x14ac:dyDescent="0.25">
      <c r="A960" t="s">
        <v>1767</v>
      </c>
      <c r="B960" t="s">
        <v>11</v>
      </c>
      <c r="C960">
        <v>48</v>
      </c>
      <c r="D960" t="s">
        <v>12</v>
      </c>
      <c r="E960" t="s">
        <v>57</v>
      </c>
      <c r="F960" t="s">
        <v>47</v>
      </c>
      <c r="G960">
        <v>3554764</v>
      </c>
      <c r="H960">
        <v>22.38</v>
      </c>
      <c r="I960">
        <v>-5.93</v>
      </c>
      <c r="J960" s="1">
        <v>44294</v>
      </c>
      <c r="K960">
        <v>351</v>
      </c>
      <c r="L960">
        <v>5.4794520547945212E-4</v>
      </c>
      <c r="M960">
        <v>1947.8158904109591</v>
      </c>
      <c r="N960">
        <v>683683.37753424665</v>
      </c>
    </row>
    <row r="961" spans="1:14" x14ac:dyDescent="0.25">
      <c r="A961" t="s">
        <v>1768</v>
      </c>
      <c r="B961" t="s">
        <v>11</v>
      </c>
      <c r="C961">
        <v>23</v>
      </c>
      <c r="D961" t="s">
        <v>18</v>
      </c>
      <c r="E961" t="s">
        <v>19</v>
      </c>
      <c r="F961" t="s">
        <v>35</v>
      </c>
      <c r="G961">
        <v>4197884</v>
      </c>
      <c r="H961">
        <v>17.899999999999999</v>
      </c>
      <c r="I961">
        <v>31.55</v>
      </c>
      <c r="J961" s="1">
        <v>44850</v>
      </c>
      <c r="K961">
        <v>323</v>
      </c>
      <c r="L961">
        <v>5.4794520547945212E-4</v>
      </c>
      <c r="M961">
        <v>2300.2104109589045</v>
      </c>
      <c r="N961">
        <v>742967.96273972618</v>
      </c>
    </row>
    <row r="962" spans="1:14" x14ac:dyDescent="0.25">
      <c r="A962" t="s">
        <v>1769</v>
      </c>
      <c r="B962" t="s">
        <v>17</v>
      </c>
      <c r="C962">
        <v>50</v>
      </c>
      <c r="D962" t="s">
        <v>18</v>
      </c>
      <c r="E962" t="s">
        <v>13</v>
      </c>
      <c r="F962" t="s">
        <v>20</v>
      </c>
      <c r="G962">
        <v>1365914</v>
      </c>
      <c r="H962">
        <v>24.55</v>
      </c>
      <c r="I962">
        <v>5.73</v>
      </c>
      <c r="J962" s="1">
        <v>43732</v>
      </c>
      <c r="K962">
        <v>177</v>
      </c>
      <c r="L962">
        <v>5.4794520547945212E-4</v>
      </c>
      <c r="M962">
        <v>748.44602739726042</v>
      </c>
      <c r="N962">
        <v>132474.94684931511</v>
      </c>
    </row>
    <row r="963" spans="1:14" x14ac:dyDescent="0.25">
      <c r="A963" t="s">
        <v>1771</v>
      </c>
      <c r="B963" t="s">
        <v>11</v>
      </c>
      <c r="C963">
        <v>31</v>
      </c>
      <c r="D963" t="s">
        <v>12</v>
      </c>
      <c r="E963" t="s">
        <v>57</v>
      </c>
      <c r="F963" t="s">
        <v>41</v>
      </c>
      <c r="G963">
        <v>1410060</v>
      </c>
      <c r="H963">
        <v>28.07</v>
      </c>
      <c r="I963">
        <v>11.04</v>
      </c>
      <c r="J963" s="1">
        <v>43729</v>
      </c>
      <c r="K963">
        <v>245</v>
      </c>
      <c r="L963">
        <v>5.4794520547945212E-4</v>
      </c>
      <c r="M963">
        <v>772.63561643835624</v>
      </c>
      <c r="N963">
        <v>189295.72602739726</v>
      </c>
    </row>
    <row r="964" spans="1:14" x14ac:dyDescent="0.25">
      <c r="A964" t="s">
        <v>1773</v>
      </c>
      <c r="B964" t="s">
        <v>11</v>
      </c>
      <c r="C964">
        <v>48</v>
      </c>
      <c r="D964" t="s">
        <v>12</v>
      </c>
      <c r="E964" t="s">
        <v>29</v>
      </c>
      <c r="F964" t="s">
        <v>14</v>
      </c>
      <c r="G964">
        <v>3110499</v>
      </c>
      <c r="H964">
        <v>16.95</v>
      </c>
      <c r="I964">
        <v>31.83</v>
      </c>
      <c r="J964" s="1">
        <v>45306</v>
      </c>
      <c r="K964">
        <v>28</v>
      </c>
      <c r="L964">
        <v>5.4794520547945212E-4</v>
      </c>
      <c r="M964">
        <v>1704.3830136986303</v>
      </c>
      <c r="N964">
        <v>47722.724383561646</v>
      </c>
    </row>
    <row r="965" spans="1:14" x14ac:dyDescent="0.25">
      <c r="A965" t="s">
        <v>1774</v>
      </c>
      <c r="B965" t="s">
        <v>11</v>
      </c>
      <c r="C965">
        <v>54</v>
      </c>
      <c r="D965" t="s">
        <v>12</v>
      </c>
      <c r="E965" t="s">
        <v>50</v>
      </c>
      <c r="F965" t="s">
        <v>41</v>
      </c>
      <c r="G965">
        <v>3031254</v>
      </c>
      <c r="H965">
        <v>13.01</v>
      </c>
      <c r="I965">
        <v>-4.8099999999999996</v>
      </c>
      <c r="J965" s="1">
        <v>44046</v>
      </c>
      <c r="K965">
        <v>97</v>
      </c>
      <c r="L965">
        <v>5.4794520547945212E-4</v>
      </c>
      <c r="M965">
        <v>1660.9610958904111</v>
      </c>
      <c r="N965">
        <v>161113.22630136987</v>
      </c>
    </row>
    <row r="966" spans="1:14" x14ac:dyDescent="0.25">
      <c r="A966" t="s">
        <v>1776</v>
      </c>
      <c r="B966" t="s">
        <v>17</v>
      </c>
      <c r="C966">
        <v>27</v>
      </c>
      <c r="D966" t="s">
        <v>28</v>
      </c>
      <c r="E966" t="s">
        <v>57</v>
      </c>
      <c r="F966" t="s">
        <v>30</v>
      </c>
      <c r="G966">
        <v>4785649</v>
      </c>
      <c r="H966">
        <v>29.28</v>
      </c>
      <c r="I966">
        <v>0.56999999999999995</v>
      </c>
      <c r="J966" s="1">
        <v>45462</v>
      </c>
      <c r="K966">
        <v>310</v>
      </c>
      <c r="L966">
        <v>5.4794520547945212E-4</v>
      </c>
      <c r="M966">
        <v>2622.2734246575346</v>
      </c>
      <c r="N966">
        <v>812904.76164383569</v>
      </c>
    </row>
    <row r="967" spans="1:14" x14ac:dyDescent="0.25">
      <c r="A967" t="s">
        <v>1778</v>
      </c>
      <c r="B967" t="s">
        <v>17</v>
      </c>
      <c r="C967">
        <v>45</v>
      </c>
      <c r="D967" t="s">
        <v>18</v>
      </c>
      <c r="E967" t="s">
        <v>29</v>
      </c>
      <c r="F967" t="s">
        <v>30</v>
      </c>
      <c r="G967">
        <v>2403456</v>
      </c>
      <c r="H967">
        <v>27.02</v>
      </c>
      <c r="I967">
        <v>21.25</v>
      </c>
      <c r="J967" s="1">
        <v>44507</v>
      </c>
      <c r="K967">
        <v>141</v>
      </c>
      <c r="L967">
        <v>5.4794520547945212E-4</v>
      </c>
      <c r="M967">
        <v>1316.9621917808222</v>
      </c>
      <c r="N967">
        <v>185691.66904109594</v>
      </c>
    </row>
    <row r="968" spans="1:14" x14ac:dyDescent="0.25">
      <c r="A968" t="s">
        <v>1780</v>
      </c>
      <c r="B968" t="s">
        <v>11</v>
      </c>
      <c r="C968">
        <v>23</v>
      </c>
      <c r="D968" t="s">
        <v>28</v>
      </c>
      <c r="E968" t="s">
        <v>57</v>
      </c>
      <c r="F968" t="s">
        <v>41</v>
      </c>
      <c r="G968">
        <v>4430412</v>
      </c>
      <c r="H968">
        <v>13.62</v>
      </c>
      <c r="I968">
        <v>26.49</v>
      </c>
      <c r="J968" s="1">
        <v>45399</v>
      </c>
      <c r="K968">
        <v>243</v>
      </c>
      <c r="L968">
        <v>5.4794520547945212E-4</v>
      </c>
      <c r="M968">
        <v>2427.6230136986305</v>
      </c>
      <c r="N968">
        <v>589912.39232876722</v>
      </c>
    </row>
    <row r="969" spans="1:14" x14ac:dyDescent="0.25">
      <c r="A969" t="s">
        <v>1781</v>
      </c>
      <c r="B969" t="s">
        <v>11</v>
      </c>
      <c r="C969">
        <v>51</v>
      </c>
      <c r="D969" t="s">
        <v>12</v>
      </c>
      <c r="E969" t="s">
        <v>57</v>
      </c>
      <c r="F969" t="s">
        <v>30</v>
      </c>
      <c r="G969">
        <v>2090942</v>
      </c>
      <c r="H969">
        <v>34.770000000000003</v>
      </c>
      <c r="I969">
        <v>-4.29</v>
      </c>
      <c r="J969" s="1">
        <v>44517</v>
      </c>
      <c r="K969">
        <v>129</v>
      </c>
      <c r="L969">
        <v>5.4794520547945212E-4</v>
      </c>
      <c r="M969">
        <v>1145.7216438356165</v>
      </c>
      <c r="N969">
        <v>147798.09205479454</v>
      </c>
    </row>
    <row r="970" spans="1:14" x14ac:dyDescent="0.25">
      <c r="A970" t="s">
        <v>1783</v>
      </c>
      <c r="B970" t="s">
        <v>11</v>
      </c>
      <c r="C970">
        <v>26</v>
      </c>
      <c r="D970" t="s">
        <v>18</v>
      </c>
      <c r="E970" t="s">
        <v>29</v>
      </c>
      <c r="F970" t="s">
        <v>41</v>
      </c>
      <c r="G970">
        <v>4703453</v>
      </c>
      <c r="H970">
        <v>24.15</v>
      </c>
      <c r="I970">
        <v>-0.94</v>
      </c>
      <c r="J970" s="1">
        <v>44744</v>
      </c>
      <c r="K970">
        <v>23</v>
      </c>
      <c r="L970">
        <v>5.4794520547945212E-4</v>
      </c>
      <c r="M970">
        <v>2577.2345205479455</v>
      </c>
      <c r="N970">
        <v>59276.393972602746</v>
      </c>
    </row>
    <row r="971" spans="1:14" x14ac:dyDescent="0.25">
      <c r="A971" t="s">
        <v>1784</v>
      </c>
      <c r="B971" t="s">
        <v>11</v>
      </c>
      <c r="C971">
        <v>28</v>
      </c>
      <c r="D971" t="s">
        <v>46</v>
      </c>
      <c r="E971" t="s">
        <v>13</v>
      </c>
      <c r="F971" t="s">
        <v>14</v>
      </c>
      <c r="G971">
        <v>1944590</v>
      </c>
      <c r="H971">
        <v>6.84</v>
      </c>
      <c r="I971">
        <v>34.54</v>
      </c>
      <c r="J971" s="1">
        <v>44217</v>
      </c>
      <c r="K971">
        <v>295</v>
      </c>
      <c r="L971">
        <v>5.4794520547945212E-4</v>
      </c>
      <c r="M971">
        <v>1065.5287671232877</v>
      </c>
      <c r="N971">
        <v>314330.98630136985</v>
      </c>
    </row>
    <row r="972" spans="1:14" x14ac:dyDescent="0.25">
      <c r="A972" t="s">
        <v>1786</v>
      </c>
      <c r="B972" t="s">
        <v>17</v>
      </c>
      <c r="C972">
        <v>30</v>
      </c>
      <c r="D972" t="s">
        <v>46</v>
      </c>
      <c r="E972" t="s">
        <v>50</v>
      </c>
      <c r="F972" t="s">
        <v>35</v>
      </c>
      <c r="G972">
        <v>3665680</v>
      </c>
      <c r="H972">
        <v>29.78</v>
      </c>
      <c r="I972">
        <v>44.83</v>
      </c>
      <c r="J972" s="1">
        <v>45340</v>
      </c>
      <c r="K972">
        <v>12</v>
      </c>
      <c r="L972">
        <v>5.4794520547945212E-4</v>
      </c>
      <c r="M972">
        <v>2008.5917808219181</v>
      </c>
      <c r="N972">
        <v>24103.101369863016</v>
      </c>
    </row>
    <row r="973" spans="1:14" x14ac:dyDescent="0.25">
      <c r="A973" t="s">
        <v>1787</v>
      </c>
      <c r="B973" t="s">
        <v>17</v>
      </c>
      <c r="C973">
        <v>27</v>
      </c>
      <c r="D973" t="s">
        <v>46</v>
      </c>
      <c r="E973" t="s">
        <v>19</v>
      </c>
      <c r="F973" t="s">
        <v>47</v>
      </c>
      <c r="G973">
        <v>4239353</v>
      </c>
      <c r="H973">
        <v>7.1</v>
      </c>
      <c r="I973">
        <v>31.75</v>
      </c>
      <c r="J973" s="1">
        <v>44923</v>
      </c>
      <c r="K973">
        <v>309</v>
      </c>
      <c r="L973">
        <v>5.4794520547945212E-4</v>
      </c>
      <c r="M973">
        <v>2322.9331506849317</v>
      </c>
      <c r="N973">
        <v>717786.34356164385</v>
      </c>
    </row>
    <row r="974" spans="1:14" x14ac:dyDescent="0.25">
      <c r="A974" t="s">
        <v>1788</v>
      </c>
      <c r="B974" t="s">
        <v>17</v>
      </c>
      <c r="C974">
        <v>61</v>
      </c>
      <c r="D974" t="s">
        <v>38</v>
      </c>
      <c r="E974" t="s">
        <v>23</v>
      </c>
      <c r="F974" t="s">
        <v>30</v>
      </c>
      <c r="G974">
        <v>4599920</v>
      </c>
      <c r="H974">
        <v>9.23</v>
      </c>
      <c r="I974">
        <v>5.91</v>
      </c>
      <c r="J974" s="1">
        <v>44649</v>
      </c>
      <c r="K974">
        <v>69</v>
      </c>
      <c r="L974">
        <v>5.4794520547945212E-4</v>
      </c>
      <c r="M974">
        <v>2520.5041095890415</v>
      </c>
      <c r="N974">
        <v>173914.78356164385</v>
      </c>
    </row>
    <row r="975" spans="1:14" x14ac:dyDescent="0.25">
      <c r="A975" t="s">
        <v>1790</v>
      </c>
      <c r="B975" t="s">
        <v>17</v>
      </c>
      <c r="C975">
        <v>49</v>
      </c>
      <c r="D975" t="s">
        <v>38</v>
      </c>
      <c r="E975" t="s">
        <v>19</v>
      </c>
      <c r="F975" t="s">
        <v>35</v>
      </c>
      <c r="G975">
        <v>2015113</v>
      </c>
      <c r="H975">
        <v>8.1999999999999993</v>
      </c>
      <c r="I975">
        <v>40.57</v>
      </c>
      <c r="J975" s="1">
        <v>45583</v>
      </c>
      <c r="K975">
        <v>364</v>
      </c>
      <c r="L975">
        <v>5.4794520547945212E-4</v>
      </c>
      <c r="M975">
        <v>1104.1715068493152</v>
      </c>
      <c r="N975">
        <v>401918.42849315074</v>
      </c>
    </row>
    <row r="976" spans="1:14" x14ac:dyDescent="0.25">
      <c r="A976" t="s">
        <v>1791</v>
      </c>
      <c r="B976" t="s">
        <v>17</v>
      </c>
      <c r="C976">
        <v>34</v>
      </c>
      <c r="D976" t="s">
        <v>18</v>
      </c>
      <c r="E976" t="s">
        <v>19</v>
      </c>
      <c r="F976" t="s">
        <v>35</v>
      </c>
      <c r="G976">
        <v>1868624</v>
      </c>
      <c r="H976">
        <v>15.98</v>
      </c>
      <c r="I976">
        <v>8.69</v>
      </c>
      <c r="J976" s="1">
        <v>43894</v>
      </c>
      <c r="K976">
        <v>339</v>
      </c>
      <c r="L976">
        <v>5.4794520547945212E-4</v>
      </c>
      <c r="M976">
        <v>1023.9035616438357</v>
      </c>
      <c r="N976">
        <v>347103.30739726033</v>
      </c>
    </row>
    <row r="977" spans="1:14" x14ac:dyDescent="0.25">
      <c r="A977" t="s">
        <v>1792</v>
      </c>
      <c r="B977" t="s">
        <v>11</v>
      </c>
      <c r="C977">
        <v>50</v>
      </c>
      <c r="D977" t="s">
        <v>46</v>
      </c>
      <c r="E977" t="s">
        <v>29</v>
      </c>
      <c r="F977" t="s">
        <v>41</v>
      </c>
      <c r="G977">
        <v>2288223</v>
      </c>
      <c r="H977">
        <v>8.1999999999999993</v>
      </c>
      <c r="I977">
        <v>25.27</v>
      </c>
      <c r="J977" s="1">
        <v>43699</v>
      </c>
      <c r="K977">
        <v>169</v>
      </c>
      <c r="L977">
        <v>5.4794520547945212E-4</v>
      </c>
      <c r="M977">
        <v>1253.8208219178084</v>
      </c>
      <c r="N977">
        <v>211895.71890410961</v>
      </c>
    </row>
    <row r="978" spans="1:14" x14ac:dyDescent="0.25">
      <c r="A978" t="s">
        <v>1794</v>
      </c>
      <c r="B978" t="s">
        <v>17</v>
      </c>
      <c r="C978">
        <v>44</v>
      </c>
      <c r="D978" t="s">
        <v>12</v>
      </c>
      <c r="E978" t="s">
        <v>19</v>
      </c>
      <c r="F978" t="s">
        <v>41</v>
      </c>
      <c r="G978">
        <v>3718739</v>
      </c>
      <c r="H978">
        <v>19.010000000000002</v>
      </c>
      <c r="I978">
        <v>9.85</v>
      </c>
      <c r="J978" s="1">
        <v>44720</v>
      </c>
      <c r="K978">
        <v>309</v>
      </c>
      <c r="L978">
        <v>5.4794520547945212E-4</v>
      </c>
      <c r="M978">
        <v>2037.6652054794524</v>
      </c>
      <c r="N978">
        <v>629638.54849315085</v>
      </c>
    </row>
    <row r="979" spans="1:14" x14ac:dyDescent="0.25">
      <c r="A979" t="s">
        <v>1796</v>
      </c>
      <c r="B979" t="s">
        <v>17</v>
      </c>
      <c r="C979">
        <v>30</v>
      </c>
      <c r="D979" t="s">
        <v>38</v>
      </c>
      <c r="E979" t="s">
        <v>50</v>
      </c>
      <c r="F979" t="s">
        <v>30</v>
      </c>
      <c r="G979">
        <v>2234729</v>
      </c>
      <c r="H979">
        <v>14.65</v>
      </c>
      <c r="I979">
        <v>19.7</v>
      </c>
      <c r="J979" s="1">
        <v>43316</v>
      </c>
      <c r="K979">
        <v>57</v>
      </c>
      <c r="L979">
        <v>5.4794520547945212E-4</v>
      </c>
      <c r="M979">
        <v>1224.5090410958906</v>
      </c>
      <c r="N979">
        <v>69797.015342465762</v>
      </c>
    </row>
    <row r="980" spans="1:14" x14ac:dyDescent="0.25">
      <c r="A980" t="s">
        <v>1798</v>
      </c>
      <c r="B980" t="s">
        <v>11</v>
      </c>
      <c r="C980">
        <v>58</v>
      </c>
      <c r="D980" t="s">
        <v>46</v>
      </c>
      <c r="E980" t="s">
        <v>23</v>
      </c>
      <c r="F980" t="s">
        <v>30</v>
      </c>
      <c r="G980">
        <v>3812762</v>
      </c>
      <c r="H980">
        <v>22.39</v>
      </c>
      <c r="I980">
        <v>41.71</v>
      </c>
      <c r="J980" s="1">
        <v>45220</v>
      </c>
      <c r="K980">
        <v>20</v>
      </c>
      <c r="L980">
        <v>5.4794520547945212E-4</v>
      </c>
      <c r="M980">
        <v>2089.184657534247</v>
      </c>
      <c r="N980">
        <v>41783.693150684936</v>
      </c>
    </row>
    <row r="981" spans="1:14" x14ac:dyDescent="0.25">
      <c r="A981" t="s">
        <v>1799</v>
      </c>
      <c r="B981" t="s">
        <v>11</v>
      </c>
      <c r="C981">
        <v>32</v>
      </c>
      <c r="D981" t="s">
        <v>28</v>
      </c>
      <c r="E981" t="s">
        <v>57</v>
      </c>
      <c r="F981" t="s">
        <v>14</v>
      </c>
      <c r="G981">
        <v>3449917</v>
      </c>
      <c r="H981">
        <v>27.68</v>
      </c>
      <c r="I981">
        <v>1.38</v>
      </c>
      <c r="J981" s="1">
        <v>43524</v>
      </c>
      <c r="K981">
        <v>88</v>
      </c>
      <c r="L981">
        <v>5.4794520547945212E-4</v>
      </c>
      <c r="M981">
        <v>1890.3654794520551</v>
      </c>
      <c r="N981">
        <v>166352.16219178084</v>
      </c>
    </row>
    <row r="982" spans="1:14" x14ac:dyDescent="0.25">
      <c r="A982" t="s">
        <v>1801</v>
      </c>
      <c r="B982" t="s">
        <v>17</v>
      </c>
      <c r="C982">
        <v>25</v>
      </c>
      <c r="D982" t="s">
        <v>12</v>
      </c>
      <c r="E982" t="s">
        <v>29</v>
      </c>
      <c r="F982" t="s">
        <v>14</v>
      </c>
      <c r="G982">
        <v>1227506</v>
      </c>
      <c r="H982">
        <v>33.26</v>
      </c>
      <c r="I982">
        <v>30.16</v>
      </c>
      <c r="J982" s="1">
        <v>44858</v>
      </c>
      <c r="K982">
        <v>62</v>
      </c>
      <c r="L982">
        <v>5.4794520547945212E-4</v>
      </c>
      <c r="M982">
        <v>672.60602739726039</v>
      </c>
      <c r="N982">
        <v>41701.573698630142</v>
      </c>
    </row>
    <row r="983" spans="1:14" x14ac:dyDescent="0.25">
      <c r="A983" t="s">
        <v>1802</v>
      </c>
      <c r="B983" t="s">
        <v>17</v>
      </c>
      <c r="C983">
        <v>25</v>
      </c>
      <c r="D983" t="s">
        <v>12</v>
      </c>
      <c r="E983" t="s">
        <v>50</v>
      </c>
      <c r="F983" t="s">
        <v>30</v>
      </c>
      <c r="G983">
        <v>1094431</v>
      </c>
      <c r="H983">
        <v>25.51</v>
      </c>
      <c r="I983">
        <v>16.96</v>
      </c>
      <c r="J983" s="1">
        <v>43813</v>
      </c>
      <c r="K983">
        <v>262</v>
      </c>
      <c r="L983">
        <v>5.4794520547945212E-4</v>
      </c>
      <c r="M983">
        <v>599.68821917808225</v>
      </c>
      <c r="N983">
        <v>157118.31342465754</v>
      </c>
    </row>
    <row r="984" spans="1:14" x14ac:dyDescent="0.25">
      <c r="A984" t="s">
        <v>1803</v>
      </c>
      <c r="B984" t="s">
        <v>11</v>
      </c>
      <c r="C984">
        <v>43</v>
      </c>
      <c r="D984" t="s">
        <v>18</v>
      </c>
      <c r="E984" t="s">
        <v>57</v>
      </c>
      <c r="F984" t="s">
        <v>20</v>
      </c>
      <c r="G984">
        <v>351987</v>
      </c>
      <c r="H984">
        <v>6.2</v>
      </c>
      <c r="I984">
        <v>39.65</v>
      </c>
      <c r="J984" s="1">
        <v>44763</v>
      </c>
      <c r="K984">
        <v>80</v>
      </c>
      <c r="L984">
        <v>5.4794520547945212E-4</v>
      </c>
      <c r="M984">
        <v>192.86958904109591</v>
      </c>
      <c r="N984">
        <v>15429.567123287672</v>
      </c>
    </row>
    <row r="985" spans="1:14" x14ac:dyDescent="0.25">
      <c r="A985" t="s">
        <v>1805</v>
      </c>
      <c r="B985" t="s">
        <v>17</v>
      </c>
      <c r="C985">
        <v>42</v>
      </c>
      <c r="D985" t="s">
        <v>12</v>
      </c>
      <c r="E985" t="s">
        <v>50</v>
      </c>
      <c r="F985" t="s">
        <v>35</v>
      </c>
      <c r="G985">
        <v>3974184</v>
      </c>
      <c r="H985">
        <v>19.16</v>
      </c>
      <c r="I985">
        <v>33.450000000000003</v>
      </c>
      <c r="J985" s="1">
        <v>44891</v>
      </c>
      <c r="K985">
        <v>288</v>
      </c>
      <c r="L985">
        <v>5.4794520547945212E-4</v>
      </c>
      <c r="M985">
        <v>2177.6350684931508</v>
      </c>
      <c r="N985">
        <v>627158.89972602739</v>
      </c>
    </row>
    <row r="986" spans="1:14" x14ac:dyDescent="0.25">
      <c r="A986" t="s">
        <v>1807</v>
      </c>
      <c r="B986" t="s">
        <v>11</v>
      </c>
      <c r="C986">
        <v>26</v>
      </c>
      <c r="D986" t="s">
        <v>46</v>
      </c>
      <c r="E986" t="s">
        <v>50</v>
      </c>
      <c r="F986" t="s">
        <v>20</v>
      </c>
      <c r="G986">
        <v>3470711</v>
      </c>
      <c r="H986">
        <v>21.18</v>
      </c>
      <c r="I986">
        <v>17.579999999999998</v>
      </c>
      <c r="J986" s="1">
        <v>45307</v>
      </c>
      <c r="K986">
        <v>289</v>
      </c>
      <c r="L986">
        <v>5.4794520547945212E-4</v>
      </c>
      <c r="M986">
        <v>1901.7594520547948</v>
      </c>
      <c r="N986">
        <v>549608.48164383566</v>
      </c>
    </row>
    <row r="987" spans="1:14" x14ac:dyDescent="0.25">
      <c r="A987" t="s">
        <v>1809</v>
      </c>
      <c r="B987" t="s">
        <v>17</v>
      </c>
      <c r="C987">
        <v>26</v>
      </c>
      <c r="D987" t="s">
        <v>12</v>
      </c>
      <c r="E987" t="s">
        <v>29</v>
      </c>
      <c r="F987" t="s">
        <v>30</v>
      </c>
      <c r="G987">
        <v>4233806</v>
      </c>
      <c r="H987">
        <v>6</v>
      </c>
      <c r="I987">
        <v>3.6</v>
      </c>
      <c r="J987" s="1">
        <v>44417</v>
      </c>
      <c r="K987">
        <v>287</v>
      </c>
      <c r="L987">
        <v>5.4794520547945212E-4</v>
      </c>
      <c r="M987">
        <v>2319.8936986301374</v>
      </c>
      <c r="N987">
        <v>665809.49150684942</v>
      </c>
    </row>
    <row r="988" spans="1:14" x14ac:dyDescent="0.25">
      <c r="A988" t="s">
        <v>1810</v>
      </c>
      <c r="B988" t="s">
        <v>11</v>
      </c>
      <c r="C988">
        <v>34</v>
      </c>
      <c r="D988" t="s">
        <v>12</v>
      </c>
      <c r="E988" t="s">
        <v>29</v>
      </c>
      <c r="F988" t="s">
        <v>35</v>
      </c>
      <c r="G988">
        <v>3981794</v>
      </c>
      <c r="H988">
        <v>13.1</v>
      </c>
      <c r="I988">
        <v>-0.28999999999999998</v>
      </c>
      <c r="J988" s="1">
        <v>43284</v>
      </c>
      <c r="K988">
        <v>164</v>
      </c>
      <c r="L988">
        <v>5.4794520547945212E-4</v>
      </c>
      <c r="M988">
        <v>2181.8049315068497</v>
      </c>
      <c r="N988">
        <v>357816.00876712333</v>
      </c>
    </row>
    <row r="989" spans="1:14" x14ac:dyDescent="0.25">
      <c r="A989" t="s">
        <v>1811</v>
      </c>
      <c r="B989" t="s">
        <v>17</v>
      </c>
      <c r="C989">
        <v>42</v>
      </c>
      <c r="D989" t="s">
        <v>18</v>
      </c>
      <c r="E989" t="s">
        <v>50</v>
      </c>
      <c r="F989" t="s">
        <v>41</v>
      </c>
      <c r="G989">
        <v>1431071</v>
      </c>
      <c r="H989">
        <v>30.32</v>
      </c>
      <c r="I989">
        <v>30.69</v>
      </c>
      <c r="J989" s="1">
        <v>43776</v>
      </c>
      <c r="K989">
        <v>30</v>
      </c>
      <c r="L989">
        <v>5.4794520547945212E-4</v>
      </c>
      <c r="M989">
        <v>784.148493150685</v>
      </c>
      <c r="N989">
        <v>23524.454794520549</v>
      </c>
    </row>
    <row r="990" spans="1:14" x14ac:dyDescent="0.25">
      <c r="A990" t="s">
        <v>1812</v>
      </c>
      <c r="B990" t="s">
        <v>17</v>
      </c>
      <c r="C990">
        <v>42</v>
      </c>
      <c r="D990" t="s">
        <v>46</v>
      </c>
      <c r="E990" t="s">
        <v>19</v>
      </c>
      <c r="F990" t="s">
        <v>14</v>
      </c>
      <c r="G990">
        <v>1950677</v>
      </c>
      <c r="H990">
        <v>22.15</v>
      </c>
      <c r="I990">
        <v>-4.07</v>
      </c>
      <c r="J990" s="1">
        <v>44750</v>
      </c>
      <c r="K990">
        <v>14</v>
      </c>
      <c r="L990">
        <v>5.4794520547945212E-4</v>
      </c>
      <c r="M990">
        <v>1068.8641095890412</v>
      </c>
      <c r="N990">
        <v>14964.097534246575</v>
      </c>
    </row>
    <row r="991" spans="1:14" x14ac:dyDescent="0.25">
      <c r="A991" t="s">
        <v>1813</v>
      </c>
      <c r="B991" t="s">
        <v>11</v>
      </c>
      <c r="C991">
        <v>59</v>
      </c>
      <c r="D991" t="s">
        <v>12</v>
      </c>
      <c r="E991" t="s">
        <v>57</v>
      </c>
      <c r="F991" t="s">
        <v>14</v>
      </c>
      <c r="G991">
        <v>1894159</v>
      </c>
      <c r="H991">
        <v>34.1</v>
      </c>
      <c r="I991">
        <v>21.6</v>
      </c>
      <c r="J991" s="1">
        <v>44899</v>
      </c>
      <c r="K991">
        <v>178</v>
      </c>
      <c r="L991">
        <v>5.4794520547945212E-4</v>
      </c>
      <c r="M991">
        <v>1037.8953424657536</v>
      </c>
      <c r="N991">
        <v>184745.37095890415</v>
      </c>
    </row>
    <row r="992" spans="1:14" x14ac:dyDescent="0.25">
      <c r="A992" t="s">
        <v>1814</v>
      </c>
      <c r="B992" t="s">
        <v>17</v>
      </c>
      <c r="C992">
        <v>57</v>
      </c>
      <c r="D992" t="s">
        <v>12</v>
      </c>
      <c r="E992" t="s">
        <v>23</v>
      </c>
      <c r="F992" t="s">
        <v>14</v>
      </c>
      <c r="G992">
        <v>3273246</v>
      </c>
      <c r="H992">
        <v>29.67</v>
      </c>
      <c r="I992">
        <v>-2.64</v>
      </c>
      <c r="J992" s="1">
        <v>44950</v>
      </c>
      <c r="K992">
        <v>265</v>
      </c>
      <c r="L992">
        <v>5.4794520547945212E-4</v>
      </c>
      <c r="M992">
        <v>1793.5594520547947</v>
      </c>
      <c r="N992">
        <v>475293.25479452062</v>
      </c>
    </row>
    <row r="993" spans="1:14" x14ac:dyDescent="0.25">
      <c r="A993" t="s">
        <v>1815</v>
      </c>
      <c r="B993" t="s">
        <v>11</v>
      </c>
      <c r="C993">
        <v>45</v>
      </c>
      <c r="D993" t="s">
        <v>38</v>
      </c>
      <c r="E993" t="s">
        <v>29</v>
      </c>
      <c r="F993" t="s">
        <v>35</v>
      </c>
      <c r="G993">
        <v>2280456</v>
      </c>
      <c r="H993">
        <v>33.01</v>
      </c>
      <c r="I993">
        <v>28.42</v>
      </c>
      <c r="J993" s="1">
        <v>43220</v>
      </c>
      <c r="K993">
        <v>77</v>
      </c>
      <c r="L993">
        <v>5.4794520547945212E-4</v>
      </c>
      <c r="M993">
        <v>1249.5649315068495</v>
      </c>
      <c r="N993">
        <v>96216.49972602741</v>
      </c>
    </row>
    <row r="994" spans="1:14" x14ac:dyDescent="0.25">
      <c r="A994" t="s">
        <v>1817</v>
      </c>
      <c r="B994" t="s">
        <v>11</v>
      </c>
      <c r="C994">
        <v>40</v>
      </c>
      <c r="D994" t="s">
        <v>18</v>
      </c>
      <c r="E994" t="s">
        <v>50</v>
      </c>
      <c r="F994" t="s">
        <v>35</v>
      </c>
      <c r="G994">
        <v>3205002</v>
      </c>
      <c r="H994">
        <v>18.12</v>
      </c>
      <c r="I994">
        <v>7.34</v>
      </c>
      <c r="J994" s="1">
        <v>43270</v>
      </c>
      <c r="K994">
        <v>179</v>
      </c>
      <c r="L994">
        <v>5.4794520547945212E-4</v>
      </c>
      <c r="M994">
        <v>1756.165479452055</v>
      </c>
      <c r="N994">
        <v>314353.62082191784</v>
      </c>
    </row>
    <row r="995" spans="1:14" x14ac:dyDescent="0.25">
      <c r="A995" t="s">
        <v>1819</v>
      </c>
      <c r="B995" t="s">
        <v>17</v>
      </c>
      <c r="C995">
        <v>50</v>
      </c>
      <c r="D995" t="s">
        <v>18</v>
      </c>
      <c r="E995" t="s">
        <v>57</v>
      </c>
      <c r="F995" t="s">
        <v>30</v>
      </c>
      <c r="G995">
        <v>461838</v>
      </c>
      <c r="H995">
        <v>5.17</v>
      </c>
      <c r="I995">
        <v>4.7699999999999996</v>
      </c>
      <c r="J995" s="1">
        <v>45505</v>
      </c>
      <c r="K995">
        <v>109</v>
      </c>
      <c r="L995">
        <v>5.4794520547945212E-4</v>
      </c>
      <c r="M995">
        <v>253.06191780821922</v>
      </c>
      <c r="N995">
        <v>27583.749041095896</v>
      </c>
    </row>
    <row r="996" spans="1:14" x14ac:dyDescent="0.25">
      <c r="A996" t="s">
        <v>1821</v>
      </c>
      <c r="B996" t="s">
        <v>11</v>
      </c>
      <c r="C996">
        <v>40</v>
      </c>
      <c r="D996" t="s">
        <v>12</v>
      </c>
      <c r="E996" t="s">
        <v>29</v>
      </c>
      <c r="F996" t="s">
        <v>35</v>
      </c>
      <c r="G996">
        <v>3088690</v>
      </c>
      <c r="H996">
        <v>31.26</v>
      </c>
      <c r="I996">
        <v>9.75</v>
      </c>
      <c r="J996" s="1">
        <v>44690</v>
      </c>
      <c r="K996">
        <v>289</v>
      </c>
      <c r="L996">
        <v>5.4794520547945212E-4</v>
      </c>
      <c r="M996">
        <v>1692.4328767123291</v>
      </c>
      <c r="N996">
        <v>489113.10136986308</v>
      </c>
    </row>
    <row r="997" spans="1:14" x14ac:dyDescent="0.25">
      <c r="A997" t="s">
        <v>1823</v>
      </c>
      <c r="B997" t="s">
        <v>11</v>
      </c>
      <c r="C997">
        <v>23</v>
      </c>
      <c r="D997" t="s">
        <v>46</v>
      </c>
      <c r="E997" t="s">
        <v>13</v>
      </c>
      <c r="F997" t="s">
        <v>47</v>
      </c>
      <c r="G997">
        <v>2778015</v>
      </c>
      <c r="H997">
        <v>19.309999999999999</v>
      </c>
      <c r="I997">
        <v>0.6</v>
      </c>
      <c r="J997" s="1">
        <v>43879</v>
      </c>
      <c r="K997">
        <v>95</v>
      </c>
      <c r="L997">
        <v>5.4794520547945212E-4</v>
      </c>
      <c r="M997">
        <v>1522.2000000000003</v>
      </c>
      <c r="N997">
        <v>144609.00000000003</v>
      </c>
    </row>
    <row r="998" spans="1:14" x14ac:dyDescent="0.25">
      <c r="A998" t="s">
        <v>1824</v>
      </c>
      <c r="B998" t="s">
        <v>17</v>
      </c>
      <c r="C998">
        <v>27</v>
      </c>
      <c r="D998" t="s">
        <v>38</v>
      </c>
      <c r="E998" t="s">
        <v>50</v>
      </c>
      <c r="F998" t="s">
        <v>20</v>
      </c>
      <c r="G998">
        <v>1365112</v>
      </c>
      <c r="H998">
        <v>18.66</v>
      </c>
      <c r="I998">
        <v>2.75</v>
      </c>
      <c r="J998" s="1">
        <v>44458</v>
      </c>
      <c r="K998">
        <v>294</v>
      </c>
      <c r="L998">
        <v>5.4794520547945212E-4</v>
      </c>
      <c r="M998">
        <v>748.00657534246579</v>
      </c>
      <c r="N998">
        <v>219913.93315068496</v>
      </c>
    </row>
    <row r="999" spans="1:14" x14ac:dyDescent="0.25">
      <c r="A999" t="s">
        <v>1826</v>
      </c>
      <c r="B999" t="s">
        <v>17</v>
      </c>
      <c r="C999">
        <v>24</v>
      </c>
      <c r="D999" t="s">
        <v>18</v>
      </c>
      <c r="E999" t="s">
        <v>13</v>
      </c>
      <c r="F999" t="s">
        <v>30</v>
      </c>
      <c r="G999">
        <v>3425699</v>
      </c>
      <c r="H999">
        <v>27.43</v>
      </c>
      <c r="I999">
        <v>2.3199999999999998</v>
      </c>
      <c r="J999" s="1">
        <v>44539</v>
      </c>
      <c r="K999">
        <v>238</v>
      </c>
      <c r="L999">
        <v>5.4794520547945212E-4</v>
      </c>
      <c r="M999">
        <v>1877.0953424657537</v>
      </c>
      <c r="N999">
        <v>446748.69150684937</v>
      </c>
    </row>
    <row r="1000" spans="1:14" x14ac:dyDescent="0.25">
      <c r="A1000" t="s">
        <v>1828</v>
      </c>
      <c r="B1000" t="s">
        <v>17</v>
      </c>
      <c r="C1000">
        <v>47</v>
      </c>
      <c r="D1000" t="s">
        <v>46</v>
      </c>
      <c r="E1000" t="s">
        <v>57</v>
      </c>
      <c r="F1000" t="s">
        <v>14</v>
      </c>
      <c r="G1000">
        <v>4818952</v>
      </c>
      <c r="H1000">
        <v>13.61</v>
      </c>
      <c r="I1000">
        <v>-4.5599999999999996</v>
      </c>
      <c r="J1000" s="1">
        <v>45418</v>
      </c>
      <c r="K1000">
        <v>126</v>
      </c>
      <c r="L1000">
        <v>5.4794520547945212E-4</v>
      </c>
      <c r="M1000">
        <v>2640.5216438356169</v>
      </c>
      <c r="N1000">
        <v>332705.72712328774</v>
      </c>
    </row>
    <row r="1001" spans="1:14" x14ac:dyDescent="0.25">
      <c r="A1001" t="s">
        <v>1829</v>
      </c>
      <c r="B1001" t="s">
        <v>11</v>
      </c>
      <c r="C1001">
        <v>63</v>
      </c>
      <c r="D1001" t="s">
        <v>28</v>
      </c>
      <c r="E1001" t="s">
        <v>50</v>
      </c>
      <c r="F1001" t="s">
        <v>35</v>
      </c>
      <c r="G1001">
        <v>3051370</v>
      </c>
      <c r="H1001">
        <v>13.65</v>
      </c>
      <c r="I1001">
        <v>40.840000000000003</v>
      </c>
      <c r="J1001" s="1">
        <v>43974</v>
      </c>
      <c r="K1001">
        <v>158</v>
      </c>
      <c r="L1001">
        <v>5.4794520547945212E-4</v>
      </c>
      <c r="M1001">
        <v>1671.9835616438359</v>
      </c>
      <c r="N1001">
        <v>264173.40273972607</v>
      </c>
    </row>
    <row r="1002" spans="1:14" x14ac:dyDescent="0.25">
      <c r="A1002" t="s">
        <v>1831</v>
      </c>
      <c r="F1002" t="s">
        <v>1839</v>
      </c>
      <c r="G1002">
        <v>2542016533</v>
      </c>
      <c r="H1002">
        <v>20.442479999999996</v>
      </c>
      <c r="J1002" s="1">
        <v>1000</v>
      </c>
      <c r="K1002">
        <v>15</v>
      </c>
      <c r="L1002">
        <v>5.4794520547945212E-4</v>
      </c>
      <c r="M1002">
        <v>1392885.7715068494</v>
      </c>
      <c r="N1002">
        <v>20893286.572602741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2"/>
  <sheetViews>
    <sheetView workbookViewId="0">
      <selection activeCell="A10" sqref="A10"/>
    </sheetView>
  </sheetViews>
  <sheetFormatPr defaultRowHeight="15" x14ac:dyDescent="0.25"/>
  <cols>
    <col min="1" max="1" width="15" customWidth="1"/>
    <col min="2" max="2" width="9.7109375" customWidth="1"/>
    <col min="4" max="5" width="19.85546875" customWidth="1"/>
    <col min="6" max="6" width="19.7109375" customWidth="1"/>
    <col min="7" max="7" width="21.5703125" customWidth="1"/>
    <col min="8" max="8" width="21.85546875" customWidth="1"/>
    <col min="9" max="9" width="18.42578125" customWidth="1"/>
    <col min="11" max="11" width="14.5703125" customWidth="1"/>
  </cols>
  <sheetData>
    <row r="1" spans="1:13" x14ac:dyDescent="0.25">
      <c r="A1" t="s">
        <v>0</v>
      </c>
      <c r="B1" t="s">
        <v>1</v>
      </c>
      <c r="C1" t="s">
        <v>2</v>
      </c>
      <c r="D1" t="s">
        <v>3</v>
      </c>
      <c r="E1" t="s">
        <v>4</v>
      </c>
      <c r="F1" t="s">
        <v>5</v>
      </c>
      <c r="G1" t="s">
        <v>6</v>
      </c>
      <c r="H1" t="s">
        <v>1834</v>
      </c>
      <c r="I1" t="s">
        <v>7</v>
      </c>
      <c r="J1" t="s">
        <v>8</v>
      </c>
      <c r="K1" t="s">
        <v>9</v>
      </c>
      <c r="L1" t="s">
        <v>1832</v>
      </c>
      <c r="M1" t="s">
        <v>1833</v>
      </c>
    </row>
    <row r="2" spans="1:13" x14ac:dyDescent="0.25">
      <c r="A2" t="s">
        <v>10</v>
      </c>
      <c r="B2" t="s">
        <v>11</v>
      </c>
      <c r="C2">
        <v>34</v>
      </c>
      <c r="D2" t="s">
        <v>12</v>
      </c>
      <c r="E2" t="s">
        <v>13</v>
      </c>
      <c r="F2" t="s">
        <v>14</v>
      </c>
      <c r="G2">
        <v>347717</v>
      </c>
      <c r="H2">
        <f t="shared" ref="H2:H65" ca="1" si="0">RANDBETWEEN(7,365)</f>
        <v>218</v>
      </c>
      <c r="I2">
        <v>8.42</v>
      </c>
      <c r="J2">
        <v>24.97</v>
      </c>
      <c r="K2" t="s">
        <v>15</v>
      </c>
      <c r="L2">
        <f>_INVESTEMENTDATA[[#This Row],[Investment_Amount]]*0.18</f>
        <v>62589.06</v>
      </c>
      <c r="M2">
        <f>_INVESTEMENTDATA[[#This Row],[Investment_Amount]]*0.18*25</f>
        <v>1564726.5</v>
      </c>
    </row>
    <row r="3" spans="1:13" x14ac:dyDescent="0.25">
      <c r="A3" t="s">
        <v>16</v>
      </c>
      <c r="B3" t="s">
        <v>17</v>
      </c>
      <c r="C3">
        <v>30</v>
      </c>
      <c r="D3" t="s">
        <v>18</v>
      </c>
      <c r="E3" t="s">
        <v>19</v>
      </c>
      <c r="F3" t="s">
        <v>20</v>
      </c>
      <c r="G3">
        <v>3409611</v>
      </c>
      <c r="H3">
        <f t="shared" ca="1" si="0"/>
        <v>117</v>
      </c>
      <c r="I3">
        <v>33.56</v>
      </c>
      <c r="J3">
        <v>-1.8</v>
      </c>
      <c r="K3" t="s">
        <v>21</v>
      </c>
      <c r="L3">
        <f>_INVESTEMENTDATA[[#This Row],[Investment_Amount]]*0.18</f>
        <v>613729.98</v>
      </c>
      <c r="M3">
        <f>_INVESTEMENTDATA[[#This Row],[Investment_Amount]]*0.18*25</f>
        <v>15343249.5</v>
      </c>
    </row>
    <row r="4" spans="1:13" x14ac:dyDescent="0.25">
      <c r="A4" t="s">
        <v>22</v>
      </c>
      <c r="B4" t="s">
        <v>11</v>
      </c>
      <c r="C4">
        <v>36</v>
      </c>
      <c r="D4" t="s">
        <v>18</v>
      </c>
      <c r="E4" t="s">
        <v>23</v>
      </c>
      <c r="F4" t="s">
        <v>14</v>
      </c>
      <c r="G4">
        <v>4665064</v>
      </c>
      <c r="H4">
        <f t="shared" ca="1" si="0"/>
        <v>339</v>
      </c>
      <c r="I4">
        <v>27.02</v>
      </c>
      <c r="J4">
        <v>14.85</v>
      </c>
      <c r="K4" t="s">
        <v>24</v>
      </c>
      <c r="L4">
        <f>_INVESTEMENTDATA[[#This Row],[Investment_Amount]]*0.18</f>
        <v>839711.52</v>
      </c>
      <c r="M4">
        <f>_INVESTEMENTDATA[[#This Row],[Investment_Amount]]*0.18*25</f>
        <v>20992788</v>
      </c>
    </row>
    <row r="5" spans="1:13" x14ac:dyDescent="0.25">
      <c r="A5" t="s">
        <v>25</v>
      </c>
      <c r="B5" t="s">
        <v>17</v>
      </c>
      <c r="C5">
        <v>34</v>
      </c>
      <c r="D5" t="s">
        <v>18</v>
      </c>
      <c r="E5" t="s">
        <v>19</v>
      </c>
      <c r="F5" t="s">
        <v>20</v>
      </c>
      <c r="G5">
        <v>4043271</v>
      </c>
      <c r="H5">
        <f t="shared" ca="1" si="0"/>
        <v>247</v>
      </c>
      <c r="I5">
        <v>17.190000000000001</v>
      </c>
      <c r="J5">
        <v>31.51</v>
      </c>
      <c r="K5" t="s">
        <v>26</v>
      </c>
      <c r="L5">
        <f>_INVESTEMENTDATA[[#This Row],[Investment_Amount]]*0.18</f>
        <v>727788.78</v>
      </c>
      <c r="M5">
        <f>_INVESTEMENTDATA[[#This Row],[Investment_Amount]]*0.18*25</f>
        <v>18194719.5</v>
      </c>
    </row>
    <row r="6" spans="1:13" x14ac:dyDescent="0.25">
      <c r="A6" t="s">
        <v>27</v>
      </c>
      <c r="B6" t="s">
        <v>11</v>
      </c>
      <c r="C6">
        <v>22</v>
      </c>
      <c r="D6" t="s">
        <v>28</v>
      </c>
      <c r="E6" t="s">
        <v>29</v>
      </c>
      <c r="F6" t="s">
        <v>30</v>
      </c>
      <c r="G6">
        <v>1954049</v>
      </c>
      <c r="H6">
        <f t="shared" ca="1" si="0"/>
        <v>60</v>
      </c>
      <c r="I6">
        <v>10.77</v>
      </c>
      <c r="J6">
        <v>-0.26</v>
      </c>
      <c r="K6" t="s">
        <v>31</v>
      </c>
      <c r="L6">
        <f>_INVESTEMENTDATA[[#This Row],[Investment_Amount]]*0.18</f>
        <v>351728.82</v>
      </c>
      <c r="M6">
        <f>_INVESTEMENTDATA[[#This Row],[Investment_Amount]]*0.18*25</f>
        <v>8793220.5</v>
      </c>
    </row>
    <row r="7" spans="1:13" x14ac:dyDescent="0.25">
      <c r="A7" t="s">
        <v>32</v>
      </c>
      <c r="B7" t="s">
        <v>11</v>
      </c>
      <c r="C7">
        <v>43</v>
      </c>
      <c r="D7" t="s">
        <v>28</v>
      </c>
      <c r="E7" t="s">
        <v>23</v>
      </c>
      <c r="F7" t="s">
        <v>14</v>
      </c>
      <c r="G7">
        <v>2839982</v>
      </c>
      <c r="H7">
        <f t="shared" ca="1" si="0"/>
        <v>81</v>
      </c>
      <c r="I7">
        <v>26.98</v>
      </c>
      <c r="J7">
        <v>-5.53</v>
      </c>
      <c r="K7" t="s">
        <v>33</v>
      </c>
      <c r="L7">
        <f>_INVESTEMENTDATA[[#This Row],[Investment_Amount]]*0.18</f>
        <v>511196.76</v>
      </c>
      <c r="M7">
        <f>_INVESTEMENTDATA[[#This Row],[Investment_Amount]]*0.18*25</f>
        <v>12779919</v>
      </c>
    </row>
    <row r="8" spans="1:13" x14ac:dyDescent="0.25">
      <c r="A8" t="s">
        <v>34</v>
      </c>
      <c r="B8" t="s">
        <v>11</v>
      </c>
      <c r="C8">
        <v>33</v>
      </c>
      <c r="D8" t="s">
        <v>28</v>
      </c>
      <c r="E8" t="s">
        <v>23</v>
      </c>
      <c r="F8" t="s">
        <v>35</v>
      </c>
      <c r="G8">
        <v>2013638</v>
      </c>
      <c r="H8">
        <f t="shared" ca="1" si="0"/>
        <v>273</v>
      </c>
      <c r="I8">
        <v>17.829999999999998</v>
      </c>
      <c r="J8">
        <v>26.44</v>
      </c>
      <c r="K8" t="s">
        <v>36</v>
      </c>
      <c r="L8">
        <f>_INVESTEMENTDATA[[#This Row],[Investment_Amount]]*0.18</f>
        <v>362454.83999999997</v>
      </c>
      <c r="M8">
        <f>_INVESTEMENTDATA[[#This Row],[Investment_Amount]]*0.18*25</f>
        <v>9061371</v>
      </c>
    </row>
    <row r="9" spans="1:13" x14ac:dyDescent="0.25">
      <c r="A9" t="s">
        <v>37</v>
      </c>
      <c r="B9" t="s">
        <v>11</v>
      </c>
      <c r="C9">
        <v>62</v>
      </c>
      <c r="D9" t="s">
        <v>38</v>
      </c>
      <c r="E9" t="s">
        <v>29</v>
      </c>
      <c r="F9" t="s">
        <v>35</v>
      </c>
      <c r="G9">
        <v>326813</v>
      </c>
      <c r="H9">
        <f t="shared" ca="1" si="0"/>
        <v>228</v>
      </c>
      <c r="I9">
        <v>19.95</v>
      </c>
      <c r="J9">
        <v>10.25</v>
      </c>
      <c r="K9" t="s">
        <v>39</v>
      </c>
      <c r="L9">
        <f>_INVESTEMENTDATA[[#This Row],[Investment_Amount]]*0.18</f>
        <v>58826.34</v>
      </c>
      <c r="M9">
        <f>_INVESTEMENTDATA[[#This Row],[Investment_Amount]]*0.18*25</f>
        <v>1470658.5</v>
      </c>
    </row>
    <row r="10" spans="1:13" x14ac:dyDescent="0.25">
      <c r="A10" t="s">
        <v>40</v>
      </c>
      <c r="B10" t="s">
        <v>11</v>
      </c>
      <c r="C10">
        <v>21</v>
      </c>
      <c r="D10" t="s">
        <v>12</v>
      </c>
      <c r="E10" t="s">
        <v>29</v>
      </c>
      <c r="F10" t="s">
        <v>41</v>
      </c>
      <c r="G10">
        <v>3203500</v>
      </c>
      <c r="H10">
        <f t="shared" ca="1" si="0"/>
        <v>34</v>
      </c>
      <c r="I10">
        <v>27.34</v>
      </c>
      <c r="J10">
        <v>4.21</v>
      </c>
      <c r="K10" t="s">
        <v>42</v>
      </c>
      <c r="L10">
        <f>_INVESTEMENTDATA[[#This Row],[Investment_Amount]]*0.18</f>
        <v>576630</v>
      </c>
      <c r="M10">
        <f>_INVESTEMENTDATA[[#This Row],[Investment_Amount]]*0.18*25</f>
        <v>14415750</v>
      </c>
    </row>
    <row r="11" spans="1:13" x14ac:dyDescent="0.25">
      <c r="A11" t="s">
        <v>43</v>
      </c>
      <c r="B11" t="s">
        <v>17</v>
      </c>
      <c r="C11">
        <v>56</v>
      </c>
      <c r="D11" t="s">
        <v>28</v>
      </c>
      <c r="E11" t="s">
        <v>19</v>
      </c>
      <c r="F11" t="s">
        <v>35</v>
      </c>
      <c r="G11">
        <v>257550</v>
      </c>
      <c r="H11">
        <f t="shared" ca="1" si="0"/>
        <v>31</v>
      </c>
      <c r="I11">
        <v>7.28</v>
      </c>
      <c r="J11">
        <v>40.03</v>
      </c>
      <c r="K11" t="s">
        <v>44</v>
      </c>
      <c r="L11">
        <f>_INVESTEMENTDATA[[#This Row],[Investment_Amount]]*0.18</f>
        <v>46359</v>
      </c>
      <c r="M11">
        <f>_INVESTEMENTDATA[[#This Row],[Investment_Amount]]*0.18*25</f>
        <v>1158975</v>
      </c>
    </row>
    <row r="12" spans="1:13" x14ac:dyDescent="0.25">
      <c r="A12" t="s">
        <v>45</v>
      </c>
      <c r="B12" t="s">
        <v>17</v>
      </c>
      <c r="C12">
        <v>21</v>
      </c>
      <c r="D12" t="s">
        <v>46</v>
      </c>
      <c r="E12" t="s">
        <v>23</v>
      </c>
      <c r="F12" t="s">
        <v>47</v>
      </c>
      <c r="G12">
        <v>4383630</v>
      </c>
      <c r="H12">
        <f t="shared" ca="1" si="0"/>
        <v>122</v>
      </c>
      <c r="I12">
        <v>7.43</v>
      </c>
      <c r="J12">
        <v>4.57</v>
      </c>
      <c r="K12" t="s">
        <v>48</v>
      </c>
      <c r="L12">
        <f>_INVESTEMENTDATA[[#This Row],[Investment_Amount]]*0.18</f>
        <v>789053.4</v>
      </c>
      <c r="M12">
        <f>_INVESTEMENTDATA[[#This Row],[Investment_Amount]]*0.18*25</f>
        <v>19726335</v>
      </c>
    </row>
    <row r="13" spans="1:13" x14ac:dyDescent="0.25">
      <c r="A13" t="s">
        <v>49</v>
      </c>
      <c r="B13" t="s">
        <v>17</v>
      </c>
      <c r="C13">
        <v>21</v>
      </c>
      <c r="D13" t="s">
        <v>38</v>
      </c>
      <c r="E13" t="s">
        <v>50</v>
      </c>
      <c r="F13" t="s">
        <v>20</v>
      </c>
      <c r="G13">
        <v>3568731</v>
      </c>
      <c r="H13">
        <f t="shared" ca="1" si="0"/>
        <v>67</v>
      </c>
      <c r="I13">
        <v>19.57</v>
      </c>
      <c r="J13">
        <v>10.58</v>
      </c>
      <c r="K13" t="s">
        <v>51</v>
      </c>
      <c r="L13">
        <f>_INVESTEMENTDATA[[#This Row],[Investment_Amount]]*0.18</f>
        <v>642371.57999999996</v>
      </c>
      <c r="M13">
        <f>_INVESTEMENTDATA[[#This Row],[Investment_Amount]]*0.18*25</f>
        <v>16059289.499999998</v>
      </c>
    </row>
    <row r="14" spans="1:13" x14ac:dyDescent="0.25">
      <c r="A14" t="s">
        <v>52</v>
      </c>
      <c r="B14" t="s">
        <v>11</v>
      </c>
      <c r="C14">
        <v>53</v>
      </c>
      <c r="D14" t="s">
        <v>12</v>
      </c>
      <c r="E14" t="s">
        <v>29</v>
      </c>
      <c r="F14" t="s">
        <v>30</v>
      </c>
      <c r="G14">
        <v>4968252</v>
      </c>
      <c r="H14">
        <f t="shared" ca="1" si="0"/>
        <v>323</v>
      </c>
      <c r="I14">
        <v>26.85</v>
      </c>
      <c r="J14">
        <v>-6.38</v>
      </c>
      <c r="K14" t="s">
        <v>53</v>
      </c>
      <c r="L14">
        <f>_INVESTEMENTDATA[[#This Row],[Investment_Amount]]*0.18</f>
        <v>894285.36</v>
      </c>
      <c r="M14">
        <f>_INVESTEMENTDATA[[#This Row],[Investment_Amount]]*0.18*25</f>
        <v>22357134</v>
      </c>
    </row>
    <row r="15" spans="1:13" x14ac:dyDescent="0.25">
      <c r="A15" t="s">
        <v>54</v>
      </c>
      <c r="B15" t="s">
        <v>11</v>
      </c>
      <c r="C15">
        <v>25</v>
      </c>
      <c r="D15" t="s">
        <v>38</v>
      </c>
      <c r="E15" t="s">
        <v>23</v>
      </c>
      <c r="F15" t="s">
        <v>20</v>
      </c>
      <c r="G15">
        <v>702461</v>
      </c>
      <c r="H15">
        <f t="shared" ca="1" si="0"/>
        <v>46</v>
      </c>
      <c r="I15">
        <v>27.56</v>
      </c>
      <c r="J15">
        <v>25.39</v>
      </c>
      <c r="K15" t="s">
        <v>55</v>
      </c>
      <c r="L15">
        <f>_INVESTEMENTDATA[[#This Row],[Investment_Amount]]*0.18</f>
        <v>126442.98</v>
      </c>
      <c r="M15">
        <f>_INVESTEMENTDATA[[#This Row],[Investment_Amount]]*0.18*25</f>
        <v>3161074.5</v>
      </c>
    </row>
    <row r="16" spans="1:13" x14ac:dyDescent="0.25">
      <c r="A16" t="s">
        <v>56</v>
      </c>
      <c r="B16" t="s">
        <v>17</v>
      </c>
      <c r="C16">
        <v>44</v>
      </c>
      <c r="D16" t="s">
        <v>28</v>
      </c>
      <c r="E16" t="s">
        <v>57</v>
      </c>
      <c r="F16" t="s">
        <v>20</v>
      </c>
      <c r="G16">
        <v>2171807</v>
      </c>
      <c r="H16">
        <f t="shared" ca="1" si="0"/>
        <v>349</v>
      </c>
      <c r="I16">
        <v>24.41</v>
      </c>
      <c r="J16">
        <v>28.98</v>
      </c>
      <c r="K16" t="s">
        <v>58</v>
      </c>
      <c r="L16">
        <f>_INVESTEMENTDATA[[#This Row],[Investment_Amount]]*0.18</f>
        <v>390925.26</v>
      </c>
      <c r="M16">
        <f>_INVESTEMENTDATA[[#This Row],[Investment_Amount]]*0.18*25</f>
        <v>9773131.5</v>
      </c>
    </row>
    <row r="17" spans="1:13" x14ac:dyDescent="0.25">
      <c r="A17" t="s">
        <v>59</v>
      </c>
      <c r="B17" t="s">
        <v>11</v>
      </c>
      <c r="C17">
        <v>51</v>
      </c>
      <c r="D17" t="s">
        <v>12</v>
      </c>
      <c r="E17" t="s">
        <v>19</v>
      </c>
      <c r="F17" t="s">
        <v>30</v>
      </c>
      <c r="G17">
        <v>4642025</v>
      </c>
      <c r="H17">
        <f t="shared" ca="1" si="0"/>
        <v>107</v>
      </c>
      <c r="I17">
        <v>5.86</v>
      </c>
      <c r="J17">
        <v>18.760000000000002</v>
      </c>
      <c r="K17" t="s">
        <v>60</v>
      </c>
      <c r="L17">
        <f>_INVESTEMENTDATA[[#This Row],[Investment_Amount]]*0.18</f>
        <v>835564.5</v>
      </c>
      <c r="M17">
        <f>_INVESTEMENTDATA[[#This Row],[Investment_Amount]]*0.18*25</f>
        <v>20889112.5</v>
      </c>
    </row>
    <row r="18" spans="1:13" x14ac:dyDescent="0.25">
      <c r="A18" t="s">
        <v>61</v>
      </c>
      <c r="B18" t="s">
        <v>17</v>
      </c>
      <c r="C18">
        <v>22</v>
      </c>
      <c r="D18" t="s">
        <v>46</v>
      </c>
      <c r="E18" t="s">
        <v>19</v>
      </c>
      <c r="F18" t="s">
        <v>30</v>
      </c>
      <c r="G18">
        <v>1323904</v>
      </c>
      <c r="H18">
        <f t="shared" ca="1" si="0"/>
        <v>179</v>
      </c>
      <c r="I18">
        <v>28.48</v>
      </c>
      <c r="J18">
        <v>1.67</v>
      </c>
      <c r="K18" t="s">
        <v>62</v>
      </c>
      <c r="L18">
        <f>_INVESTEMENTDATA[[#This Row],[Investment_Amount]]*0.18</f>
        <v>238302.72</v>
      </c>
      <c r="M18">
        <f>_INVESTEMENTDATA[[#This Row],[Investment_Amount]]*0.18*25</f>
        <v>5957568</v>
      </c>
    </row>
    <row r="19" spans="1:13" x14ac:dyDescent="0.25">
      <c r="A19" t="s">
        <v>63</v>
      </c>
      <c r="B19" t="s">
        <v>17</v>
      </c>
      <c r="C19">
        <v>62</v>
      </c>
      <c r="D19" t="s">
        <v>28</v>
      </c>
      <c r="E19" t="s">
        <v>19</v>
      </c>
      <c r="F19" t="s">
        <v>41</v>
      </c>
      <c r="G19">
        <v>4727975</v>
      </c>
      <c r="H19">
        <f t="shared" ca="1" si="0"/>
        <v>81</v>
      </c>
      <c r="I19">
        <v>7.74</v>
      </c>
      <c r="J19">
        <v>35.299999999999997</v>
      </c>
      <c r="K19" t="s">
        <v>64</v>
      </c>
      <c r="L19">
        <f>_INVESTEMENTDATA[[#This Row],[Investment_Amount]]*0.18</f>
        <v>851035.5</v>
      </c>
      <c r="M19">
        <f>_INVESTEMENTDATA[[#This Row],[Investment_Amount]]*0.18*25</f>
        <v>21275887.5</v>
      </c>
    </row>
    <row r="20" spans="1:13" x14ac:dyDescent="0.25">
      <c r="A20" t="s">
        <v>65</v>
      </c>
      <c r="B20" t="s">
        <v>17</v>
      </c>
      <c r="C20">
        <v>63</v>
      </c>
      <c r="D20" t="s">
        <v>38</v>
      </c>
      <c r="E20" t="s">
        <v>50</v>
      </c>
      <c r="F20" t="s">
        <v>41</v>
      </c>
      <c r="G20">
        <v>1211110</v>
      </c>
      <c r="H20">
        <f t="shared" ca="1" si="0"/>
        <v>38</v>
      </c>
      <c r="I20">
        <v>12.68</v>
      </c>
      <c r="J20">
        <v>37.53</v>
      </c>
      <c r="K20" t="s">
        <v>66</v>
      </c>
      <c r="L20">
        <f>_INVESTEMENTDATA[[#This Row],[Investment_Amount]]*0.18</f>
        <v>217999.8</v>
      </c>
      <c r="M20">
        <f>_INVESTEMENTDATA[[#This Row],[Investment_Amount]]*0.18*25</f>
        <v>5449995</v>
      </c>
    </row>
    <row r="21" spans="1:13" x14ac:dyDescent="0.25">
      <c r="A21" t="s">
        <v>67</v>
      </c>
      <c r="B21" t="s">
        <v>17</v>
      </c>
      <c r="C21">
        <v>65</v>
      </c>
      <c r="D21" t="s">
        <v>46</v>
      </c>
      <c r="E21" t="s">
        <v>57</v>
      </c>
      <c r="F21" t="s">
        <v>14</v>
      </c>
      <c r="G21">
        <v>2957269</v>
      </c>
      <c r="H21">
        <f t="shared" ca="1" si="0"/>
        <v>213</v>
      </c>
      <c r="I21">
        <v>19.559999999999999</v>
      </c>
      <c r="J21">
        <v>-7.21</v>
      </c>
      <c r="K21" t="s">
        <v>68</v>
      </c>
      <c r="L21">
        <f>_INVESTEMENTDATA[[#This Row],[Investment_Amount]]*0.18</f>
        <v>532308.41999999993</v>
      </c>
      <c r="M21">
        <f>_INVESTEMENTDATA[[#This Row],[Investment_Amount]]*0.18*25</f>
        <v>13307710.499999998</v>
      </c>
    </row>
    <row r="22" spans="1:13" x14ac:dyDescent="0.25">
      <c r="A22" t="s">
        <v>69</v>
      </c>
      <c r="B22" t="s">
        <v>17</v>
      </c>
      <c r="C22">
        <v>37</v>
      </c>
      <c r="D22" t="s">
        <v>18</v>
      </c>
      <c r="E22" t="s">
        <v>23</v>
      </c>
      <c r="F22" t="s">
        <v>14</v>
      </c>
      <c r="G22">
        <v>4045550</v>
      </c>
      <c r="H22">
        <f t="shared" ca="1" si="0"/>
        <v>306</v>
      </c>
      <c r="I22">
        <v>33</v>
      </c>
      <c r="J22">
        <v>21.19</v>
      </c>
      <c r="K22" t="s">
        <v>70</v>
      </c>
      <c r="L22">
        <f>_INVESTEMENTDATA[[#This Row],[Investment_Amount]]*0.18</f>
        <v>728199</v>
      </c>
      <c r="M22">
        <f>_INVESTEMENTDATA[[#This Row],[Investment_Amount]]*0.18*25</f>
        <v>18204975</v>
      </c>
    </row>
    <row r="23" spans="1:13" x14ac:dyDescent="0.25">
      <c r="A23" t="s">
        <v>71</v>
      </c>
      <c r="B23" t="s">
        <v>17</v>
      </c>
      <c r="C23">
        <v>60</v>
      </c>
      <c r="D23" t="s">
        <v>12</v>
      </c>
      <c r="E23" t="s">
        <v>57</v>
      </c>
      <c r="F23" t="s">
        <v>35</v>
      </c>
      <c r="G23">
        <v>3808223</v>
      </c>
      <c r="H23">
        <f t="shared" ca="1" si="0"/>
        <v>20</v>
      </c>
      <c r="I23">
        <v>29.94</v>
      </c>
      <c r="J23">
        <v>16.350000000000001</v>
      </c>
      <c r="K23" t="s">
        <v>72</v>
      </c>
      <c r="L23">
        <f>_INVESTEMENTDATA[[#This Row],[Investment_Amount]]*0.18</f>
        <v>685480.14</v>
      </c>
      <c r="M23">
        <f>_INVESTEMENTDATA[[#This Row],[Investment_Amount]]*0.18*25</f>
        <v>17137003.5</v>
      </c>
    </row>
    <row r="24" spans="1:13" x14ac:dyDescent="0.25">
      <c r="A24" t="s">
        <v>73</v>
      </c>
      <c r="B24" t="s">
        <v>17</v>
      </c>
      <c r="C24">
        <v>51</v>
      </c>
      <c r="D24" t="s">
        <v>12</v>
      </c>
      <c r="E24" t="s">
        <v>50</v>
      </c>
      <c r="F24" t="s">
        <v>47</v>
      </c>
      <c r="G24">
        <v>4591221</v>
      </c>
      <c r="H24">
        <f t="shared" ca="1" si="0"/>
        <v>275</v>
      </c>
      <c r="I24">
        <v>18.829999999999998</v>
      </c>
      <c r="J24">
        <v>8.35</v>
      </c>
      <c r="K24" t="s">
        <v>74</v>
      </c>
      <c r="L24">
        <f>_INVESTEMENTDATA[[#This Row],[Investment_Amount]]*0.18</f>
        <v>826419.77999999991</v>
      </c>
      <c r="M24">
        <f>_INVESTEMENTDATA[[#This Row],[Investment_Amount]]*0.18*25</f>
        <v>20660494.499999996</v>
      </c>
    </row>
    <row r="25" spans="1:13" x14ac:dyDescent="0.25">
      <c r="A25" t="s">
        <v>75</v>
      </c>
      <c r="B25" t="s">
        <v>17</v>
      </c>
      <c r="C25">
        <v>22</v>
      </c>
      <c r="D25" t="s">
        <v>46</v>
      </c>
      <c r="E25" t="s">
        <v>23</v>
      </c>
      <c r="F25" t="s">
        <v>35</v>
      </c>
      <c r="G25">
        <v>3334089</v>
      </c>
      <c r="H25">
        <f t="shared" ca="1" si="0"/>
        <v>329</v>
      </c>
      <c r="I25">
        <v>13.96</v>
      </c>
      <c r="J25">
        <v>25.86</v>
      </c>
      <c r="K25" t="s">
        <v>76</v>
      </c>
      <c r="L25">
        <f>_INVESTEMENTDATA[[#This Row],[Investment_Amount]]*0.18</f>
        <v>600136.02</v>
      </c>
      <c r="M25">
        <f>_INVESTEMENTDATA[[#This Row],[Investment_Amount]]*0.18*25</f>
        <v>15003400.5</v>
      </c>
    </row>
    <row r="26" spans="1:13" x14ac:dyDescent="0.25">
      <c r="A26" t="s">
        <v>77</v>
      </c>
      <c r="B26" t="s">
        <v>17</v>
      </c>
      <c r="C26">
        <v>23</v>
      </c>
      <c r="D26" t="s">
        <v>12</v>
      </c>
      <c r="E26" t="s">
        <v>57</v>
      </c>
      <c r="F26" t="s">
        <v>47</v>
      </c>
      <c r="G26">
        <v>4336001</v>
      </c>
      <c r="H26">
        <f t="shared" ca="1" si="0"/>
        <v>319</v>
      </c>
      <c r="I26">
        <v>19.54</v>
      </c>
      <c r="J26">
        <v>23.32</v>
      </c>
      <c r="K26" t="s">
        <v>78</v>
      </c>
      <c r="L26">
        <f>_INVESTEMENTDATA[[#This Row],[Investment_Amount]]*0.18</f>
        <v>780480.17999999993</v>
      </c>
      <c r="M26">
        <f>_INVESTEMENTDATA[[#This Row],[Investment_Amount]]*0.18*25</f>
        <v>19512004.5</v>
      </c>
    </row>
    <row r="27" spans="1:13" x14ac:dyDescent="0.25">
      <c r="A27" t="s">
        <v>79</v>
      </c>
      <c r="B27" t="s">
        <v>11</v>
      </c>
      <c r="C27">
        <v>26</v>
      </c>
      <c r="D27" t="s">
        <v>18</v>
      </c>
      <c r="E27" t="s">
        <v>23</v>
      </c>
      <c r="F27" t="s">
        <v>30</v>
      </c>
      <c r="G27">
        <v>1690118</v>
      </c>
      <c r="H27">
        <f t="shared" ca="1" si="0"/>
        <v>16</v>
      </c>
      <c r="I27">
        <v>32.26</v>
      </c>
      <c r="J27">
        <v>2.77</v>
      </c>
      <c r="K27" t="s">
        <v>80</v>
      </c>
      <c r="L27">
        <f>_INVESTEMENTDATA[[#This Row],[Investment_Amount]]*0.18</f>
        <v>304221.24</v>
      </c>
      <c r="M27">
        <f>_INVESTEMENTDATA[[#This Row],[Investment_Amount]]*0.18*25</f>
        <v>7605531</v>
      </c>
    </row>
    <row r="28" spans="1:13" x14ac:dyDescent="0.25">
      <c r="A28" t="s">
        <v>81</v>
      </c>
      <c r="B28" t="s">
        <v>17</v>
      </c>
      <c r="C28">
        <v>22</v>
      </c>
      <c r="D28" t="s">
        <v>46</v>
      </c>
      <c r="E28" t="s">
        <v>23</v>
      </c>
      <c r="F28" t="s">
        <v>41</v>
      </c>
      <c r="G28">
        <v>371419</v>
      </c>
      <c r="H28">
        <f t="shared" ca="1" si="0"/>
        <v>58</v>
      </c>
      <c r="I28">
        <v>13.44</v>
      </c>
      <c r="J28">
        <v>32.19</v>
      </c>
      <c r="K28" t="s">
        <v>82</v>
      </c>
      <c r="L28">
        <f>_INVESTEMENTDATA[[#This Row],[Investment_Amount]]*0.18</f>
        <v>66855.42</v>
      </c>
      <c r="M28">
        <f>_INVESTEMENTDATA[[#This Row],[Investment_Amount]]*0.18*25</f>
        <v>1671385.5</v>
      </c>
    </row>
    <row r="29" spans="1:13" x14ac:dyDescent="0.25">
      <c r="A29" t="s">
        <v>83</v>
      </c>
      <c r="B29" t="s">
        <v>17</v>
      </c>
      <c r="C29">
        <v>49</v>
      </c>
      <c r="D29" t="s">
        <v>12</v>
      </c>
      <c r="E29" t="s">
        <v>13</v>
      </c>
      <c r="F29" t="s">
        <v>41</v>
      </c>
      <c r="G29">
        <v>1864407</v>
      </c>
      <c r="H29">
        <f t="shared" ca="1" si="0"/>
        <v>63</v>
      </c>
      <c r="I29">
        <v>17.920000000000002</v>
      </c>
      <c r="J29">
        <v>5.7</v>
      </c>
      <c r="K29" t="s">
        <v>84</v>
      </c>
      <c r="L29">
        <f>_INVESTEMENTDATA[[#This Row],[Investment_Amount]]*0.18</f>
        <v>335593.26</v>
      </c>
      <c r="M29">
        <f>_INVESTEMENTDATA[[#This Row],[Investment_Amount]]*0.18*25</f>
        <v>8389831.5</v>
      </c>
    </row>
    <row r="30" spans="1:13" x14ac:dyDescent="0.25">
      <c r="A30" t="s">
        <v>85</v>
      </c>
      <c r="B30" t="s">
        <v>11</v>
      </c>
      <c r="C30">
        <v>64</v>
      </c>
      <c r="D30" t="s">
        <v>46</v>
      </c>
      <c r="E30" t="s">
        <v>13</v>
      </c>
      <c r="F30" t="s">
        <v>41</v>
      </c>
      <c r="G30">
        <v>3849343</v>
      </c>
      <c r="H30">
        <f t="shared" ca="1" si="0"/>
        <v>23</v>
      </c>
      <c r="I30">
        <v>7.83</v>
      </c>
      <c r="J30">
        <v>0.47</v>
      </c>
      <c r="K30" t="s">
        <v>86</v>
      </c>
      <c r="L30">
        <f>_INVESTEMENTDATA[[#This Row],[Investment_Amount]]*0.18</f>
        <v>692881.74</v>
      </c>
      <c r="M30">
        <f>_INVESTEMENTDATA[[#This Row],[Investment_Amount]]*0.18*25</f>
        <v>17322043.5</v>
      </c>
    </row>
    <row r="31" spans="1:13" x14ac:dyDescent="0.25">
      <c r="A31" t="s">
        <v>87</v>
      </c>
      <c r="B31" t="s">
        <v>17</v>
      </c>
      <c r="C31">
        <v>62</v>
      </c>
      <c r="D31" t="s">
        <v>12</v>
      </c>
      <c r="E31" t="s">
        <v>23</v>
      </c>
      <c r="F31" t="s">
        <v>30</v>
      </c>
      <c r="G31">
        <v>478608</v>
      </c>
      <c r="H31">
        <f t="shared" ca="1" si="0"/>
        <v>57</v>
      </c>
      <c r="I31">
        <v>30.31</v>
      </c>
      <c r="J31">
        <v>35.46</v>
      </c>
      <c r="K31" t="s">
        <v>88</v>
      </c>
      <c r="L31">
        <f>_INVESTEMENTDATA[[#This Row],[Investment_Amount]]*0.18</f>
        <v>86149.440000000002</v>
      </c>
      <c r="M31">
        <f>_INVESTEMENTDATA[[#This Row],[Investment_Amount]]*0.18*25</f>
        <v>2153736</v>
      </c>
    </row>
    <row r="32" spans="1:13" x14ac:dyDescent="0.25">
      <c r="A32" t="s">
        <v>89</v>
      </c>
      <c r="B32" t="s">
        <v>11</v>
      </c>
      <c r="C32">
        <v>38</v>
      </c>
      <c r="D32" t="s">
        <v>38</v>
      </c>
      <c r="E32" t="s">
        <v>13</v>
      </c>
      <c r="F32" t="s">
        <v>47</v>
      </c>
      <c r="G32">
        <v>1491629</v>
      </c>
      <c r="H32">
        <f t="shared" ca="1" si="0"/>
        <v>275</v>
      </c>
      <c r="I32">
        <v>17.54</v>
      </c>
      <c r="J32">
        <v>4.53</v>
      </c>
      <c r="K32" t="s">
        <v>90</v>
      </c>
      <c r="L32">
        <f>_INVESTEMENTDATA[[#This Row],[Investment_Amount]]*0.18</f>
        <v>268493.21999999997</v>
      </c>
      <c r="M32">
        <f>_INVESTEMENTDATA[[#This Row],[Investment_Amount]]*0.18*25</f>
        <v>6712330.4999999991</v>
      </c>
    </row>
    <row r="33" spans="1:13" x14ac:dyDescent="0.25">
      <c r="A33" t="s">
        <v>91</v>
      </c>
      <c r="B33" t="s">
        <v>11</v>
      </c>
      <c r="C33">
        <v>56</v>
      </c>
      <c r="D33" t="s">
        <v>12</v>
      </c>
      <c r="E33" t="s">
        <v>19</v>
      </c>
      <c r="F33" t="s">
        <v>47</v>
      </c>
      <c r="G33">
        <v>1252552</v>
      </c>
      <c r="H33">
        <f t="shared" ca="1" si="0"/>
        <v>224</v>
      </c>
      <c r="I33">
        <v>17.73</v>
      </c>
      <c r="J33">
        <v>-4.96</v>
      </c>
      <c r="K33" t="s">
        <v>92</v>
      </c>
      <c r="L33">
        <f>_INVESTEMENTDATA[[#This Row],[Investment_Amount]]*0.18</f>
        <v>225459.36</v>
      </c>
      <c r="M33">
        <f>_INVESTEMENTDATA[[#This Row],[Investment_Amount]]*0.18*25</f>
        <v>5636484</v>
      </c>
    </row>
    <row r="34" spans="1:13" x14ac:dyDescent="0.25">
      <c r="A34" t="s">
        <v>93</v>
      </c>
      <c r="B34" t="s">
        <v>17</v>
      </c>
      <c r="C34">
        <v>62</v>
      </c>
      <c r="D34" t="s">
        <v>18</v>
      </c>
      <c r="E34" t="s">
        <v>57</v>
      </c>
      <c r="F34" t="s">
        <v>14</v>
      </c>
      <c r="G34">
        <v>2837100</v>
      </c>
      <c r="H34">
        <f t="shared" ca="1" si="0"/>
        <v>244</v>
      </c>
      <c r="I34">
        <v>27.84</v>
      </c>
      <c r="J34">
        <v>24.49</v>
      </c>
      <c r="K34" t="s">
        <v>94</v>
      </c>
      <c r="L34">
        <f>_INVESTEMENTDATA[[#This Row],[Investment_Amount]]*0.18</f>
        <v>510678</v>
      </c>
      <c r="M34">
        <f>_INVESTEMENTDATA[[#This Row],[Investment_Amount]]*0.18*25</f>
        <v>12766950</v>
      </c>
    </row>
    <row r="35" spans="1:13" x14ac:dyDescent="0.25">
      <c r="A35" t="s">
        <v>95</v>
      </c>
      <c r="B35" t="s">
        <v>11</v>
      </c>
      <c r="C35">
        <v>59</v>
      </c>
      <c r="D35" t="s">
        <v>46</v>
      </c>
      <c r="E35" t="s">
        <v>13</v>
      </c>
      <c r="F35" t="s">
        <v>41</v>
      </c>
      <c r="G35">
        <v>4614435</v>
      </c>
      <c r="H35">
        <f t="shared" ca="1" si="0"/>
        <v>112</v>
      </c>
      <c r="I35">
        <v>6.74</v>
      </c>
      <c r="J35">
        <v>8.9499999999999993</v>
      </c>
      <c r="K35" t="s">
        <v>96</v>
      </c>
      <c r="L35">
        <f>_INVESTEMENTDATA[[#This Row],[Investment_Amount]]*0.18</f>
        <v>830598.29999999993</v>
      </c>
      <c r="M35">
        <f>_INVESTEMENTDATA[[#This Row],[Investment_Amount]]*0.18*25</f>
        <v>20764957.5</v>
      </c>
    </row>
    <row r="36" spans="1:13" x14ac:dyDescent="0.25">
      <c r="A36" t="s">
        <v>97</v>
      </c>
      <c r="B36" t="s">
        <v>17</v>
      </c>
      <c r="C36">
        <v>45</v>
      </c>
      <c r="D36" t="s">
        <v>38</v>
      </c>
      <c r="E36" t="s">
        <v>50</v>
      </c>
      <c r="F36" t="s">
        <v>47</v>
      </c>
      <c r="G36">
        <v>922255</v>
      </c>
      <c r="H36">
        <f t="shared" ca="1" si="0"/>
        <v>287</v>
      </c>
      <c r="I36">
        <v>21.03</v>
      </c>
      <c r="J36">
        <v>-0.98</v>
      </c>
      <c r="K36" t="s">
        <v>98</v>
      </c>
      <c r="L36">
        <f>_INVESTEMENTDATA[[#This Row],[Investment_Amount]]*0.18</f>
        <v>166005.9</v>
      </c>
      <c r="M36">
        <f>_INVESTEMENTDATA[[#This Row],[Investment_Amount]]*0.18*25</f>
        <v>4150147.5</v>
      </c>
    </row>
    <row r="37" spans="1:13" x14ac:dyDescent="0.25">
      <c r="A37" t="s">
        <v>99</v>
      </c>
      <c r="B37" t="s">
        <v>17</v>
      </c>
      <c r="C37">
        <v>58</v>
      </c>
      <c r="D37" t="s">
        <v>46</v>
      </c>
      <c r="E37" t="s">
        <v>13</v>
      </c>
      <c r="F37" t="s">
        <v>41</v>
      </c>
      <c r="G37">
        <v>2844015</v>
      </c>
      <c r="H37">
        <f t="shared" ca="1" si="0"/>
        <v>312</v>
      </c>
      <c r="I37">
        <v>28.24</v>
      </c>
      <c r="J37">
        <v>-7.03</v>
      </c>
      <c r="K37" t="s">
        <v>100</v>
      </c>
      <c r="L37">
        <f>_INVESTEMENTDATA[[#This Row],[Investment_Amount]]*0.18</f>
        <v>511922.69999999995</v>
      </c>
      <c r="M37">
        <f>_INVESTEMENTDATA[[#This Row],[Investment_Amount]]*0.18*25</f>
        <v>12798067.499999998</v>
      </c>
    </row>
    <row r="38" spans="1:13" x14ac:dyDescent="0.25">
      <c r="A38" t="s">
        <v>101</v>
      </c>
      <c r="B38" t="s">
        <v>11</v>
      </c>
      <c r="C38">
        <v>56</v>
      </c>
      <c r="D38" t="s">
        <v>46</v>
      </c>
      <c r="E38" t="s">
        <v>50</v>
      </c>
      <c r="F38" t="s">
        <v>14</v>
      </c>
      <c r="G38">
        <v>1471699</v>
      </c>
      <c r="H38">
        <f t="shared" ca="1" si="0"/>
        <v>7</v>
      </c>
      <c r="I38">
        <v>19.52</v>
      </c>
      <c r="J38">
        <v>0.11</v>
      </c>
      <c r="K38" t="s">
        <v>102</v>
      </c>
      <c r="L38">
        <f>_INVESTEMENTDATA[[#This Row],[Investment_Amount]]*0.18</f>
        <v>264905.82</v>
      </c>
      <c r="M38">
        <f>_INVESTEMENTDATA[[#This Row],[Investment_Amount]]*0.18*25</f>
        <v>6622645.5</v>
      </c>
    </row>
    <row r="39" spans="1:13" x14ac:dyDescent="0.25">
      <c r="A39" t="s">
        <v>103</v>
      </c>
      <c r="B39" t="s">
        <v>17</v>
      </c>
      <c r="C39">
        <v>58</v>
      </c>
      <c r="D39" t="s">
        <v>28</v>
      </c>
      <c r="E39" t="s">
        <v>23</v>
      </c>
      <c r="F39" t="s">
        <v>47</v>
      </c>
      <c r="G39">
        <v>4687548</v>
      </c>
      <c r="H39">
        <f t="shared" ca="1" si="0"/>
        <v>235</v>
      </c>
      <c r="I39">
        <v>28.94</v>
      </c>
      <c r="J39">
        <v>-6.55</v>
      </c>
      <c r="K39" t="s">
        <v>104</v>
      </c>
      <c r="L39">
        <f>_INVESTEMENTDATA[[#This Row],[Investment_Amount]]*0.18</f>
        <v>843758.64</v>
      </c>
      <c r="M39">
        <f>_INVESTEMENTDATA[[#This Row],[Investment_Amount]]*0.18*25</f>
        <v>21093966</v>
      </c>
    </row>
    <row r="40" spans="1:13" x14ac:dyDescent="0.25">
      <c r="A40" t="s">
        <v>105</v>
      </c>
      <c r="B40" t="s">
        <v>11</v>
      </c>
      <c r="C40">
        <v>46</v>
      </c>
      <c r="D40" t="s">
        <v>38</v>
      </c>
      <c r="E40" t="s">
        <v>29</v>
      </c>
      <c r="F40" t="s">
        <v>35</v>
      </c>
      <c r="G40">
        <v>3453688</v>
      </c>
      <c r="H40">
        <f t="shared" ca="1" si="0"/>
        <v>184</v>
      </c>
      <c r="I40">
        <v>32.89</v>
      </c>
      <c r="J40">
        <v>4.54</v>
      </c>
      <c r="K40" t="s">
        <v>106</v>
      </c>
      <c r="L40">
        <f>_INVESTEMENTDATA[[#This Row],[Investment_Amount]]*0.18</f>
        <v>621663.84</v>
      </c>
      <c r="M40">
        <f>_INVESTEMENTDATA[[#This Row],[Investment_Amount]]*0.18*25</f>
        <v>15541596</v>
      </c>
    </row>
    <row r="41" spans="1:13" x14ac:dyDescent="0.25">
      <c r="A41" t="s">
        <v>107</v>
      </c>
      <c r="B41" t="s">
        <v>11</v>
      </c>
      <c r="C41">
        <v>61</v>
      </c>
      <c r="D41" t="s">
        <v>38</v>
      </c>
      <c r="E41" t="s">
        <v>29</v>
      </c>
      <c r="F41" t="s">
        <v>35</v>
      </c>
      <c r="G41">
        <v>4903718</v>
      </c>
      <c r="H41">
        <f t="shared" ca="1" si="0"/>
        <v>297</v>
      </c>
      <c r="I41">
        <v>31.63</v>
      </c>
      <c r="J41">
        <v>-9.5500000000000007</v>
      </c>
      <c r="K41" t="s">
        <v>108</v>
      </c>
      <c r="L41">
        <f>_INVESTEMENTDATA[[#This Row],[Investment_Amount]]*0.18</f>
        <v>882669.24</v>
      </c>
      <c r="M41">
        <f>_INVESTEMENTDATA[[#This Row],[Investment_Amount]]*0.18*25</f>
        <v>22066731</v>
      </c>
    </row>
    <row r="42" spans="1:13" x14ac:dyDescent="0.25">
      <c r="A42" t="s">
        <v>109</v>
      </c>
      <c r="B42" t="s">
        <v>17</v>
      </c>
      <c r="C42">
        <v>32</v>
      </c>
      <c r="D42" t="s">
        <v>38</v>
      </c>
      <c r="E42" t="s">
        <v>29</v>
      </c>
      <c r="F42" t="s">
        <v>20</v>
      </c>
      <c r="G42">
        <v>4200577</v>
      </c>
      <c r="H42">
        <f t="shared" ca="1" si="0"/>
        <v>212</v>
      </c>
      <c r="I42">
        <v>10.46</v>
      </c>
      <c r="J42">
        <v>-0.2</v>
      </c>
      <c r="K42" t="s">
        <v>86</v>
      </c>
      <c r="L42">
        <f>_INVESTEMENTDATA[[#This Row],[Investment_Amount]]*0.18</f>
        <v>756103.86</v>
      </c>
      <c r="M42">
        <f>_INVESTEMENTDATA[[#This Row],[Investment_Amount]]*0.18*25</f>
        <v>18902596.5</v>
      </c>
    </row>
    <row r="43" spans="1:13" x14ac:dyDescent="0.25">
      <c r="A43" t="s">
        <v>110</v>
      </c>
      <c r="B43" t="s">
        <v>11</v>
      </c>
      <c r="C43">
        <v>39</v>
      </c>
      <c r="D43" t="s">
        <v>46</v>
      </c>
      <c r="E43" t="s">
        <v>29</v>
      </c>
      <c r="F43" t="s">
        <v>47</v>
      </c>
      <c r="G43">
        <v>159311</v>
      </c>
      <c r="H43">
        <f t="shared" ca="1" si="0"/>
        <v>46</v>
      </c>
      <c r="I43">
        <v>32.58</v>
      </c>
      <c r="J43">
        <v>32.35</v>
      </c>
      <c r="K43" t="s">
        <v>111</v>
      </c>
      <c r="L43">
        <f>_INVESTEMENTDATA[[#This Row],[Investment_Amount]]*0.18</f>
        <v>28675.98</v>
      </c>
      <c r="M43">
        <f>_INVESTEMENTDATA[[#This Row],[Investment_Amount]]*0.18*25</f>
        <v>716899.5</v>
      </c>
    </row>
    <row r="44" spans="1:13" x14ac:dyDescent="0.25">
      <c r="A44" t="s">
        <v>112</v>
      </c>
      <c r="B44" t="s">
        <v>17</v>
      </c>
      <c r="C44">
        <v>31</v>
      </c>
      <c r="D44" t="s">
        <v>28</v>
      </c>
      <c r="E44" t="s">
        <v>13</v>
      </c>
      <c r="F44" t="s">
        <v>20</v>
      </c>
      <c r="G44">
        <v>2338909</v>
      </c>
      <c r="H44">
        <f t="shared" ca="1" si="0"/>
        <v>48</v>
      </c>
      <c r="I44">
        <v>17.23</v>
      </c>
      <c r="J44">
        <v>40.51</v>
      </c>
      <c r="K44" t="s">
        <v>113</v>
      </c>
      <c r="L44">
        <f>_INVESTEMENTDATA[[#This Row],[Investment_Amount]]*0.18</f>
        <v>421003.62</v>
      </c>
      <c r="M44">
        <f>_INVESTEMENTDATA[[#This Row],[Investment_Amount]]*0.18*25</f>
        <v>10525090.5</v>
      </c>
    </row>
    <row r="45" spans="1:13" x14ac:dyDescent="0.25">
      <c r="A45" t="s">
        <v>114</v>
      </c>
      <c r="B45" t="s">
        <v>11</v>
      </c>
      <c r="C45">
        <v>51</v>
      </c>
      <c r="D45" t="s">
        <v>28</v>
      </c>
      <c r="E45" t="s">
        <v>57</v>
      </c>
      <c r="F45" t="s">
        <v>35</v>
      </c>
      <c r="G45">
        <v>3994063</v>
      </c>
      <c r="H45">
        <f t="shared" ca="1" si="0"/>
        <v>301</v>
      </c>
      <c r="I45">
        <v>6.32</v>
      </c>
      <c r="J45">
        <v>-1.92</v>
      </c>
      <c r="K45" t="s">
        <v>115</v>
      </c>
      <c r="L45">
        <f>_INVESTEMENTDATA[[#This Row],[Investment_Amount]]*0.18</f>
        <v>718931.34</v>
      </c>
      <c r="M45">
        <f>_INVESTEMENTDATA[[#This Row],[Investment_Amount]]*0.18*25</f>
        <v>17973283.5</v>
      </c>
    </row>
    <row r="46" spans="1:13" x14ac:dyDescent="0.25">
      <c r="A46" t="s">
        <v>116</v>
      </c>
      <c r="B46" t="s">
        <v>17</v>
      </c>
      <c r="C46">
        <v>60</v>
      </c>
      <c r="D46" t="s">
        <v>12</v>
      </c>
      <c r="E46" t="s">
        <v>57</v>
      </c>
      <c r="F46" t="s">
        <v>41</v>
      </c>
      <c r="G46">
        <v>2724747</v>
      </c>
      <c r="H46">
        <f t="shared" ca="1" si="0"/>
        <v>61</v>
      </c>
      <c r="I46">
        <v>9.73</v>
      </c>
      <c r="J46">
        <v>27.83</v>
      </c>
      <c r="K46" t="s">
        <v>117</v>
      </c>
      <c r="L46">
        <f>_INVESTEMENTDATA[[#This Row],[Investment_Amount]]*0.18</f>
        <v>490454.45999999996</v>
      </c>
      <c r="M46">
        <f>_INVESTEMENTDATA[[#This Row],[Investment_Amount]]*0.18*25</f>
        <v>12261361.5</v>
      </c>
    </row>
    <row r="47" spans="1:13" x14ac:dyDescent="0.25">
      <c r="A47" t="s">
        <v>118</v>
      </c>
      <c r="B47" t="s">
        <v>11</v>
      </c>
      <c r="C47">
        <v>59</v>
      </c>
      <c r="D47" t="s">
        <v>18</v>
      </c>
      <c r="E47" t="s">
        <v>29</v>
      </c>
      <c r="F47" t="s">
        <v>35</v>
      </c>
      <c r="G47">
        <v>4011666</v>
      </c>
      <c r="H47">
        <f t="shared" ca="1" si="0"/>
        <v>61</v>
      </c>
      <c r="I47">
        <v>30.94</v>
      </c>
      <c r="J47">
        <v>20.65</v>
      </c>
      <c r="K47" t="s">
        <v>119</v>
      </c>
      <c r="L47">
        <f>_INVESTEMENTDATA[[#This Row],[Investment_Amount]]*0.18</f>
        <v>722099.88</v>
      </c>
      <c r="M47">
        <f>_INVESTEMENTDATA[[#This Row],[Investment_Amount]]*0.18*25</f>
        <v>18052497</v>
      </c>
    </row>
    <row r="48" spans="1:13" x14ac:dyDescent="0.25">
      <c r="A48" t="s">
        <v>120</v>
      </c>
      <c r="B48" t="s">
        <v>11</v>
      </c>
      <c r="C48">
        <v>65</v>
      </c>
      <c r="D48" t="s">
        <v>28</v>
      </c>
      <c r="E48" t="s">
        <v>19</v>
      </c>
      <c r="F48" t="s">
        <v>41</v>
      </c>
      <c r="G48">
        <v>3090675</v>
      </c>
      <c r="H48">
        <f t="shared" ca="1" si="0"/>
        <v>314</v>
      </c>
      <c r="I48">
        <v>22.66</v>
      </c>
      <c r="J48">
        <v>32.31</v>
      </c>
      <c r="K48" t="s">
        <v>121</v>
      </c>
      <c r="L48">
        <f>_INVESTEMENTDATA[[#This Row],[Investment_Amount]]*0.18</f>
        <v>556321.5</v>
      </c>
      <c r="M48">
        <f>_INVESTEMENTDATA[[#This Row],[Investment_Amount]]*0.18*25</f>
        <v>13908037.5</v>
      </c>
    </row>
    <row r="49" spans="1:13" x14ac:dyDescent="0.25">
      <c r="A49" t="s">
        <v>122</v>
      </c>
      <c r="B49" t="s">
        <v>17</v>
      </c>
      <c r="C49">
        <v>25</v>
      </c>
      <c r="D49" t="s">
        <v>12</v>
      </c>
      <c r="E49" t="s">
        <v>57</v>
      </c>
      <c r="F49" t="s">
        <v>20</v>
      </c>
      <c r="G49">
        <v>4649690</v>
      </c>
      <c r="H49">
        <f t="shared" ca="1" si="0"/>
        <v>329</v>
      </c>
      <c r="I49">
        <v>8.5399999999999991</v>
      </c>
      <c r="J49">
        <v>36.54</v>
      </c>
      <c r="K49" t="s">
        <v>123</v>
      </c>
      <c r="L49">
        <f>_INVESTEMENTDATA[[#This Row],[Investment_Amount]]*0.18</f>
        <v>836944.2</v>
      </c>
      <c r="M49">
        <f>_INVESTEMENTDATA[[#This Row],[Investment_Amount]]*0.18*25</f>
        <v>20923605</v>
      </c>
    </row>
    <row r="50" spans="1:13" x14ac:dyDescent="0.25">
      <c r="A50" t="s">
        <v>124</v>
      </c>
      <c r="B50" t="s">
        <v>11</v>
      </c>
      <c r="C50">
        <v>51</v>
      </c>
      <c r="D50" t="s">
        <v>12</v>
      </c>
      <c r="E50" t="s">
        <v>50</v>
      </c>
      <c r="F50" t="s">
        <v>47</v>
      </c>
      <c r="G50">
        <v>2033509</v>
      </c>
      <c r="H50">
        <f t="shared" ca="1" si="0"/>
        <v>290</v>
      </c>
      <c r="I50">
        <v>11.56</v>
      </c>
      <c r="J50">
        <v>36.92</v>
      </c>
      <c r="K50" t="s">
        <v>125</v>
      </c>
      <c r="L50">
        <f>_INVESTEMENTDATA[[#This Row],[Investment_Amount]]*0.18</f>
        <v>366031.62</v>
      </c>
      <c r="M50">
        <f>_INVESTEMENTDATA[[#This Row],[Investment_Amount]]*0.18*25</f>
        <v>9150790.5</v>
      </c>
    </row>
    <row r="51" spans="1:13" x14ac:dyDescent="0.25">
      <c r="A51" t="s">
        <v>126</v>
      </c>
      <c r="B51" t="s">
        <v>11</v>
      </c>
      <c r="C51">
        <v>49</v>
      </c>
      <c r="D51" t="s">
        <v>46</v>
      </c>
      <c r="E51" t="s">
        <v>23</v>
      </c>
      <c r="F51" t="s">
        <v>41</v>
      </c>
      <c r="G51">
        <v>2583484</v>
      </c>
      <c r="H51">
        <f t="shared" ca="1" si="0"/>
        <v>187</v>
      </c>
      <c r="I51">
        <v>13.83</v>
      </c>
      <c r="J51">
        <v>34.81</v>
      </c>
      <c r="K51" t="s">
        <v>127</v>
      </c>
      <c r="L51">
        <f>_INVESTEMENTDATA[[#This Row],[Investment_Amount]]*0.18</f>
        <v>465027.12</v>
      </c>
      <c r="M51">
        <f>_INVESTEMENTDATA[[#This Row],[Investment_Amount]]*0.18*25</f>
        <v>11625678</v>
      </c>
    </row>
    <row r="52" spans="1:13" x14ac:dyDescent="0.25">
      <c r="A52" t="s">
        <v>128</v>
      </c>
      <c r="B52" t="s">
        <v>11</v>
      </c>
      <c r="C52">
        <v>50</v>
      </c>
      <c r="D52" t="s">
        <v>12</v>
      </c>
      <c r="E52" t="s">
        <v>13</v>
      </c>
      <c r="F52" t="s">
        <v>20</v>
      </c>
      <c r="G52">
        <v>4573125</v>
      </c>
      <c r="H52">
        <f t="shared" ca="1" si="0"/>
        <v>102</v>
      </c>
      <c r="I52">
        <v>11.49</v>
      </c>
      <c r="J52">
        <v>40.71</v>
      </c>
      <c r="K52" t="s">
        <v>129</v>
      </c>
      <c r="L52">
        <f>_INVESTEMENTDATA[[#This Row],[Investment_Amount]]*0.18</f>
        <v>823162.5</v>
      </c>
      <c r="M52">
        <f>_INVESTEMENTDATA[[#This Row],[Investment_Amount]]*0.18*25</f>
        <v>20579062.5</v>
      </c>
    </row>
    <row r="53" spans="1:13" x14ac:dyDescent="0.25">
      <c r="A53" t="s">
        <v>130</v>
      </c>
      <c r="B53" t="s">
        <v>17</v>
      </c>
      <c r="C53">
        <v>25</v>
      </c>
      <c r="D53" t="s">
        <v>28</v>
      </c>
      <c r="E53" t="s">
        <v>57</v>
      </c>
      <c r="F53" t="s">
        <v>30</v>
      </c>
      <c r="G53">
        <v>538827</v>
      </c>
      <c r="H53">
        <f t="shared" ca="1" si="0"/>
        <v>182</v>
      </c>
      <c r="I53">
        <v>32.17</v>
      </c>
      <c r="J53">
        <v>16.75</v>
      </c>
      <c r="K53" t="s">
        <v>131</v>
      </c>
      <c r="L53">
        <f>_INVESTEMENTDATA[[#This Row],[Investment_Amount]]*0.18</f>
        <v>96988.86</v>
      </c>
      <c r="M53">
        <f>_INVESTEMENTDATA[[#This Row],[Investment_Amount]]*0.18*25</f>
        <v>2424721.5</v>
      </c>
    </row>
    <row r="54" spans="1:13" x14ac:dyDescent="0.25">
      <c r="A54" t="s">
        <v>132</v>
      </c>
      <c r="B54" t="s">
        <v>11</v>
      </c>
      <c r="C54">
        <v>49</v>
      </c>
      <c r="D54" t="s">
        <v>46</v>
      </c>
      <c r="E54" t="s">
        <v>13</v>
      </c>
      <c r="F54" t="s">
        <v>41</v>
      </c>
      <c r="G54">
        <v>4010554</v>
      </c>
      <c r="H54">
        <f t="shared" ca="1" si="0"/>
        <v>33</v>
      </c>
      <c r="I54">
        <v>9.36</v>
      </c>
      <c r="J54">
        <v>-0.02</v>
      </c>
      <c r="K54" t="s">
        <v>133</v>
      </c>
      <c r="L54">
        <f>_INVESTEMENTDATA[[#This Row],[Investment_Amount]]*0.18</f>
        <v>721899.72</v>
      </c>
      <c r="M54">
        <f>_INVESTEMENTDATA[[#This Row],[Investment_Amount]]*0.18*25</f>
        <v>18047493</v>
      </c>
    </row>
    <row r="55" spans="1:13" x14ac:dyDescent="0.25">
      <c r="A55" t="s">
        <v>134</v>
      </c>
      <c r="B55" t="s">
        <v>11</v>
      </c>
      <c r="C55">
        <v>41</v>
      </c>
      <c r="D55" t="s">
        <v>18</v>
      </c>
      <c r="E55" t="s">
        <v>13</v>
      </c>
      <c r="F55" t="s">
        <v>30</v>
      </c>
      <c r="G55">
        <v>1230298</v>
      </c>
      <c r="H55">
        <f t="shared" ca="1" si="0"/>
        <v>299</v>
      </c>
      <c r="I55">
        <v>17.22</v>
      </c>
      <c r="J55">
        <v>29.25</v>
      </c>
      <c r="K55" t="s">
        <v>135</v>
      </c>
      <c r="L55">
        <f>_INVESTEMENTDATA[[#This Row],[Investment_Amount]]*0.18</f>
        <v>221453.63999999998</v>
      </c>
      <c r="M55">
        <f>_INVESTEMENTDATA[[#This Row],[Investment_Amount]]*0.18*25</f>
        <v>5536341</v>
      </c>
    </row>
    <row r="56" spans="1:13" x14ac:dyDescent="0.25">
      <c r="A56" t="s">
        <v>136</v>
      </c>
      <c r="B56" t="s">
        <v>11</v>
      </c>
      <c r="C56">
        <v>42</v>
      </c>
      <c r="D56" t="s">
        <v>28</v>
      </c>
      <c r="E56" t="s">
        <v>57</v>
      </c>
      <c r="F56" t="s">
        <v>35</v>
      </c>
      <c r="G56">
        <v>1370157</v>
      </c>
      <c r="H56">
        <f t="shared" ca="1" si="0"/>
        <v>346</v>
      </c>
      <c r="I56">
        <v>34.619999999999997</v>
      </c>
      <c r="J56">
        <v>21.87</v>
      </c>
      <c r="K56" t="s">
        <v>137</v>
      </c>
      <c r="L56">
        <f>_INVESTEMENTDATA[[#This Row],[Investment_Amount]]*0.18</f>
        <v>246628.25999999998</v>
      </c>
      <c r="M56">
        <f>_INVESTEMENTDATA[[#This Row],[Investment_Amount]]*0.18*25</f>
        <v>6165706.4999999991</v>
      </c>
    </row>
    <row r="57" spans="1:13" x14ac:dyDescent="0.25">
      <c r="A57" t="s">
        <v>138</v>
      </c>
      <c r="B57" t="s">
        <v>11</v>
      </c>
      <c r="C57">
        <v>57</v>
      </c>
      <c r="D57" t="s">
        <v>12</v>
      </c>
      <c r="E57" t="s">
        <v>19</v>
      </c>
      <c r="F57" t="s">
        <v>14</v>
      </c>
      <c r="G57">
        <v>829336</v>
      </c>
      <c r="H57">
        <f t="shared" ca="1" si="0"/>
        <v>248</v>
      </c>
      <c r="I57">
        <v>20.54</v>
      </c>
      <c r="J57">
        <v>4.93</v>
      </c>
      <c r="K57" t="s">
        <v>139</v>
      </c>
      <c r="L57">
        <f>_INVESTEMENTDATA[[#This Row],[Investment_Amount]]*0.18</f>
        <v>149280.47999999998</v>
      </c>
      <c r="M57">
        <f>_INVESTEMENTDATA[[#This Row],[Investment_Amount]]*0.18*25</f>
        <v>3732011.9999999995</v>
      </c>
    </row>
    <row r="58" spans="1:13" x14ac:dyDescent="0.25">
      <c r="A58" t="s">
        <v>140</v>
      </c>
      <c r="B58" t="s">
        <v>11</v>
      </c>
      <c r="C58">
        <v>56</v>
      </c>
      <c r="D58" t="s">
        <v>38</v>
      </c>
      <c r="E58" t="s">
        <v>50</v>
      </c>
      <c r="F58" t="s">
        <v>14</v>
      </c>
      <c r="G58">
        <v>3596642</v>
      </c>
      <c r="H58">
        <f t="shared" ca="1" si="0"/>
        <v>161</v>
      </c>
      <c r="I58">
        <v>19.86</v>
      </c>
      <c r="J58">
        <v>42.19</v>
      </c>
      <c r="K58" t="s">
        <v>141</v>
      </c>
      <c r="L58">
        <f>_INVESTEMENTDATA[[#This Row],[Investment_Amount]]*0.18</f>
        <v>647395.55999999994</v>
      </c>
      <c r="M58">
        <f>_INVESTEMENTDATA[[#This Row],[Investment_Amount]]*0.18*25</f>
        <v>16184888.999999998</v>
      </c>
    </row>
    <row r="59" spans="1:13" x14ac:dyDescent="0.25">
      <c r="A59" t="s">
        <v>142</v>
      </c>
      <c r="B59" t="s">
        <v>11</v>
      </c>
      <c r="C59">
        <v>61</v>
      </c>
      <c r="D59" t="s">
        <v>18</v>
      </c>
      <c r="E59" t="s">
        <v>13</v>
      </c>
      <c r="F59" t="s">
        <v>14</v>
      </c>
      <c r="G59">
        <v>2610729</v>
      </c>
      <c r="H59">
        <f t="shared" ca="1" si="0"/>
        <v>51</v>
      </c>
      <c r="I59">
        <v>26.23</v>
      </c>
      <c r="J59">
        <v>15.15</v>
      </c>
      <c r="K59" t="s">
        <v>143</v>
      </c>
      <c r="L59">
        <f>_INVESTEMENTDATA[[#This Row],[Investment_Amount]]*0.18</f>
        <v>469931.22</v>
      </c>
      <c r="M59">
        <f>_INVESTEMENTDATA[[#This Row],[Investment_Amount]]*0.18*25</f>
        <v>11748280.5</v>
      </c>
    </row>
    <row r="60" spans="1:13" x14ac:dyDescent="0.25">
      <c r="A60" t="s">
        <v>144</v>
      </c>
      <c r="B60" t="s">
        <v>11</v>
      </c>
      <c r="C60">
        <v>46</v>
      </c>
      <c r="D60" t="s">
        <v>18</v>
      </c>
      <c r="E60" t="s">
        <v>29</v>
      </c>
      <c r="F60" t="s">
        <v>20</v>
      </c>
      <c r="G60">
        <v>322367</v>
      </c>
      <c r="H60">
        <f t="shared" ca="1" si="0"/>
        <v>145</v>
      </c>
      <c r="I60">
        <v>14.47</v>
      </c>
      <c r="J60">
        <v>4.59</v>
      </c>
      <c r="K60" t="s">
        <v>145</v>
      </c>
      <c r="L60">
        <f>_INVESTEMENTDATA[[#This Row],[Investment_Amount]]*0.18</f>
        <v>58026.06</v>
      </c>
      <c r="M60">
        <f>_INVESTEMENTDATA[[#This Row],[Investment_Amount]]*0.18*25</f>
        <v>1450651.5</v>
      </c>
    </row>
    <row r="61" spans="1:13" x14ac:dyDescent="0.25">
      <c r="A61" t="s">
        <v>146</v>
      </c>
      <c r="B61" t="s">
        <v>17</v>
      </c>
      <c r="C61">
        <v>47</v>
      </c>
      <c r="D61" t="s">
        <v>46</v>
      </c>
      <c r="E61" t="s">
        <v>23</v>
      </c>
      <c r="F61" t="s">
        <v>35</v>
      </c>
      <c r="G61">
        <v>2216627</v>
      </c>
      <c r="H61">
        <f t="shared" ca="1" si="0"/>
        <v>292</v>
      </c>
      <c r="I61">
        <v>9.1999999999999993</v>
      </c>
      <c r="J61">
        <v>24.56</v>
      </c>
      <c r="K61" t="s">
        <v>147</v>
      </c>
      <c r="L61">
        <f>_INVESTEMENTDATA[[#This Row],[Investment_Amount]]*0.18</f>
        <v>398992.86</v>
      </c>
      <c r="M61">
        <f>_INVESTEMENTDATA[[#This Row],[Investment_Amount]]*0.18*25</f>
        <v>9974821.5</v>
      </c>
    </row>
    <row r="62" spans="1:13" x14ac:dyDescent="0.25">
      <c r="A62" t="s">
        <v>148</v>
      </c>
      <c r="B62" t="s">
        <v>17</v>
      </c>
      <c r="C62">
        <v>29</v>
      </c>
      <c r="D62" t="s">
        <v>12</v>
      </c>
      <c r="E62" t="s">
        <v>50</v>
      </c>
      <c r="F62" t="s">
        <v>20</v>
      </c>
      <c r="G62">
        <v>4831265</v>
      </c>
      <c r="H62">
        <f t="shared" ca="1" si="0"/>
        <v>19</v>
      </c>
      <c r="I62">
        <v>20.65</v>
      </c>
      <c r="J62">
        <v>-8.3800000000000008</v>
      </c>
      <c r="K62" t="s">
        <v>149</v>
      </c>
      <c r="L62">
        <f>_INVESTEMENTDATA[[#This Row],[Investment_Amount]]*0.18</f>
        <v>869627.7</v>
      </c>
      <c r="M62">
        <f>_INVESTEMENTDATA[[#This Row],[Investment_Amount]]*0.18*25</f>
        <v>21740692.5</v>
      </c>
    </row>
    <row r="63" spans="1:13" x14ac:dyDescent="0.25">
      <c r="A63" t="s">
        <v>150</v>
      </c>
      <c r="B63" t="s">
        <v>17</v>
      </c>
      <c r="C63">
        <v>51</v>
      </c>
      <c r="D63" t="s">
        <v>38</v>
      </c>
      <c r="E63" t="s">
        <v>23</v>
      </c>
      <c r="F63" t="s">
        <v>47</v>
      </c>
      <c r="G63">
        <v>1304969</v>
      </c>
      <c r="H63">
        <f t="shared" ca="1" si="0"/>
        <v>51</v>
      </c>
      <c r="I63">
        <v>32.159999999999997</v>
      </c>
      <c r="J63">
        <v>5.99</v>
      </c>
      <c r="K63" t="s">
        <v>151</v>
      </c>
      <c r="L63">
        <f>_INVESTEMENTDATA[[#This Row],[Investment_Amount]]*0.18</f>
        <v>234894.41999999998</v>
      </c>
      <c r="M63">
        <f>_INVESTEMENTDATA[[#This Row],[Investment_Amount]]*0.18*25</f>
        <v>5872360.5</v>
      </c>
    </row>
    <row r="64" spans="1:13" x14ac:dyDescent="0.25">
      <c r="A64" t="s">
        <v>152</v>
      </c>
      <c r="B64" t="s">
        <v>17</v>
      </c>
      <c r="C64">
        <v>56</v>
      </c>
      <c r="D64" t="s">
        <v>38</v>
      </c>
      <c r="E64" t="s">
        <v>29</v>
      </c>
      <c r="F64" t="s">
        <v>41</v>
      </c>
      <c r="G64">
        <v>2249420</v>
      </c>
      <c r="H64">
        <f t="shared" ca="1" si="0"/>
        <v>332</v>
      </c>
      <c r="I64">
        <v>10.33</v>
      </c>
      <c r="J64">
        <v>-8.77</v>
      </c>
      <c r="K64" t="s">
        <v>153</v>
      </c>
      <c r="L64">
        <f>_INVESTEMENTDATA[[#This Row],[Investment_Amount]]*0.18</f>
        <v>404895.6</v>
      </c>
      <c r="M64">
        <f>_INVESTEMENTDATA[[#This Row],[Investment_Amount]]*0.18*25</f>
        <v>10122390</v>
      </c>
    </row>
    <row r="65" spans="1:13" x14ac:dyDescent="0.25">
      <c r="A65" t="s">
        <v>154</v>
      </c>
      <c r="B65" t="s">
        <v>11</v>
      </c>
      <c r="C65">
        <v>36</v>
      </c>
      <c r="D65" t="s">
        <v>38</v>
      </c>
      <c r="E65" t="s">
        <v>19</v>
      </c>
      <c r="F65" t="s">
        <v>35</v>
      </c>
      <c r="G65">
        <v>1622417</v>
      </c>
      <c r="H65">
        <f t="shared" ca="1" si="0"/>
        <v>155</v>
      </c>
      <c r="I65">
        <v>16.89</v>
      </c>
      <c r="J65">
        <v>6.19</v>
      </c>
      <c r="K65" t="s">
        <v>155</v>
      </c>
      <c r="L65">
        <f>_INVESTEMENTDATA[[#This Row],[Investment_Amount]]*0.18</f>
        <v>292035.06</v>
      </c>
      <c r="M65">
        <f>_INVESTEMENTDATA[[#This Row],[Investment_Amount]]*0.18*25</f>
        <v>7300876.5</v>
      </c>
    </row>
    <row r="66" spans="1:13" x14ac:dyDescent="0.25">
      <c r="A66" t="s">
        <v>156</v>
      </c>
      <c r="B66" t="s">
        <v>11</v>
      </c>
      <c r="C66">
        <v>30</v>
      </c>
      <c r="D66" t="s">
        <v>12</v>
      </c>
      <c r="E66" t="s">
        <v>29</v>
      </c>
      <c r="F66" t="s">
        <v>20</v>
      </c>
      <c r="G66">
        <v>3817993</v>
      </c>
      <c r="H66">
        <f t="shared" ref="H66:H129" ca="1" si="1">RANDBETWEEN(7,365)</f>
        <v>28</v>
      </c>
      <c r="I66">
        <v>10.82</v>
      </c>
      <c r="J66">
        <v>-6.46</v>
      </c>
      <c r="K66" t="s">
        <v>157</v>
      </c>
      <c r="L66">
        <f>_INVESTEMENTDATA[[#This Row],[Investment_Amount]]*0.18</f>
        <v>687238.74</v>
      </c>
      <c r="M66">
        <f>_INVESTEMENTDATA[[#This Row],[Investment_Amount]]*0.18*25</f>
        <v>17180968.5</v>
      </c>
    </row>
    <row r="67" spans="1:13" x14ac:dyDescent="0.25">
      <c r="A67" t="s">
        <v>158</v>
      </c>
      <c r="B67" t="s">
        <v>11</v>
      </c>
      <c r="C67">
        <v>47</v>
      </c>
      <c r="D67" t="s">
        <v>12</v>
      </c>
      <c r="E67" t="s">
        <v>50</v>
      </c>
      <c r="F67" t="s">
        <v>30</v>
      </c>
      <c r="G67">
        <v>3814896</v>
      </c>
      <c r="H67">
        <f t="shared" ca="1" si="1"/>
        <v>232</v>
      </c>
      <c r="I67">
        <v>25.51</v>
      </c>
      <c r="J67">
        <v>-7.96</v>
      </c>
      <c r="K67" t="s">
        <v>159</v>
      </c>
      <c r="L67">
        <f>_INVESTEMENTDATA[[#This Row],[Investment_Amount]]*0.18</f>
        <v>686681.28</v>
      </c>
      <c r="M67">
        <f>_INVESTEMENTDATA[[#This Row],[Investment_Amount]]*0.18*25</f>
        <v>17167032</v>
      </c>
    </row>
    <row r="68" spans="1:13" x14ac:dyDescent="0.25">
      <c r="A68" t="s">
        <v>160</v>
      </c>
      <c r="B68" t="s">
        <v>11</v>
      </c>
      <c r="C68">
        <v>61</v>
      </c>
      <c r="D68" t="s">
        <v>38</v>
      </c>
      <c r="E68" t="s">
        <v>50</v>
      </c>
      <c r="F68" t="s">
        <v>41</v>
      </c>
      <c r="G68">
        <v>650198</v>
      </c>
      <c r="H68">
        <f t="shared" ca="1" si="1"/>
        <v>313</v>
      </c>
      <c r="I68">
        <v>27.54</v>
      </c>
      <c r="J68">
        <v>22.64</v>
      </c>
      <c r="K68" t="s">
        <v>161</v>
      </c>
      <c r="L68">
        <f>_INVESTEMENTDATA[[#This Row],[Investment_Amount]]*0.18</f>
        <v>117035.64</v>
      </c>
      <c r="M68">
        <f>_INVESTEMENTDATA[[#This Row],[Investment_Amount]]*0.18*25</f>
        <v>2925891</v>
      </c>
    </row>
    <row r="69" spans="1:13" x14ac:dyDescent="0.25">
      <c r="A69" t="s">
        <v>162</v>
      </c>
      <c r="B69" t="s">
        <v>11</v>
      </c>
      <c r="C69">
        <v>39</v>
      </c>
      <c r="D69" t="s">
        <v>38</v>
      </c>
      <c r="E69" t="s">
        <v>23</v>
      </c>
      <c r="F69" t="s">
        <v>30</v>
      </c>
      <c r="G69">
        <v>3070542</v>
      </c>
      <c r="H69">
        <f t="shared" ca="1" si="1"/>
        <v>23</v>
      </c>
      <c r="I69">
        <v>16.559999999999999</v>
      </c>
      <c r="J69">
        <v>31.4</v>
      </c>
      <c r="K69" t="s">
        <v>163</v>
      </c>
      <c r="L69">
        <f>_INVESTEMENTDATA[[#This Row],[Investment_Amount]]*0.18</f>
        <v>552697.55999999994</v>
      </c>
      <c r="M69">
        <f>_INVESTEMENTDATA[[#This Row],[Investment_Amount]]*0.18*25</f>
        <v>13817438.999999998</v>
      </c>
    </row>
    <row r="70" spans="1:13" x14ac:dyDescent="0.25">
      <c r="A70" t="s">
        <v>164</v>
      </c>
      <c r="B70" t="s">
        <v>11</v>
      </c>
      <c r="C70">
        <v>52</v>
      </c>
      <c r="D70" t="s">
        <v>18</v>
      </c>
      <c r="E70" t="s">
        <v>23</v>
      </c>
      <c r="F70" t="s">
        <v>41</v>
      </c>
      <c r="G70">
        <v>4820709</v>
      </c>
      <c r="H70">
        <f t="shared" ca="1" si="1"/>
        <v>43</v>
      </c>
      <c r="I70">
        <v>12.48</v>
      </c>
      <c r="J70">
        <v>17.97</v>
      </c>
      <c r="K70" t="s">
        <v>98</v>
      </c>
      <c r="L70">
        <f>_INVESTEMENTDATA[[#This Row],[Investment_Amount]]*0.18</f>
        <v>867727.62</v>
      </c>
      <c r="M70">
        <f>_INVESTEMENTDATA[[#This Row],[Investment_Amount]]*0.18*25</f>
        <v>21693190.5</v>
      </c>
    </row>
    <row r="71" spans="1:13" x14ac:dyDescent="0.25">
      <c r="A71" t="s">
        <v>165</v>
      </c>
      <c r="B71" t="s">
        <v>17</v>
      </c>
      <c r="C71">
        <v>65</v>
      </c>
      <c r="D71" t="s">
        <v>38</v>
      </c>
      <c r="E71" t="s">
        <v>13</v>
      </c>
      <c r="F71" t="s">
        <v>30</v>
      </c>
      <c r="G71">
        <v>2411477</v>
      </c>
      <c r="H71">
        <f t="shared" ca="1" si="1"/>
        <v>361</v>
      </c>
      <c r="I71">
        <v>25</v>
      </c>
      <c r="J71">
        <v>5.77</v>
      </c>
      <c r="K71" t="s">
        <v>166</v>
      </c>
      <c r="L71">
        <f>_INVESTEMENTDATA[[#This Row],[Investment_Amount]]*0.18</f>
        <v>434065.86</v>
      </c>
      <c r="M71">
        <f>_INVESTEMENTDATA[[#This Row],[Investment_Amount]]*0.18*25</f>
        <v>10851646.5</v>
      </c>
    </row>
    <row r="72" spans="1:13" x14ac:dyDescent="0.25">
      <c r="A72" t="s">
        <v>167</v>
      </c>
      <c r="B72" t="s">
        <v>17</v>
      </c>
      <c r="C72">
        <v>39</v>
      </c>
      <c r="D72" t="s">
        <v>38</v>
      </c>
      <c r="E72" t="s">
        <v>29</v>
      </c>
      <c r="F72" t="s">
        <v>20</v>
      </c>
      <c r="G72">
        <v>1350073</v>
      </c>
      <c r="H72">
        <f t="shared" ca="1" si="1"/>
        <v>10</v>
      </c>
      <c r="I72">
        <v>34.29</v>
      </c>
      <c r="J72">
        <v>-5.44</v>
      </c>
      <c r="K72" t="s">
        <v>168</v>
      </c>
      <c r="L72">
        <f>_INVESTEMENTDATA[[#This Row],[Investment_Amount]]*0.18</f>
        <v>243013.13999999998</v>
      </c>
      <c r="M72">
        <f>_INVESTEMENTDATA[[#This Row],[Investment_Amount]]*0.18*25</f>
        <v>6075328.5</v>
      </c>
    </row>
    <row r="73" spans="1:13" x14ac:dyDescent="0.25">
      <c r="A73" t="s">
        <v>169</v>
      </c>
      <c r="B73" t="s">
        <v>11</v>
      </c>
      <c r="C73">
        <v>46</v>
      </c>
      <c r="D73" t="s">
        <v>28</v>
      </c>
      <c r="E73" t="s">
        <v>23</v>
      </c>
      <c r="F73" t="s">
        <v>14</v>
      </c>
      <c r="G73">
        <v>3695521</v>
      </c>
      <c r="H73">
        <f t="shared" ca="1" si="1"/>
        <v>38</v>
      </c>
      <c r="I73">
        <v>7.06</v>
      </c>
      <c r="J73">
        <v>3.32</v>
      </c>
      <c r="K73" t="s">
        <v>170</v>
      </c>
      <c r="L73">
        <f>_INVESTEMENTDATA[[#This Row],[Investment_Amount]]*0.18</f>
        <v>665193.78</v>
      </c>
      <c r="M73">
        <f>_INVESTEMENTDATA[[#This Row],[Investment_Amount]]*0.18*25</f>
        <v>16629844.5</v>
      </c>
    </row>
    <row r="74" spans="1:13" x14ac:dyDescent="0.25">
      <c r="A74" t="s">
        <v>171</v>
      </c>
      <c r="B74" t="s">
        <v>17</v>
      </c>
      <c r="C74">
        <v>46</v>
      </c>
      <c r="D74" t="s">
        <v>46</v>
      </c>
      <c r="E74" t="s">
        <v>23</v>
      </c>
      <c r="F74" t="s">
        <v>41</v>
      </c>
      <c r="G74">
        <v>1786322</v>
      </c>
      <c r="H74">
        <f t="shared" ca="1" si="1"/>
        <v>161</v>
      </c>
      <c r="I74">
        <v>15.39</v>
      </c>
      <c r="J74">
        <v>42.2</v>
      </c>
      <c r="K74" t="s">
        <v>172</v>
      </c>
      <c r="L74">
        <f>_INVESTEMENTDATA[[#This Row],[Investment_Amount]]*0.18</f>
        <v>321537.95999999996</v>
      </c>
      <c r="M74">
        <f>_INVESTEMENTDATA[[#This Row],[Investment_Amount]]*0.18*25</f>
        <v>8038448.9999999991</v>
      </c>
    </row>
    <row r="75" spans="1:13" x14ac:dyDescent="0.25">
      <c r="A75" t="s">
        <v>173</v>
      </c>
      <c r="B75" t="s">
        <v>11</v>
      </c>
      <c r="C75">
        <v>21</v>
      </c>
      <c r="D75" t="s">
        <v>12</v>
      </c>
      <c r="E75" t="s">
        <v>19</v>
      </c>
      <c r="F75" t="s">
        <v>14</v>
      </c>
      <c r="G75">
        <v>3834745</v>
      </c>
      <c r="H75">
        <f t="shared" ca="1" si="1"/>
        <v>30</v>
      </c>
      <c r="I75">
        <v>25.42</v>
      </c>
      <c r="J75">
        <v>-7.4</v>
      </c>
      <c r="K75" t="s">
        <v>174</v>
      </c>
      <c r="L75">
        <f>_INVESTEMENTDATA[[#This Row],[Investment_Amount]]*0.18</f>
        <v>690254.1</v>
      </c>
      <c r="M75">
        <f>_INVESTEMENTDATA[[#This Row],[Investment_Amount]]*0.18*25</f>
        <v>17256352.5</v>
      </c>
    </row>
    <row r="76" spans="1:13" x14ac:dyDescent="0.25">
      <c r="A76" t="s">
        <v>175</v>
      </c>
      <c r="B76" t="s">
        <v>11</v>
      </c>
      <c r="C76">
        <v>54</v>
      </c>
      <c r="D76" t="s">
        <v>12</v>
      </c>
      <c r="E76" t="s">
        <v>23</v>
      </c>
      <c r="F76" t="s">
        <v>14</v>
      </c>
      <c r="G76">
        <v>1652043</v>
      </c>
      <c r="H76">
        <f t="shared" ca="1" si="1"/>
        <v>8</v>
      </c>
      <c r="I76">
        <v>11.73</v>
      </c>
      <c r="J76">
        <v>30.18</v>
      </c>
      <c r="K76" t="s">
        <v>176</v>
      </c>
      <c r="L76">
        <f>_INVESTEMENTDATA[[#This Row],[Investment_Amount]]*0.18</f>
        <v>297367.74</v>
      </c>
      <c r="M76">
        <f>_INVESTEMENTDATA[[#This Row],[Investment_Amount]]*0.18*25</f>
        <v>7434193.5</v>
      </c>
    </row>
    <row r="77" spans="1:13" x14ac:dyDescent="0.25">
      <c r="A77" t="s">
        <v>177</v>
      </c>
      <c r="B77" t="s">
        <v>11</v>
      </c>
      <c r="C77">
        <v>48</v>
      </c>
      <c r="D77" t="s">
        <v>28</v>
      </c>
      <c r="E77" t="s">
        <v>19</v>
      </c>
      <c r="F77" t="s">
        <v>35</v>
      </c>
      <c r="G77">
        <v>3122025</v>
      </c>
      <c r="H77">
        <f t="shared" ca="1" si="1"/>
        <v>334</v>
      </c>
      <c r="I77">
        <v>18.54</v>
      </c>
      <c r="J77">
        <v>-2.58</v>
      </c>
      <c r="K77" t="s">
        <v>178</v>
      </c>
      <c r="L77">
        <f>_INVESTEMENTDATA[[#This Row],[Investment_Amount]]*0.18</f>
        <v>561964.5</v>
      </c>
      <c r="M77">
        <f>_INVESTEMENTDATA[[#This Row],[Investment_Amount]]*0.18*25</f>
        <v>14049112.5</v>
      </c>
    </row>
    <row r="78" spans="1:13" x14ac:dyDescent="0.25">
      <c r="A78" t="s">
        <v>179</v>
      </c>
      <c r="B78" t="s">
        <v>17</v>
      </c>
      <c r="C78">
        <v>52</v>
      </c>
      <c r="D78" t="s">
        <v>46</v>
      </c>
      <c r="E78" t="s">
        <v>13</v>
      </c>
      <c r="F78" t="s">
        <v>41</v>
      </c>
      <c r="G78">
        <v>4270793</v>
      </c>
      <c r="H78">
        <f t="shared" ca="1" si="1"/>
        <v>196</v>
      </c>
      <c r="I78">
        <v>9.07</v>
      </c>
      <c r="J78">
        <v>31.13</v>
      </c>
      <c r="K78" t="s">
        <v>180</v>
      </c>
      <c r="L78">
        <f>_INVESTEMENTDATA[[#This Row],[Investment_Amount]]*0.18</f>
        <v>768742.74</v>
      </c>
      <c r="M78">
        <f>_INVESTEMENTDATA[[#This Row],[Investment_Amount]]*0.18*25</f>
        <v>19218568.5</v>
      </c>
    </row>
    <row r="79" spans="1:13" x14ac:dyDescent="0.25">
      <c r="A79" t="s">
        <v>181</v>
      </c>
      <c r="B79" t="s">
        <v>17</v>
      </c>
      <c r="C79">
        <v>63</v>
      </c>
      <c r="D79" t="s">
        <v>18</v>
      </c>
      <c r="E79" t="s">
        <v>23</v>
      </c>
      <c r="F79" t="s">
        <v>14</v>
      </c>
      <c r="G79">
        <v>4063475</v>
      </c>
      <c r="H79">
        <f t="shared" ca="1" si="1"/>
        <v>53</v>
      </c>
      <c r="I79">
        <v>30.51</v>
      </c>
      <c r="J79">
        <v>-4.46</v>
      </c>
      <c r="K79" t="s">
        <v>182</v>
      </c>
      <c r="L79">
        <f>_INVESTEMENTDATA[[#This Row],[Investment_Amount]]*0.18</f>
        <v>731425.5</v>
      </c>
      <c r="M79">
        <f>_INVESTEMENTDATA[[#This Row],[Investment_Amount]]*0.18*25</f>
        <v>18285637.5</v>
      </c>
    </row>
    <row r="80" spans="1:13" x14ac:dyDescent="0.25">
      <c r="A80" t="s">
        <v>183</v>
      </c>
      <c r="B80" t="s">
        <v>17</v>
      </c>
      <c r="C80">
        <v>60</v>
      </c>
      <c r="D80" t="s">
        <v>28</v>
      </c>
      <c r="E80" t="s">
        <v>57</v>
      </c>
      <c r="F80" t="s">
        <v>47</v>
      </c>
      <c r="G80">
        <v>1589934</v>
      </c>
      <c r="H80">
        <f t="shared" ca="1" si="1"/>
        <v>344</v>
      </c>
      <c r="I80">
        <v>6.13</v>
      </c>
      <c r="J80">
        <v>36.5</v>
      </c>
      <c r="K80" t="s">
        <v>184</v>
      </c>
      <c r="L80">
        <f>_INVESTEMENTDATA[[#This Row],[Investment_Amount]]*0.18</f>
        <v>286188.12</v>
      </c>
      <c r="M80">
        <f>_INVESTEMENTDATA[[#This Row],[Investment_Amount]]*0.18*25</f>
        <v>7154703</v>
      </c>
    </row>
    <row r="81" spans="1:13" x14ac:dyDescent="0.25">
      <c r="A81" t="s">
        <v>185</v>
      </c>
      <c r="B81" t="s">
        <v>11</v>
      </c>
      <c r="C81">
        <v>63</v>
      </c>
      <c r="D81" t="s">
        <v>12</v>
      </c>
      <c r="E81" t="s">
        <v>23</v>
      </c>
      <c r="F81" t="s">
        <v>30</v>
      </c>
      <c r="G81">
        <v>2477026</v>
      </c>
      <c r="H81">
        <f t="shared" ca="1" si="1"/>
        <v>246</v>
      </c>
      <c r="I81">
        <v>12.08</v>
      </c>
      <c r="J81">
        <v>5.36</v>
      </c>
      <c r="K81" t="s">
        <v>186</v>
      </c>
      <c r="L81">
        <f>_INVESTEMENTDATA[[#This Row],[Investment_Amount]]*0.18</f>
        <v>445864.68</v>
      </c>
      <c r="M81">
        <f>_INVESTEMENTDATA[[#This Row],[Investment_Amount]]*0.18*25</f>
        <v>11146617</v>
      </c>
    </row>
    <row r="82" spans="1:13" x14ac:dyDescent="0.25">
      <c r="A82" t="s">
        <v>187</v>
      </c>
      <c r="B82" t="s">
        <v>17</v>
      </c>
      <c r="C82">
        <v>36</v>
      </c>
      <c r="D82" t="s">
        <v>38</v>
      </c>
      <c r="E82" t="s">
        <v>23</v>
      </c>
      <c r="F82" t="s">
        <v>20</v>
      </c>
      <c r="G82">
        <v>3119731</v>
      </c>
      <c r="H82">
        <f t="shared" ca="1" si="1"/>
        <v>230</v>
      </c>
      <c r="I82">
        <v>25.35</v>
      </c>
      <c r="J82">
        <v>14.61</v>
      </c>
      <c r="K82" t="s">
        <v>188</v>
      </c>
      <c r="L82">
        <f>_INVESTEMENTDATA[[#This Row],[Investment_Amount]]*0.18</f>
        <v>561551.57999999996</v>
      </c>
      <c r="M82">
        <f>_INVESTEMENTDATA[[#This Row],[Investment_Amount]]*0.18*25</f>
        <v>14038789.499999998</v>
      </c>
    </row>
    <row r="83" spans="1:13" x14ac:dyDescent="0.25">
      <c r="A83" t="s">
        <v>189</v>
      </c>
      <c r="B83" t="s">
        <v>11</v>
      </c>
      <c r="C83">
        <v>42</v>
      </c>
      <c r="D83" t="s">
        <v>46</v>
      </c>
      <c r="E83" t="s">
        <v>13</v>
      </c>
      <c r="F83" t="s">
        <v>47</v>
      </c>
      <c r="G83">
        <v>2758892</v>
      </c>
      <c r="H83">
        <f t="shared" ca="1" si="1"/>
        <v>121</v>
      </c>
      <c r="I83">
        <v>5.89</v>
      </c>
      <c r="J83">
        <v>36.659999999999997</v>
      </c>
      <c r="K83" t="s">
        <v>190</v>
      </c>
      <c r="L83">
        <f>_INVESTEMENTDATA[[#This Row],[Investment_Amount]]*0.18</f>
        <v>496600.56</v>
      </c>
      <c r="M83">
        <f>_INVESTEMENTDATA[[#This Row],[Investment_Amount]]*0.18*25</f>
        <v>12415014</v>
      </c>
    </row>
    <row r="84" spans="1:13" x14ac:dyDescent="0.25">
      <c r="A84" t="s">
        <v>191</v>
      </c>
      <c r="B84" t="s">
        <v>17</v>
      </c>
      <c r="C84">
        <v>52</v>
      </c>
      <c r="D84" t="s">
        <v>28</v>
      </c>
      <c r="E84" t="s">
        <v>23</v>
      </c>
      <c r="F84" t="s">
        <v>47</v>
      </c>
      <c r="G84">
        <v>158107</v>
      </c>
      <c r="H84">
        <f t="shared" ca="1" si="1"/>
        <v>135</v>
      </c>
      <c r="I84">
        <v>12.85</v>
      </c>
      <c r="J84">
        <v>-9.0399999999999991</v>
      </c>
      <c r="K84" t="s">
        <v>192</v>
      </c>
      <c r="L84">
        <f>_INVESTEMENTDATA[[#This Row],[Investment_Amount]]*0.18</f>
        <v>28459.26</v>
      </c>
      <c r="M84">
        <f>_INVESTEMENTDATA[[#This Row],[Investment_Amount]]*0.18*25</f>
        <v>711481.5</v>
      </c>
    </row>
    <row r="85" spans="1:13" x14ac:dyDescent="0.25">
      <c r="A85" t="s">
        <v>193</v>
      </c>
      <c r="B85" t="s">
        <v>11</v>
      </c>
      <c r="C85">
        <v>59</v>
      </c>
      <c r="D85" t="s">
        <v>12</v>
      </c>
      <c r="E85" t="s">
        <v>57</v>
      </c>
      <c r="F85" t="s">
        <v>20</v>
      </c>
      <c r="G85">
        <v>371284</v>
      </c>
      <c r="H85">
        <f t="shared" ca="1" si="1"/>
        <v>324</v>
      </c>
      <c r="I85">
        <v>22.3</v>
      </c>
      <c r="J85">
        <v>43.47</v>
      </c>
      <c r="K85" t="s">
        <v>194</v>
      </c>
      <c r="L85">
        <f>_INVESTEMENTDATA[[#This Row],[Investment_Amount]]*0.18</f>
        <v>66831.12</v>
      </c>
      <c r="M85">
        <f>_INVESTEMENTDATA[[#This Row],[Investment_Amount]]*0.18*25</f>
        <v>1670778</v>
      </c>
    </row>
    <row r="86" spans="1:13" x14ac:dyDescent="0.25">
      <c r="A86" t="s">
        <v>195</v>
      </c>
      <c r="B86" t="s">
        <v>11</v>
      </c>
      <c r="C86">
        <v>22</v>
      </c>
      <c r="D86" t="s">
        <v>28</v>
      </c>
      <c r="E86" t="s">
        <v>13</v>
      </c>
      <c r="F86" t="s">
        <v>14</v>
      </c>
      <c r="G86">
        <v>2174141</v>
      </c>
      <c r="H86">
        <f t="shared" ca="1" si="1"/>
        <v>324</v>
      </c>
      <c r="I86">
        <v>29.74</v>
      </c>
      <c r="J86">
        <v>-4.6900000000000004</v>
      </c>
      <c r="K86" t="s">
        <v>196</v>
      </c>
      <c r="L86">
        <f>_INVESTEMENTDATA[[#This Row],[Investment_Amount]]*0.18</f>
        <v>391345.38</v>
      </c>
      <c r="M86">
        <f>_INVESTEMENTDATA[[#This Row],[Investment_Amount]]*0.18*25</f>
        <v>9783634.5</v>
      </c>
    </row>
    <row r="87" spans="1:13" x14ac:dyDescent="0.25">
      <c r="A87" t="s">
        <v>197</v>
      </c>
      <c r="B87" t="s">
        <v>11</v>
      </c>
      <c r="C87">
        <v>24</v>
      </c>
      <c r="D87" t="s">
        <v>28</v>
      </c>
      <c r="E87" t="s">
        <v>23</v>
      </c>
      <c r="F87" t="s">
        <v>20</v>
      </c>
      <c r="G87">
        <v>1595114</v>
      </c>
      <c r="H87">
        <f t="shared" ca="1" si="1"/>
        <v>35</v>
      </c>
      <c r="I87">
        <v>27.49</v>
      </c>
      <c r="J87">
        <v>10.29</v>
      </c>
      <c r="K87" t="s">
        <v>198</v>
      </c>
      <c r="L87">
        <f>_INVESTEMENTDATA[[#This Row],[Investment_Amount]]*0.18</f>
        <v>287120.51999999996</v>
      </c>
      <c r="M87">
        <f>_INVESTEMENTDATA[[#This Row],[Investment_Amount]]*0.18*25</f>
        <v>7178012.9999999991</v>
      </c>
    </row>
    <row r="88" spans="1:13" x14ac:dyDescent="0.25">
      <c r="A88" t="s">
        <v>199</v>
      </c>
      <c r="B88" t="s">
        <v>11</v>
      </c>
      <c r="C88">
        <v>34</v>
      </c>
      <c r="D88" t="s">
        <v>46</v>
      </c>
      <c r="E88" t="s">
        <v>57</v>
      </c>
      <c r="F88" t="s">
        <v>47</v>
      </c>
      <c r="G88">
        <v>4635752</v>
      </c>
      <c r="H88">
        <f t="shared" ca="1" si="1"/>
        <v>125</v>
      </c>
      <c r="I88">
        <v>33.619999999999997</v>
      </c>
      <c r="J88">
        <v>1.63</v>
      </c>
      <c r="K88" t="s">
        <v>200</v>
      </c>
      <c r="L88">
        <f>_INVESTEMENTDATA[[#This Row],[Investment_Amount]]*0.18</f>
        <v>834435.36</v>
      </c>
      <c r="M88">
        <f>_INVESTEMENTDATA[[#This Row],[Investment_Amount]]*0.18*25</f>
        <v>20860884</v>
      </c>
    </row>
    <row r="89" spans="1:13" x14ac:dyDescent="0.25">
      <c r="A89" t="s">
        <v>201</v>
      </c>
      <c r="B89" t="s">
        <v>17</v>
      </c>
      <c r="C89">
        <v>47</v>
      </c>
      <c r="D89" t="s">
        <v>18</v>
      </c>
      <c r="E89" t="s">
        <v>13</v>
      </c>
      <c r="F89" t="s">
        <v>41</v>
      </c>
      <c r="G89">
        <v>3779544</v>
      </c>
      <c r="H89">
        <f t="shared" ca="1" si="1"/>
        <v>230</v>
      </c>
      <c r="I89">
        <v>11.23</v>
      </c>
      <c r="J89">
        <v>-4.92</v>
      </c>
      <c r="K89" t="s">
        <v>202</v>
      </c>
      <c r="L89">
        <f>_INVESTEMENTDATA[[#This Row],[Investment_Amount]]*0.18</f>
        <v>680317.91999999993</v>
      </c>
      <c r="M89">
        <f>_INVESTEMENTDATA[[#This Row],[Investment_Amount]]*0.18*25</f>
        <v>17007948</v>
      </c>
    </row>
    <row r="90" spans="1:13" x14ac:dyDescent="0.25">
      <c r="A90" t="s">
        <v>203</v>
      </c>
      <c r="B90" t="s">
        <v>17</v>
      </c>
      <c r="C90">
        <v>45</v>
      </c>
      <c r="D90" t="s">
        <v>12</v>
      </c>
      <c r="E90" t="s">
        <v>57</v>
      </c>
      <c r="F90" t="s">
        <v>47</v>
      </c>
      <c r="G90">
        <v>2878354</v>
      </c>
      <c r="H90">
        <f t="shared" ca="1" si="1"/>
        <v>99</v>
      </c>
      <c r="I90">
        <v>25.96</v>
      </c>
      <c r="J90">
        <v>7.63</v>
      </c>
      <c r="K90" t="s">
        <v>204</v>
      </c>
      <c r="L90">
        <f>_INVESTEMENTDATA[[#This Row],[Investment_Amount]]*0.18</f>
        <v>518103.72</v>
      </c>
      <c r="M90">
        <f>_INVESTEMENTDATA[[#This Row],[Investment_Amount]]*0.18*25</f>
        <v>12952593</v>
      </c>
    </row>
    <row r="91" spans="1:13" x14ac:dyDescent="0.25">
      <c r="A91" t="s">
        <v>205</v>
      </c>
      <c r="B91" t="s">
        <v>17</v>
      </c>
      <c r="C91">
        <v>40</v>
      </c>
      <c r="D91" t="s">
        <v>18</v>
      </c>
      <c r="E91" t="s">
        <v>23</v>
      </c>
      <c r="F91" t="s">
        <v>41</v>
      </c>
      <c r="G91">
        <v>3188786</v>
      </c>
      <c r="H91">
        <f t="shared" ca="1" si="1"/>
        <v>333</v>
      </c>
      <c r="I91">
        <v>21.74</v>
      </c>
      <c r="J91">
        <v>-7.54</v>
      </c>
      <c r="K91" t="s">
        <v>206</v>
      </c>
      <c r="L91">
        <f>_INVESTEMENTDATA[[#This Row],[Investment_Amount]]*0.18</f>
        <v>573981.48</v>
      </c>
      <c r="M91">
        <f>_INVESTEMENTDATA[[#This Row],[Investment_Amount]]*0.18*25</f>
        <v>14349537</v>
      </c>
    </row>
    <row r="92" spans="1:13" x14ac:dyDescent="0.25">
      <c r="A92" t="s">
        <v>207</v>
      </c>
      <c r="B92" t="s">
        <v>17</v>
      </c>
      <c r="C92">
        <v>65</v>
      </c>
      <c r="D92" t="s">
        <v>46</v>
      </c>
      <c r="E92" t="s">
        <v>19</v>
      </c>
      <c r="F92" t="s">
        <v>30</v>
      </c>
      <c r="G92">
        <v>3883719</v>
      </c>
      <c r="H92">
        <f t="shared" ca="1" si="1"/>
        <v>268</v>
      </c>
      <c r="I92">
        <v>12.07</v>
      </c>
      <c r="J92">
        <v>0.39</v>
      </c>
      <c r="K92" t="s">
        <v>208</v>
      </c>
      <c r="L92">
        <f>_INVESTEMENTDATA[[#This Row],[Investment_Amount]]*0.18</f>
        <v>699069.41999999993</v>
      </c>
      <c r="M92">
        <f>_INVESTEMENTDATA[[#This Row],[Investment_Amount]]*0.18*25</f>
        <v>17476735.5</v>
      </c>
    </row>
    <row r="93" spans="1:13" x14ac:dyDescent="0.25">
      <c r="A93" t="s">
        <v>209</v>
      </c>
      <c r="B93" t="s">
        <v>11</v>
      </c>
      <c r="C93">
        <v>54</v>
      </c>
      <c r="D93" t="s">
        <v>46</v>
      </c>
      <c r="E93" t="s">
        <v>50</v>
      </c>
      <c r="F93" t="s">
        <v>35</v>
      </c>
      <c r="G93">
        <v>4326814</v>
      </c>
      <c r="H93">
        <f t="shared" ca="1" si="1"/>
        <v>101</v>
      </c>
      <c r="I93">
        <v>26.65</v>
      </c>
      <c r="J93">
        <v>24.44</v>
      </c>
      <c r="K93" t="s">
        <v>210</v>
      </c>
      <c r="L93">
        <f>_INVESTEMENTDATA[[#This Row],[Investment_Amount]]*0.18</f>
        <v>778826.52</v>
      </c>
      <c r="M93">
        <f>_INVESTEMENTDATA[[#This Row],[Investment_Amount]]*0.18*25</f>
        <v>19470663</v>
      </c>
    </row>
    <row r="94" spans="1:13" x14ac:dyDescent="0.25">
      <c r="A94" t="s">
        <v>211</v>
      </c>
      <c r="B94" t="s">
        <v>11</v>
      </c>
      <c r="C94">
        <v>24</v>
      </c>
      <c r="D94" t="s">
        <v>28</v>
      </c>
      <c r="E94" t="s">
        <v>23</v>
      </c>
      <c r="F94" t="s">
        <v>35</v>
      </c>
      <c r="G94">
        <v>2858292</v>
      </c>
      <c r="H94">
        <f t="shared" ca="1" si="1"/>
        <v>92</v>
      </c>
      <c r="I94">
        <v>29.62</v>
      </c>
      <c r="J94">
        <v>20.149999999999999</v>
      </c>
      <c r="K94" t="s">
        <v>212</v>
      </c>
      <c r="L94">
        <f>_INVESTEMENTDATA[[#This Row],[Investment_Amount]]*0.18</f>
        <v>514492.56</v>
      </c>
      <c r="M94">
        <f>_INVESTEMENTDATA[[#This Row],[Investment_Amount]]*0.18*25</f>
        <v>12862314</v>
      </c>
    </row>
    <row r="95" spans="1:13" x14ac:dyDescent="0.25">
      <c r="A95" t="s">
        <v>213</v>
      </c>
      <c r="B95" t="s">
        <v>11</v>
      </c>
      <c r="C95">
        <v>25</v>
      </c>
      <c r="D95" t="s">
        <v>38</v>
      </c>
      <c r="E95" t="s">
        <v>57</v>
      </c>
      <c r="F95" t="s">
        <v>35</v>
      </c>
      <c r="G95">
        <v>1768834</v>
      </c>
      <c r="H95">
        <f t="shared" ca="1" si="1"/>
        <v>330</v>
      </c>
      <c r="I95">
        <v>23.34</v>
      </c>
      <c r="J95">
        <v>42.16</v>
      </c>
      <c r="K95" t="s">
        <v>214</v>
      </c>
      <c r="L95">
        <f>_INVESTEMENTDATA[[#This Row],[Investment_Amount]]*0.18</f>
        <v>318390.12</v>
      </c>
      <c r="M95">
        <f>_INVESTEMENTDATA[[#This Row],[Investment_Amount]]*0.18*25</f>
        <v>7959753</v>
      </c>
    </row>
    <row r="96" spans="1:13" x14ac:dyDescent="0.25">
      <c r="A96" t="s">
        <v>215</v>
      </c>
      <c r="B96" t="s">
        <v>17</v>
      </c>
      <c r="C96">
        <v>30</v>
      </c>
      <c r="D96" t="s">
        <v>18</v>
      </c>
      <c r="E96" t="s">
        <v>23</v>
      </c>
      <c r="F96" t="s">
        <v>14</v>
      </c>
      <c r="G96">
        <v>1239995</v>
      </c>
      <c r="H96">
        <f t="shared" ca="1" si="1"/>
        <v>123</v>
      </c>
      <c r="I96">
        <v>23.25</v>
      </c>
      <c r="J96">
        <v>4.95</v>
      </c>
      <c r="K96" t="s">
        <v>216</v>
      </c>
      <c r="L96">
        <f>_INVESTEMENTDATA[[#This Row],[Investment_Amount]]*0.18</f>
        <v>223199.1</v>
      </c>
      <c r="M96">
        <f>_INVESTEMENTDATA[[#This Row],[Investment_Amount]]*0.18*25</f>
        <v>5579977.5</v>
      </c>
    </row>
    <row r="97" spans="1:13" x14ac:dyDescent="0.25">
      <c r="A97" t="s">
        <v>217</v>
      </c>
      <c r="B97" t="s">
        <v>11</v>
      </c>
      <c r="C97">
        <v>58</v>
      </c>
      <c r="D97" t="s">
        <v>46</v>
      </c>
      <c r="E97" t="s">
        <v>19</v>
      </c>
      <c r="F97" t="s">
        <v>47</v>
      </c>
      <c r="G97">
        <v>4263709</v>
      </c>
      <c r="H97">
        <f t="shared" ca="1" si="1"/>
        <v>187</v>
      </c>
      <c r="I97">
        <v>32.01</v>
      </c>
      <c r="J97">
        <v>30.05</v>
      </c>
      <c r="K97" t="s">
        <v>218</v>
      </c>
      <c r="L97">
        <f>_INVESTEMENTDATA[[#This Row],[Investment_Amount]]*0.18</f>
        <v>767467.62</v>
      </c>
      <c r="M97">
        <f>_INVESTEMENTDATA[[#This Row],[Investment_Amount]]*0.18*25</f>
        <v>19186690.5</v>
      </c>
    </row>
    <row r="98" spans="1:13" x14ac:dyDescent="0.25">
      <c r="A98" t="s">
        <v>219</v>
      </c>
      <c r="B98" t="s">
        <v>17</v>
      </c>
      <c r="C98">
        <v>38</v>
      </c>
      <c r="D98" t="s">
        <v>46</v>
      </c>
      <c r="E98" t="s">
        <v>13</v>
      </c>
      <c r="F98" t="s">
        <v>41</v>
      </c>
      <c r="G98">
        <v>1392330</v>
      </c>
      <c r="H98">
        <f t="shared" ca="1" si="1"/>
        <v>253</v>
      </c>
      <c r="I98">
        <v>20.95</v>
      </c>
      <c r="J98">
        <v>20.07</v>
      </c>
      <c r="K98" t="s">
        <v>220</v>
      </c>
      <c r="L98">
        <f>_INVESTEMENTDATA[[#This Row],[Investment_Amount]]*0.18</f>
        <v>250619.4</v>
      </c>
      <c r="M98">
        <f>_INVESTEMENTDATA[[#This Row],[Investment_Amount]]*0.18*25</f>
        <v>6265485</v>
      </c>
    </row>
    <row r="99" spans="1:13" x14ac:dyDescent="0.25">
      <c r="A99" t="s">
        <v>221</v>
      </c>
      <c r="B99" t="s">
        <v>11</v>
      </c>
      <c r="C99">
        <v>31</v>
      </c>
      <c r="D99" t="s">
        <v>28</v>
      </c>
      <c r="E99" t="s">
        <v>57</v>
      </c>
      <c r="F99" t="s">
        <v>30</v>
      </c>
      <c r="G99">
        <v>1166057</v>
      </c>
      <c r="H99">
        <f t="shared" ca="1" si="1"/>
        <v>100</v>
      </c>
      <c r="I99">
        <v>17.62</v>
      </c>
      <c r="J99">
        <v>13.78</v>
      </c>
      <c r="K99" t="s">
        <v>222</v>
      </c>
      <c r="L99">
        <f>_INVESTEMENTDATA[[#This Row],[Investment_Amount]]*0.18</f>
        <v>209890.25999999998</v>
      </c>
      <c r="M99">
        <f>_INVESTEMENTDATA[[#This Row],[Investment_Amount]]*0.18*25</f>
        <v>5247256.4999999991</v>
      </c>
    </row>
    <row r="100" spans="1:13" x14ac:dyDescent="0.25">
      <c r="A100" t="s">
        <v>223</v>
      </c>
      <c r="B100" t="s">
        <v>11</v>
      </c>
      <c r="C100">
        <v>52</v>
      </c>
      <c r="D100" t="s">
        <v>38</v>
      </c>
      <c r="E100" t="s">
        <v>13</v>
      </c>
      <c r="F100" t="s">
        <v>20</v>
      </c>
      <c r="G100">
        <v>1206187</v>
      </c>
      <c r="H100">
        <f t="shared" ca="1" si="1"/>
        <v>9</v>
      </c>
      <c r="I100">
        <v>20.260000000000002</v>
      </c>
      <c r="J100">
        <v>-4.68</v>
      </c>
      <c r="K100" t="s">
        <v>224</v>
      </c>
      <c r="L100">
        <f>_INVESTEMENTDATA[[#This Row],[Investment_Amount]]*0.18</f>
        <v>217113.66</v>
      </c>
      <c r="M100">
        <f>_INVESTEMENTDATA[[#This Row],[Investment_Amount]]*0.18*25</f>
        <v>5427841.5</v>
      </c>
    </row>
    <row r="101" spans="1:13" x14ac:dyDescent="0.25">
      <c r="A101" t="s">
        <v>225</v>
      </c>
      <c r="B101" t="s">
        <v>11</v>
      </c>
      <c r="C101">
        <v>26</v>
      </c>
      <c r="D101" t="s">
        <v>18</v>
      </c>
      <c r="E101" t="s">
        <v>13</v>
      </c>
      <c r="F101" t="s">
        <v>14</v>
      </c>
      <c r="G101">
        <v>1095723</v>
      </c>
      <c r="H101">
        <f t="shared" ca="1" si="1"/>
        <v>286</v>
      </c>
      <c r="I101">
        <v>27.08</v>
      </c>
      <c r="J101">
        <v>34.82</v>
      </c>
      <c r="K101" t="s">
        <v>226</v>
      </c>
      <c r="L101">
        <f>_INVESTEMENTDATA[[#This Row],[Investment_Amount]]*0.18</f>
        <v>197230.13999999998</v>
      </c>
      <c r="M101">
        <f>_INVESTEMENTDATA[[#This Row],[Investment_Amount]]*0.18*25</f>
        <v>4930753.5</v>
      </c>
    </row>
    <row r="102" spans="1:13" x14ac:dyDescent="0.25">
      <c r="A102" t="s">
        <v>227</v>
      </c>
      <c r="B102" t="s">
        <v>11</v>
      </c>
      <c r="C102">
        <v>62</v>
      </c>
      <c r="D102" t="s">
        <v>12</v>
      </c>
      <c r="E102" t="s">
        <v>50</v>
      </c>
      <c r="F102" t="s">
        <v>14</v>
      </c>
      <c r="G102">
        <v>787718</v>
      </c>
      <c r="H102">
        <f t="shared" ca="1" si="1"/>
        <v>209</v>
      </c>
      <c r="I102">
        <v>16.32</v>
      </c>
      <c r="J102">
        <v>6.53</v>
      </c>
      <c r="K102" t="s">
        <v>228</v>
      </c>
      <c r="L102">
        <f>_INVESTEMENTDATA[[#This Row],[Investment_Amount]]*0.18</f>
        <v>141789.24</v>
      </c>
      <c r="M102">
        <f>_INVESTEMENTDATA[[#This Row],[Investment_Amount]]*0.18*25</f>
        <v>3544731</v>
      </c>
    </row>
    <row r="103" spans="1:13" x14ac:dyDescent="0.25">
      <c r="A103" t="s">
        <v>229</v>
      </c>
      <c r="B103" t="s">
        <v>17</v>
      </c>
      <c r="C103">
        <v>62</v>
      </c>
      <c r="D103" t="s">
        <v>18</v>
      </c>
      <c r="E103" t="s">
        <v>57</v>
      </c>
      <c r="F103" t="s">
        <v>20</v>
      </c>
      <c r="G103">
        <v>787301</v>
      </c>
      <c r="H103">
        <f t="shared" ca="1" si="1"/>
        <v>228</v>
      </c>
      <c r="I103">
        <v>15.96</v>
      </c>
      <c r="J103">
        <v>11.97</v>
      </c>
      <c r="K103" t="s">
        <v>230</v>
      </c>
      <c r="L103">
        <f>_INVESTEMENTDATA[[#This Row],[Investment_Amount]]*0.18</f>
        <v>141714.18</v>
      </c>
      <c r="M103">
        <f>_INVESTEMENTDATA[[#This Row],[Investment_Amount]]*0.18*25</f>
        <v>3542854.5</v>
      </c>
    </row>
    <row r="104" spans="1:13" x14ac:dyDescent="0.25">
      <c r="A104" t="s">
        <v>231</v>
      </c>
      <c r="B104" t="s">
        <v>11</v>
      </c>
      <c r="C104">
        <v>62</v>
      </c>
      <c r="D104" t="s">
        <v>46</v>
      </c>
      <c r="E104" t="s">
        <v>50</v>
      </c>
      <c r="F104" t="s">
        <v>20</v>
      </c>
      <c r="G104">
        <v>2399347</v>
      </c>
      <c r="H104">
        <f t="shared" ca="1" si="1"/>
        <v>292</v>
      </c>
      <c r="I104">
        <v>34.97</v>
      </c>
      <c r="J104">
        <v>-1.03</v>
      </c>
      <c r="K104" t="s">
        <v>232</v>
      </c>
      <c r="L104">
        <f>_INVESTEMENTDATA[[#This Row],[Investment_Amount]]*0.18</f>
        <v>431882.45999999996</v>
      </c>
      <c r="M104">
        <f>_INVESTEMENTDATA[[#This Row],[Investment_Amount]]*0.18*25</f>
        <v>10797061.5</v>
      </c>
    </row>
    <row r="105" spans="1:13" x14ac:dyDescent="0.25">
      <c r="A105" t="s">
        <v>233</v>
      </c>
      <c r="B105" t="s">
        <v>17</v>
      </c>
      <c r="C105">
        <v>24</v>
      </c>
      <c r="D105" t="s">
        <v>12</v>
      </c>
      <c r="E105" t="s">
        <v>19</v>
      </c>
      <c r="F105" t="s">
        <v>30</v>
      </c>
      <c r="G105">
        <v>1250053</v>
      </c>
      <c r="H105">
        <f t="shared" ca="1" si="1"/>
        <v>292</v>
      </c>
      <c r="I105">
        <v>15.21</v>
      </c>
      <c r="J105">
        <v>31.6</v>
      </c>
      <c r="K105" t="s">
        <v>234</v>
      </c>
      <c r="L105">
        <f>_INVESTEMENTDATA[[#This Row],[Investment_Amount]]*0.18</f>
        <v>225009.53999999998</v>
      </c>
      <c r="M105">
        <f>_INVESTEMENTDATA[[#This Row],[Investment_Amount]]*0.18*25</f>
        <v>5625238.4999999991</v>
      </c>
    </row>
    <row r="106" spans="1:13" x14ac:dyDescent="0.25">
      <c r="A106" t="s">
        <v>235</v>
      </c>
      <c r="B106" t="s">
        <v>17</v>
      </c>
      <c r="C106">
        <v>27</v>
      </c>
      <c r="D106" t="s">
        <v>12</v>
      </c>
      <c r="E106" t="s">
        <v>50</v>
      </c>
      <c r="F106" t="s">
        <v>35</v>
      </c>
      <c r="G106">
        <v>4116454</v>
      </c>
      <c r="H106">
        <f t="shared" ca="1" si="1"/>
        <v>87</v>
      </c>
      <c r="I106">
        <v>13.92</v>
      </c>
      <c r="J106">
        <v>18.79</v>
      </c>
      <c r="K106" t="s">
        <v>236</v>
      </c>
      <c r="L106">
        <f>_INVESTEMENTDATA[[#This Row],[Investment_Amount]]*0.18</f>
        <v>740961.72</v>
      </c>
      <c r="M106">
        <f>_INVESTEMENTDATA[[#This Row],[Investment_Amount]]*0.18*25</f>
        <v>18524043</v>
      </c>
    </row>
    <row r="107" spans="1:13" x14ac:dyDescent="0.25">
      <c r="A107" t="s">
        <v>237</v>
      </c>
      <c r="B107" t="s">
        <v>17</v>
      </c>
      <c r="C107">
        <v>46</v>
      </c>
      <c r="D107" t="s">
        <v>46</v>
      </c>
      <c r="E107" t="s">
        <v>23</v>
      </c>
      <c r="F107" t="s">
        <v>20</v>
      </c>
      <c r="G107">
        <v>306798</v>
      </c>
      <c r="H107">
        <f t="shared" ca="1" si="1"/>
        <v>141</v>
      </c>
      <c r="I107">
        <v>17.059999999999999</v>
      </c>
      <c r="J107">
        <v>25.09</v>
      </c>
      <c r="K107" t="s">
        <v>238</v>
      </c>
      <c r="L107">
        <f>_INVESTEMENTDATA[[#This Row],[Investment_Amount]]*0.18</f>
        <v>55223.64</v>
      </c>
      <c r="M107">
        <f>_INVESTEMENTDATA[[#This Row],[Investment_Amount]]*0.18*25</f>
        <v>1380591</v>
      </c>
    </row>
    <row r="108" spans="1:13" x14ac:dyDescent="0.25">
      <c r="A108" t="s">
        <v>239</v>
      </c>
      <c r="B108" t="s">
        <v>11</v>
      </c>
      <c r="C108">
        <v>24</v>
      </c>
      <c r="D108" t="s">
        <v>38</v>
      </c>
      <c r="E108" t="s">
        <v>50</v>
      </c>
      <c r="F108" t="s">
        <v>41</v>
      </c>
      <c r="G108">
        <v>970444</v>
      </c>
      <c r="H108">
        <f t="shared" ca="1" si="1"/>
        <v>159</v>
      </c>
      <c r="I108">
        <v>31.23</v>
      </c>
      <c r="J108">
        <v>-1.61</v>
      </c>
      <c r="K108" t="s">
        <v>240</v>
      </c>
      <c r="L108">
        <f>_INVESTEMENTDATA[[#This Row],[Investment_Amount]]*0.18</f>
        <v>174679.91999999998</v>
      </c>
      <c r="M108">
        <f>_INVESTEMENTDATA[[#This Row],[Investment_Amount]]*0.18*25</f>
        <v>4366998</v>
      </c>
    </row>
    <row r="109" spans="1:13" x14ac:dyDescent="0.25">
      <c r="A109" t="s">
        <v>241</v>
      </c>
      <c r="B109" t="s">
        <v>17</v>
      </c>
      <c r="C109">
        <v>64</v>
      </c>
      <c r="D109" t="s">
        <v>12</v>
      </c>
      <c r="E109" t="s">
        <v>29</v>
      </c>
      <c r="F109" t="s">
        <v>14</v>
      </c>
      <c r="G109">
        <v>971829</v>
      </c>
      <c r="H109">
        <f t="shared" ca="1" si="1"/>
        <v>133</v>
      </c>
      <c r="I109">
        <v>7.25</v>
      </c>
      <c r="J109">
        <v>16.010000000000002</v>
      </c>
      <c r="K109" t="s">
        <v>242</v>
      </c>
      <c r="L109">
        <f>_INVESTEMENTDATA[[#This Row],[Investment_Amount]]*0.18</f>
        <v>174929.22</v>
      </c>
      <c r="M109">
        <f>_INVESTEMENTDATA[[#This Row],[Investment_Amount]]*0.18*25</f>
        <v>4373230.5</v>
      </c>
    </row>
    <row r="110" spans="1:13" x14ac:dyDescent="0.25">
      <c r="A110" t="s">
        <v>243</v>
      </c>
      <c r="B110" t="s">
        <v>11</v>
      </c>
      <c r="C110">
        <v>50</v>
      </c>
      <c r="D110" t="s">
        <v>18</v>
      </c>
      <c r="E110" t="s">
        <v>50</v>
      </c>
      <c r="F110" t="s">
        <v>35</v>
      </c>
      <c r="G110">
        <v>116654</v>
      </c>
      <c r="H110">
        <f t="shared" ca="1" si="1"/>
        <v>345</v>
      </c>
      <c r="I110">
        <v>26.85</v>
      </c>
      <c r="J110">
        <v>-9.0500000000000007</v>
      </c>
      <c r="K110" t="s">
        <v>244</v>
      </c>
      <c r="L110">
        <f>_INVESTEMENTDATA[[#This Row],[Investment_Amount]]*0.18</f>
        <v>20997.719999999998</v>
      </c>
      <c r="M110">
        <f>_INVESTEMENTDATA[[#This Row],[Investment_Amount]]*0.18*25</f>
        <v>524942.99999999988</v>
      </c>
    </row>
    <row r="111" spans="1:13" x14ac:dyDescent="0.25">
      <c r="A111" t="s">
        <v>245</v>
      </c>
      <c r="B111" t="s">
        <v>11</v>
      </c>
      <c r="C111">
        <v>46</v>
      </c>
      <c r="D111" t="s">
        <v>46</v>
      </c>
      <c r="E111" t="s">
        <v>13</v>
      </c>
      <c r="F111" t="s">
        <v>14</v>
      </c>
      <c r="G111">
        <v>1165057</v>
      </c>
      <c r="H111">
        <f t="shared" ca="1" si="1"/>
        <v>359</v>
      </c>
      <c r="I111">
        <v>21.07</v>
      </c>
      <c r="J111">
        <v>24.74</v>
      </c>
      <c r="K111" t="s">
        <v>202</v>
      </c>
      <c r="L111">
        <f>_INVESTEMENTDATA[[#This Row],[Investment_Amount]]*0.18</f>
        <v>209710.25999999998</v>
      </c>
      <c r="M111">
        <f>_INVESTEMENTDATA[[#This Row],[Investment_Amount]]*0.18*25</f>
        <v>5242756.4999999991</v>
      </c>
    </row>
    <row r="112" spans="1:13" x14ac:dyDescent="0.25">
      <c r="A112" t="s">
        <v>246</v>
      </c>
      <c r="B112" t="s">
        <v>11</v>
      </c>
      <c r="C112">
        <v>43</v>
      </c>
      <c r="D112" t="s">
        <v>28</v>
      </c>
      <c r="E112" t="s">
        <v>19</v>
      </c>
      <c r="F112" t="s">
        <v>41</v>
      </c>
      <c r="G112">
        <v>4952131</v>
      </c>
      <c r="H112">
        <f t="shared" ca="1" si="1"/>
        <v>179</v>
      </c>
      <c r="I112">
        <v>9.0399999999999991</v>
      </c>
      <c r="J112">
        <v>9.74</v>
      </c>
      <c r="K112" t="s">
        <v>247</v>
      </c>
      <c r="L112">
        <f>_INVESTEMENTDATA[[#This Row],[Investment_Amount]]*0.18</f>
        <v>891383.58</v>
      </c>
      <c r="M112">
        <f>_INVESTEMENTDATA[[#This Row],[Investment_Amount]]*0.18*25</f>
        <v>22284589.5</v>
      </c>
    </row>
    <row r="113" spans="1:13" x14ac:dyDescent="0.25">
      <c r="A113" t="s">
        <v>248</v>
      </c>
      <c r="B113" t="s">
        <v>11</v>
      </c>
      <c r="C113">
        <v>31</v>
      </c>
      <c r="D113" t="s">
        <v>46</v>
      </c>
      <c r="E113" t="s">
        <v>13</v>
      </c>
      <c r="F113" t="s">
        <v>30</v>
      </c>
      <c r="G113">
        <v>1366651</v>
      </c>
      <c r="H113">
        <f t="shared" ca="1" si="1"/>
        <v>180</v>
      </c>
      <c r="I113">
        <v>23.59</v>
      </c>
      <c r="J113">
        <v>19.03</v>
      </c>
      <c r="K113" t="s">
        <v>249</v>
      </c>
      <c r="L113">
        <f>_INVESTEMENTDATA[[#This Row],[Investment_Amount]]*0.18</f>
        <v>245997.18</v>
      </c>
      <c r="M113">
        <f>_INVESTEMENTDATA[[#This Row],[Investment_Amount]]*0.18*25</f>
        <v>6149929.5</v>
      </c>
    </row>
    <row r="114" spans="1:13" x14ac:dyDescent="0.25">
      <c r="A114" t="s">
        <v>250</v>
      </c>
      <c r="B114" t="s">
        <v>11</v>
      </c>
      <c r="C114">
        <v>53</v>
      </c>
      <c r="D114" t="s">
        <v>18</v>
      </c>
      <c r="E114" t="s">
        <v>19</v>
      </c>
      <c r="F114" t="s">
        <v>35</v>
      </c>
      <c r="G114">
        <v>3126036</v>
      </c>
      <c r="H114">
        <f t="shared" ca="1" si="1"/>
        <v>227</v>
      </c>
      <c r="I114">
        <v>7.08</v>
      </c>
      <c r="J114">
        <v>-3.52</v>
      </c>
      <c r="K114" t="s">
        <v>251</v>
      </c>
      <c r="L114">
        <f>_INVESTEMENTDATA[[#This Row],[Investment_Amount]]*0.18</f>
        <v>562686.48</v>
      </c>
      <c r="M114">
        <f>_INVESTEMENTDATA[[#This Row],[Investment_Amount]]*0.18*25</f>
        <v>14067162</v>
      </c>
    </row>
    <row r="115" spans="1:13" x14ac:dyDescent="0.25">
      <c r="A115" t="s">
        <v>252</v>
      </c>
      <c r="B115" t="s">
        <v>17</v>
      </c>
      <c r="C115">
        <v>60</v>
      </c>
      <c r="D115" t="s">
        <v>46</v>
      </c>
      <c r="E115" t="s">
        <v>23</v>
      </c>
      <c r="F115" t="s">
        <v>47</v>
      </c>
      <c r="G115">
        <v>2543132</v>
      </c>
      <c r="H115">
        <f t="shared" ca="1" si="1"/>
        <v>196</v>
      </c>
      <c r="I115">
        <v>32.520000000000003</v>
      </c>
      <c r="J115">
        <v>1.99</v>
      </c>
      <c r="K115" t="s">
        <v>253</v>
      </c>
      <c r="L115">
        <f>_INVESTEMENTDATA[[#This Row],[Investment_Amount]]*0.18</f>
        <v>457763.76</v>
      </c>
      <c r="M115">
        <f>_INVESTEMENTDATA[[#This Row],[Investment_Amount]]*0.18*25</f>
        <v>11444094</v>
      </c>
    </row>
    <row r="116" spans="1:13" x14ac:dyDescent="0.25">
      <c r="A116" t="s">
        <v>254</v>
      </c>
      <c r="B116" t="s">
        <v>17</v>
      </c>
      <c r="C116">
        <v>49</v>
      </c>
      <c r="D116" t="s">
        <v>38</v>
      </c>
      <c r="E116" t="s">
        <v>29</v>
      </c>
      <c r="F116" t="s">
        <v>20</v>
      </c>
      <c r="G116">
        <v>418894</v>
      </c>
      <c r="H116">
        <f t="shared" ca="1" si="1"/>
        <v>105</v>
      </c>
      <c r="I116">
        <v>33.49</v>
      </c>
      <c r="J116">
        <v>30.34</v>
      </c>
      <c r="K116" t="s">
        <v>255</v>
      </c>
      <c r="L116">
        <f>_INVESTEMENTDATA[[#This Row],[Investment_Amount]]*0.18</f>
        <v>75400.92</v>
      </c>
      <c r="M116">
        <f>_INVESTEMENTDATA[[#This Row],[Investment_Amount]]*0.18*25</f>
        <v>1885023</v>
      </c>
    </row>
    <row r="117" spans="1:13" x14ac:dyDescent="0.25">
      <c r="A117" t="s">
        <v>256</v>
      </c>
      <c r="B117" t="s">
        <v>17</v>
      </c>
      <c r="C117">
        <v>55</v>
      </c>
      <c r="D117" t="s">
        <v>38</v>
      </c>
      <c r="E117" t="s">
        <v>29</v>
      </c>
      <c r="F117" t="s">
        <v>14</v>
      </c>
      <c r="G117">
        <v>4246257</v>
      </c>
      <c r="H117">
        <f t="shared" ca="1" si="1"/>
        <v>323</v>
      </c>
      <c r="I117">
        <v>7.13</v>
      </c>
      <c r="J117">
        <v>6.87</v>
      </c>
      <c r="K117" t="s">
        <v>257</v>
      </c>
      <c r="L117">
        <f>_INVESTEMENTDATA[[#This Row],[Investment_Amount]]*0.18</f>
        <v>764326.26</v>
      </c>
      <c r="M117">
        <f>_INVESTEMENTDATA[[#This Row],[Investment_Amount]]*0.18*25</f>
        <v>19108156.5</v>
      </c>
    </row>
    <row r="118" spans="1:13" x14ac:dyDescent="0.25">
      <c r="A118" t="s">
        <v>258</v>
      </c>
      <c r="B118" t="s">
        <v>17</v>
      </c>
      <c r="C118">
        <v>33</v>
      </c>
      <c r="D118" t="s">
        <v>12</v>
      </c>
      <c r="E118" t="s">
        <v>13</v>
      </c>
      <c r="F118" t="s">
        <v>41</v>
      </c>
      <c r="G118">
        <v>471277</v>
      </c>
      <c r="H118">
        <f t="shared" ca="1" si="1"/>
        <v>149</v>
      </c>
      <c r="I118">
        <v>22.31</v>
      </c>
      <c r="J118">
        <v>4.05</v>
      </c>
      <c r="K118" t="s">
        <v>259</v>
      </c>
      <c r="L118">
        <f>_INVESTEMENTDATA[[#This Row],[Investment_Amount]]*0.18</f>
        <v>84829.86</v>
      </c>
      <c r="M118">
        <f>_INVESTEMENTDATA[[#This Row],[Investment_Amount]]*0.18*25</f>
        <v>2120746.5</v>
      </c>
    </row>
    <row r="119" spans="1:13" x14ac:dyDescent="0.25">
      <c r="A119" t="s">
        <v>260</v>
      </c>
      <c r="B119" t="s">
        <v>17</v>
      </c>
      <c r="C119">
        <v>45</v>
      </c>
      <c r="D119" t="s">
        <v>28</v>
      </c>
      <c r="E119" t="s">
        <v>13</v>
      </c>
      <c r="F119" t="s">
        <v>20</v>
      </c>
      <c r="G119">
        <v>2729193</v>
      </c>
      <c r="H119">
        <f t="shared" ca="1" si="1"/>
        <v>274</v>
      </c>
      <c r="I119">
        <v>20.3</v>
      </c>
      <c r="J119">
        <v>34.409999999999997</v>
      </c>
      <c r="K119" t="s">
        <v>261</v>
      </c>
      <c r="L119">
        <f>_INVESTEMENTDATA[[#This Row],[Investment_Amount]]*0.18</f>
        <v>491254.74</v>
      </c>
      <c r="M119">
        <f>_INVESTEMENTDATA[[#This Row],[Investment_Amount]]*0.18*25</f>
        <v>12281368.5</v>
      </c>
    </row>
    <row r="120" spans="1:13" x14ac:dyDescent="0.25">
      <c r="A120" t="s">
        <v>262</v>
      </c>
      <c r="B120" t="s">
        <v>11</v>
      </c>
      <c r="C120">
        <v>56</v>
      </c>
      <c r="D120" t="s">
        <v>38</v>
      </c>
      <c r="E120" t="s">
        <v>50</v>
      </c>
      <c r="F120" t="s">
        <v>20</v>
      </c>
      <c r="G120">
        <v>4233228</v>
      </c>
      <c r="H120">
        <f t="shared" ca="1" si="1"/>
        <v>164</v>
      </c>
      <c r="I120">
        <v>8</v>
      </c>
      <c r="J120">
        <v>-7.9</v>
      </c>
      <c r="K120" t="s">
        <v>263</v>
      </c>
      <c r="L120">
        <f>_INVESTEMENTDATA[[#This Row],[Investment_Amount]]*0.18</f>
        <v>761981.03999999992</v>
      </c>
      <c r="M120">
        <f>_INVESTEMENTDATA[[#This Row],[Investment_Amount]]*0.18*25</f>
        <v>19049525.999999996</v>
      </c>
    </row>
    <row r="121" spans="1:13" x14ac:dyDescent="0.25">
      <c r="A121" t="s">
        <v>264</v>
      </c>
      <c r="B121" t="s">
        <v>11</v>
      </c>
      <c r="C121">
        <v>26</v>
      </c>
      <c r="D121" t="s">
        <v>12</v>
      </c>
      <c r="E121" t="s">
        <v>50</v>
      </c>
      <c r="F121" t="s">
        <v>14</v>
      </c>
      <c r="G121">
        <v>1181365</v>
      </c>
      <c r="H121">
        <f t="shared" ca="1" si="1"/>
        <v>152</v>
      </c>
      <c r="I121">
        <v>15.27</v>
      </c>
      <c r="J121">
        <v>43.23</v>
      </c>
      <c r="K121" t="s">
        <v>265</v>
      </c>
      <c r="L121">
        <f>_INVESTEMENTDATA[[#This Row],[Investment_Amount]]*0.18</f>
        <v>212645.69999999998</v>
      </c>
      <c r="M121">
        <f>_INVESTEMENTDATA[[#This Row],[Investment_Amount]]*0.18*25</f>
        <v>5316142.5</v>
      </c>
    </row>
    <row r="122" spans="1:13" x14ac:dyDescent="0.25">
      <c r="A122" t="s">
        <v>266</v>
      </c>
      <c r="B122" t="s">
        <v>11</v>
      </c>
      <c r="C122">
        <v>40</v>
      </c>
      <c r="D122" t="s">
        <v>18</v>
      </c>
      <c r="E122" t="s">
        <v>23</v>
      </c>
      <c r="F122" t="s">
        <v>35</v>
      </c>
      <c r="G122">
        <v>2072807</v>
      </c>
      <c r="H122">
        <f t="shared" ca="1" si="1"/>
        <v>123</v>
      </c>
      <c r="I122">
        <v>17.190000000000001</v>
      </c>
      <c r="J122">
        <v>-8.1300000000000008</v>
      </c>
      <c r="K122" t="s">
        <v>267</v>
      </c>
      <c r="L122">
        <f>_INVESTEMENTDATA[[#This Row],[Investment_Amount]]*0.18</f>
        <v>373105.26</v>
      </c>
      <c r="M122">
        <f>_INVESTEMENTDATA[[#This Row],[Investment_Amount]]*0.18*25</f>
        <v>9327631.5</v>
      </c>
    </row>
    <row r="123" spans="1:13" x14ac:dyDescent="0.25">
      <c r="A123" t="s">
        <v>268</v>
      </c>
      <c r="B123" t="s">
        <v>11</v>
      </c>
      <c r="C123">
        <v>51</v>
      </c>
      <c r="D123" t="s">
        <v>18</v>
      </c>
      <c r="E123" t="s">
        <v>13</v>
      </c>
      <c r="F123" t="s">
        <v>41</v>
      </c>
      <c r="G123">
        <v>2476536</v>
      </c>
      <c r="H123">
        <f t="shared" ca="1" si="1"/>
        <v>152</v>
      </c>
      <c r="I123">
        <v>12.84</v>
      </c>
      <c r="J123">
        <v>39.369999999999997</v>
      </c>
      <c r="K123" t="s">
        <v>269</v>
      </c>
      <c r="L123">
        <f>_INVESTEMENTDATA[[#This Row],[Investment_Amount]]*0.18</f>
        <v>445776.48</v>
      </c>
      <c r="M123">
        <f>_INVESTEMENTDATA[[#This Row],[Investment_Amount]]*0.18*25</f>
        <v>11144412</v>
      </c>
    </row>
    <row r="124" spans="1:13" x14ac:dyDescent="0.25">
      <c r="A124" t="s">
        <v>270</v>
      </c>
      <c r="B124" t="s">
        <v>11</v>
      </c>
      <c r="C124">
        <v>32</v>
      </c>
      <c r="D124" t="s">
        <v>38</v>
      </c>
      <c r="E124" t="s">
        <v>50</v>
      </c>
      <c r="F124" t="s">
        <v>30</v>
      </c>
      <c r="G124">
        <v>3828023</v>
      </c>
      <c r="H124">
        <f t="shared" ca="1" si="1"/>
        <v>137</v>
      </c>
      <c r="I124">
        <v>15.28</v>
      </c>
      <c r="J124">
        <v>4.76</v>
      </c>
      <c r="K124" t="s">
        <v>271</v>
      </c>
      <c r="L124">
        <f>_INVESTEMENTDATA[[#This Row],[Investment_Amount]]*0.18</f>
        <v>689044.14</v>
      </c>
      <c r="M124">
        <f>_INVESTEMENTDATA[[#This Row],[Investment_Amount]]*0.18*25</f>
        <v>17226103.5</v>
      </c>
    </row>
    <row r="125" spans="1:13" x14ac:dyDescent="0.25">
      <c r="A125" t="s">
        <v>272</v>
      </c>
      <c r="B125" t="s">
        <v>17</v>
      </c>
      <c r="C125">
        <v>29</v>
      </c>
      <c r="D125" t="s">
        <v>18</v>
      </c>
      <c r="E125" t="s">
        <v>57</v>
      </c>
      <c r="F125" t="s">
        <v>47</v>
      </c>
      <c r="G125">
        <v>528100</v>
      </c>
      <c r="H125">
        <f t="shared" ca="1" si="1"/>
        <v>55</v>
      </c>
      <c r="I125">
        <v>10.42</v>
      </c>
      <c r="J125">
        <v>18.75</v>
      </c>
      <c r="K125" t="s">
        <v>273</v>
      </c>
      <c r="L125">
        <f>_INVESTEMENTDATA[[#This Row],[Investment_Amount]]*0.18</f>
        <v>95058</v>
      </c>
      <c r="M125">
        <f>_INVESTEMENTDATA[[#This Row],[Investment_Amount]]*0.18*25</f>
        <v>2376450</v>
      </c>
    </row>
    <row r="126" spans="1:13" x14ac:dyDescent="0.25">
      <c r="A126" t="s">
        <v>274</v>
      </c>
      <c r="B126" t="s">
        <v>17</v>
      </c>
      <c r="C126">
        <v>42</v>
      </c>
      <c r="D126" t="s">
        <v>18</v>
      </c>
      <c r="E126" t="s">
        <v>57</v>
      </c>
      <c r="F126" t="s">
        <v>41</v>
      </c>
      <c r="G126">
        <v>4171180</v>
      </c>
      <c r="H126">
        <f t="shared" ca="1" si="1"/>
        <v>182</v>
      </c>
      <c r="I126">
        <v>5.09</v>
      </c>
      <c r="J126">
        <v>20.73</v>
      </c>
      <c r="K126" t="s">
        <v>261</v>
      </c>
      <c r="L126">
        <f>_INVESTEMENTDATA[[#This Row],[Investment_Amount]]*0.18</f>
        <v>750812.4</v>
      </c>
      <c r="M126">
        <f>_INVESTEMENTDATA[[#This Row],[Investment_Amount]]*0.18*25</f>
        <v>18770310</v>
      </c>
    </row>
    <row r="127" spans="1:13" x14ac:dyDescent="0.25">
      <c r="A127" t="s">
        <v>275</v>
      </c>
      <c r="B127" t="s">
        <v>17</v>
      </c>
      <c r="C127">
        <v>39</v>
      </c>
      <c r="D127" t="s">
        <v>28</v>
      </c>
      <c r="E127" t="s">
        <v>50</v>
      </c>
      <c r="F127" t="s">
        <v>41</v>
      </c>
      <c r="G127">
        <v>1030809</v>
      </c>
      <c r="H127">
        <f t="shared" ca="1" si="1"/>
        <v>15</v>
      </c>
      <c r="I127">
        <v>24.59</v>
      </c>
      <c r="J127">
        <v>4.9000000000000004</v>
      </c>
      <c r="K127" t="s">
        <v>238</v>
      </c>
      <c r="L127">
        <f>_INVESTEMENTDATA[[#This Row],[Investment_Amount]]*0.18</f>
        <v>185545.62</v>
      </c>
      <c r="M127">
        <f>_INVESTEMENTDATA[[#This Row],[Investment_Amount]]*0.18*25</f>
        <v>4638640.5</v>
      </c>
    </row>
    <row r="128" spans="1:13" x14ac:dyDescent="0.25">
      <c r="A128" t="s">
        <v>276</v>
      </c>
      <c r="B128" t="s">
        <v>11</v>
      </c>
      <c r="C128">
        <v>38</v>
      </c>
      <c r="D128" t="s">
        <v>28</v>
      </c>
      <c r="E128" t="s">
        <v>29</v>
      </c>
      <c r="F128" t="s">
        <v>20</v>
      </c>
      <c r="G128">
        <v>4220164</v>
      </c>
      <c r="H128">
        <f t="shared" ca="1" si="1"/>
        <v>42</v>
      </c>
      <c r="I128">
        <v>5.33</v>
      </c>
      <c r="J128">
        <v>-3.43</v>
      </c>
      <c r="K128" t="s">
        <v>277</v>
      </c>
      <c r="L128">
        <f>_INVESTEMENTDATA[[#This Row],[Investment_Amount]]*0.18</f>
        <v>759629.52</v>
      </c>
      <c r="M128">
        <f>_INVESTEMENTDATA[[#This Row],[Investment_Amount]]*0.18*25</f>
        <v>18990738</v>
      </c>
    </row>
    <row r="129" spans="1:13" x14ac:dyDescent="0.25">
      <c r="A129" t="s">
        <v>278</v>
      </c>
      <c r="B129" t="s">
        <v>11</v>
      </c>
      <c r="C129">
        <v>44</v>
      </c>
      <c r="D129" t="s">
        <v>38</v>
      </c>
      <c r="E129" t="s">
        <v>23</v>
      </c>
      <c r="F129" t="s">
        <v>30</v>
      </c>
      <c r="G129">
        <v>2016758</v>
      </c>
      <c r="H129">
        <f t="shared" ca="1" si="1"/>
        <v>310</v>
      </c>
      <c r="I129">
        <v>31.67</v>
      </c>
      <c r="J129">
        <v>13.85</v>
      </c>
      <c r="K129" t="s">
        <v>279</v>
      </c>
      <c r="L129">
        <f>_INVESTEMENTDATA[[#This Row],[Investment_Amount]]*0.18</f>
        <v>363016.44</v>
      </c>
      <c r="M129">
        <f>_INVESTEMENTDATA[[#This Row],[Investment_Amount]]*0.18*25</f>
        <v>9075411</v>
      </c>
    </row>
    <row r="130" spans="1:13" x14ac:dyDescent="0.25">
      <c r="A130" t="s">
        <v>280</v>
      </c>
      <c r="B130" t="s">
        <v>17</v>
      </c>
      <c r="C130">
        <v>38</v>
      </c>
      <c r="D130" t="s">
        <v>46</v>
      </c>
      <c r="E130" t="s">
        <v>57</v>
      </c>
      <c r="F130" t="s">
        <v>47</v>
      </c>
      <c r="G130">
        <v>4184208</v>
      </c>
      <c r="H130">
        <f t="shared" ref="H130:H193" ca="1" si="2">RANDBETWEEN(7,365)</f>
        <v>47</v>
      </c>
      <c r="I130">
        <v>21.06</v>
      </c>
      <c r="J130">
        <v>-0.67</v>
      </c>
      <c r="K130" t="s">
        <v>281</v>
      </c>
      <c r="L130">
        <f>_INVESTEMENTDATA[[#This Row],[Investment_Amount]]*0.18</f>
        <v>753157.44</v>
      </c>
      <c r="M130">
        <f>_INVESTEMENTDATA[[#This Row],[Investment_Amount]]*0.18*25</f>
        <v>18828936</v>
      </c>
    </row>
    <row r="131" spans="1:13" x14ac:dyDescent="0.25">
      <c r="A131" t="s">
        <v>282</v>
      </c>
      <c r="B131" t="s">
        <v>11</v>
      </c>
      <c r="C131">
        <v>36</v>
      </c>
      <c r="D131" t="s">
        <v>28</v>
      </c>
      <c r="E131" t="s">
        <v>13</v>
      </c>
      <c r="F131" t="s">
        <v>14</v>
      </c>
      <c r="G131">
        <v>4831877</v>
      </c>
      <c r="H131">
        <f t="shared" ca="1" si="2"/>
        <v>213</v>
      </c>
      <c r="I131">
        <v>16.79</v>
      </c>
      <c r="J131">
        <v>22.8</v>
      </c>
      <c r="K131" t="s">
        <v>283</v>
      </c>
      <c r="L131">
        <f>_INVESTEMENTDATA[[#This Row],[Investment_Amount]]*0.18</f>
        <v>869737.86</v>
      </c>
      <c r="M131">
        <f>_INVESTEMENTDATA[[#This Row],[Investment_Amount]]*0.18*25</f>
        <v>21743446.5</v>
      </c>
    </row>
    <row r="132" spans="1:13" x14ac:dyDescent="0.25">
      <c r="A132" t="s">
        <v>284</v>
      </c>
      <c r="B132" t="s">
        <v>11</v>
      </c>
      <c r="C132">
        <v>50</v>
      </c>
      <c r="D132" t="s">
        <v>38</v>
      </c>
      <c r="E132" t="s">
        <v>13</v>
      </c>
      <c r="F132" t="s">
        <v>14</v>
      </c>
      <c r="G132">
        <v>870774</v>
      </c>
      <c r="H132">
        <f t="shared" ca="1" si="2"/>
        <v>338</v>
      </c>
      <c r="I132">
        <v>27.77</v>
      </c>
      <c r="J132">
        <v>16.84</v>
      </c>
      <c r="K132" t="s">
        <v>285</v>
      </c>
      <c r="L132">
        <f>_INVESTEMENTDATA[[#This Row],[Investment_Amount]]*0.18</f>
        <v>156739.32</v>
      </c>
      <c r="M132">
        <f>_INVESTEMENTDATA[[#This Row],[Investment_Amount]]*0.18*25</f>
        <v>3918483</v>
      </c>
    </row>
    <row r="133" spans="1:13" x14ac:dyDescent="0.25">
      <c r="A133" t="s">
        <v>286</v>
      </c>
      <c r="B133" t="s">
        <v>11</v>
      </c>
      <c r="C133">
        <v>50</v>
      </c>
      <c r="D133" t="s">
        <v>18</v>
      </c>
      <c r="E133" t="s">
        <v>19</v>
      </c>
      <c r="F133" t="s">
        <v>14</v>
      </c>
      <c r="G133">
        <v>2404007</v>
      </c>
      <c r="H133">
        <f t="shared" ca="1" si="2"/>
        <v>62</v>
      </c>
      <c r="I133">
        <v>15.51</v>
      </c>
      <c r="J133">
        <v>-7.38</v>
      </c>
      <c r="K133" t="s">
        <v>287</v>
      </c>
      <c r="L133">
        <f>_INVESTEMENTDATA[[#This Row],[Investment_Amount]]*0.18</f>
        <v>432721.26</v>
      </c>
      <c r="M133">
        <f>_INVESTEMENTDATA[[#This Row],[Investment_Amount]]*0.18*25</f>
        <v>10818031.5</v>
      </c>
    </row>
    <row r="134" spans="1:13" x14ac:dyDescent="0.25">
      <c r="A134" t="s">
        <v>288</v>
      </c>
      <c r="B134" t="s">
        <v>11</v>
      </c>
      <c r="C134">
        <v>62</v>
      </c>
      <c r="D134" t="s">
        <v>38</v>
      </c>
      <c r="E134" t="s">
        <v>19</v>
      </c>
      <c r="F134" t="s">
        <v>41</v>
      </c>
      <c r="G134">
        <v>3680693</v>
      </c>
      <c r="H134">
        <f t="shared" ca="1" si="2"/>
        <v>249</v>
      </c>
      <c r="I134">
        <v>6.22</v>
      </c>
      <c r="J134">
        <v>17</v>
      </c>
      <c r="K134" t="s">
        <v>289</v>
      </c>
      <c r="L134">
        <f>_INVESTEMENTDATA[[#This Row],[Investment_Amount]]*0.18</f>
        <v>662524.74</v>
      </c>
      <c r="M134">
        <f>_INVESTEMENTDATA[[#This Row],[Investment_Amount]]*0.18*25</f>
        <v>16563118.5</v>
      </c>
    </row>
    <row r="135" spans="1:13" x14ac:dyDescent="0.25">
      <c r="A135" t="s">
        <v>290</v>
      </c>
      <c r="B135" t="s">
        <v>11</v>
      </c>
      <c r="C135">
        <v>30</v>
      </c>
      <c r="D135" t="s">
        <v>28</v>
      </c>
      <c r="E135" t="s">
        <v>13</v>
      </c>
      <c r="F135" t="s">
        <v>47</v>
      </c>
      <c r="G135">
        <v>4479224</v>
      </c>
      <c r="H135">
        <f t="shared" ca="1" si="2"/>
        <v>9</v>
      </c>
      <c r="I135">
        <v>21.88</v>
      </c>
      <c r="J135">
        <v>25.37</v>
      </c>
      <c r="K135" t="s">
        <v>291</v>
      </c>
      <c r="L135">
        <f>_INVESTEMENTDATA[[#This Row],[Investment_Amount]]*0.18</f>
        <v>806260.32</v>
      </c>
      <c r="M135">
        <f>_INVESTEMENTDATA[[#This Row],[Investment_Amount]]*0.18*25</f>
        <v>20156508</v>
      </c>
    </row>
    <row r="136" spans="1:13" x14ac:dyDescent="0.25">
      <c r="A136" t="s">
        <v>292</v>
      </c>
      <c r="B136" t="s">
        <v>11</v>
      </c>
      <c r="C136">
        <v>26</v>
      </c>
      <c r="D136" t="s">
        <v>28</v>
      </c>
      <c r="E136" t="s">
        <v>19</v>
      </c>
      <c r="F136" t="s">
        <v>14</v>
      </c>
      <c r="G136">
        <v>2339474</v>
      </c>
      <c r="H136">
        <f t="shared" ca="1" si="2"/>
        <v>99</v>
      </c>
      <c r="I136">
        <v>11.06</v>
      </c>
      <c r="J136">
        <v>12.3</v>
      </c>
      <c r="K136" t="s">
        <v>293</v>
      </c>
      <c r="L136">
        <f>_INVESTEMENTDATA[[#This Row],[Investment_Amount]]*0.18</f>
        <v>421105.32</v>
      </c>
      <c r="M136">
        <f>_INVESTEMENTDATA[[#This Row],[Investment_Amount]]*0.18*25</f>
        <v>10527633</v>
      </c>
    </row>
    <row r="137" spans="1:13" x14ac:dyDescent="0.25">
      <c r="A137" t="s">
        <v>294</v>
      </c>
      <c r="B137" t="s">
        <v>11</v>
      </c>
      <c r="C137">
        <v>31</v>
      </c>
      <c r="D137" t="s">
        <v>38</v>
      </c>
      <c r="E137" t="s">
        <v>29</v>
      </c>
      <c r="F137" t="s">
        <v>35</v>
      </c>
      <c r="G137">
        <v>1193325</v>
      </c>
      <c r="H137">
        <f t="shared" ca="1" si="2"/>
        <v>274</v>
      </c>
      <c r="I137">
        <v>29.86</v>
      </c>
      <c r="J137">
        <v>20.07</v>
      </c>
      <c r="K137" t="s">
        <v>295</v>
      </c>
      <c r="L137">
        <f>_INVESTEMENTDATA[[#This Row],[Investment_Amount]]*0.18</f>
        <v>214798.5</v>
      </c>
      <c r="M137">
        <f>_INVESTEMENTDATA[[#This Row],[Investment_Amount]]*0.18*25</f>
        <v>5369962.5</v>
      </c>
    </row>
    <row r="138" spans="1:13" x14ac:dyDescent="0.25">
      <c r="A138" t="s">
        <v>296</v>
      </c>
      <c r="B138" t="s">
        <v>11</v>
      </c>
      <c r="C138">
        <v>46</v>
      </c>
      <c r="D138" t="s">
        <v>38</v>
      </c>
      <c r="E138" t="s">
        <v>13</v>
      </c>
      <c r="F138" t="s">
        <v>14</v>
      </c>
      <c r="G138">
        <v>1983198</v>
      </c>
      <c r="H138">
        <f t="shared" ca="1" si="2"/>
        <v>186</v>
      </c>
      <c r="I138">
        <v>17.09</v>
      </c>
      <c r="J138">
        <v>-0.16</v>
      </c>
      <c r="K138" t="s">
        <v>297</v>
      </c>
      <c r="L138">
        <f>_INVESTEMENTDATA[[#This Row],[Investment_Amount]]*0.18</f>
        <v>356975.64</v>
      </c>
      <c r="M138">
        <f>_INVESTEMENTDATA[[#This Row],[Investment_Amount]]*0.18*25</f>
        <v>8924391</v>
      </c>
    </row>
    <row r="139" spans="1:13" x14ac:dyDescent="0.25">
      <c r="A139" t="s">
        <v>298</v>
      </c>
      <c r="B139" t="s">
        <v>17</v>
      </c>
      <c r="C139">
        <v>62</v>
      </c>
      <c r="D139" t="s">
        <v>28</v>
      </c>
      <c r="E139" t="s">
        <v>13</v>
      </c>
      <c r="F139" t="s">
        <v>20</v>
      </c>
      <c r="G139">
        <v>1389344</v>
      </c>
      <c r="H139">
        <f t="shared" ca="1" si="2"/>
        <v>10</v>
      </c>
      <c r="I139">
        <v>16.2</v>
      </c>
      <c r="J139">
        <v>30.38</v>
      </c>
      <c r="K139" t="s">
        <v>299</v>
      </c>
      <c r="L139">
        <f>_INVESTEMENTDATA[[#This Row],[Investment_Amount]]*0.18</f>
        <v>250081.91999999998</v>
      </c>
      <c r="M139">
        <f>_INVESTEMENTDATA[[#This Row],[Investment_Amount]]*0.18*25</f>
        <v>6252048</v>
      </c>
    </row>
    <row r="140" spans="1:13" x14ac:dyDescent="0.25">
      <c r="A140" t="s">
        <v>300</v>
      </c>
      <c r="B140" t="s">
        <v>17</v>
      </c>
      <c r="C140">
        <v>37</v>
      </c>
      <c r="D140" t="s">
        <v>28</v>
      </c>
      <c r="E140" t="s">
        <v>13</v>
      </c>
      <c r="F140" t="s">
        <v>41</v>
      </c>
      <c r="G140">
        <v>1472920</v>
      </c>
      <c r="H140">
        <f t="shared" ca="1" si="2"/>
        <v>57</v>
      </c>
      <c r="I140">
        <v>19.05</v>
      </c>
      <c r="J140">
        <v>-2.17</v>
      </c>
      <c r="K140" t="s">
        <v>301</v>
      </c>
      <c r="L140">
        <f>_INVESTEMENTDATA[[#This Row],[Investment_Amount]]*0.18</f>
        <v>265125.59999999998</v>
      </c>
      <c r="M140">
        <f>_INVESTEMENTDATA[[#This Row],[Investment_Amount]]*0.18*25</f>
        <v>6628139.9999999991</v>
      </c>
    </row>
    <row r="141" spans="1:13" x14ac:dyDescent="0.25">
      <c r="A141" t="s">
        <v>302</v>
      </c>
      <c r="B141" t="s">
        <v>11</v>
      </c>
      <c r="C141">
        <v>42</v>
      </c>
      <c r="D141" t="s">
        <v>38</v>
      </c>
      <c r="E141" t="s">
        <v>19</v>
      </c>
      <c r="F141" t="s">
        <v>41</v>
      </c>
      <c r="G141">
        <v>4178740</v>
      </c>
      <c r="H141">
        <f t="shared" ca="1" si="2"/>
        <v>63</v>
      </c>
      <c r="I141">
        <v>26.21</v>
      </c>
      <c r="J141">
        <v>40.92</v>
      </c>
      <c r="K141" t="s">
        <v>303</v>
      </c>
      <c r="L141">
        <f>_INVESTEMENTDATA[[#This Row],[Investment_Amount]]*0.18</f>
        <v>752173.2</v>
      </c>
      <c r="M141">
        <f>_INVESTEMENTDATA[[#This Row],[Investment_Amount]]*0.18*25</f>
        <v>18804330</v>
      </c>
    </row>
    <row r="142" spans="1:13" x14ac:dyDescent="0.25">
      <c r="A142" t="s">
        <v>304</v>
      </c>
      <c r="B142" t="s">
        <v>11</v>
      </c>
      <c r="C142">
        <v>44</v>
      </c>
      <c r="D142" t="s">
        <v>38</v>
      </c>
      <c r="E142" t="s">
        <v>57</v>
      </c>
      <c r="F142" t="s">
        <v>30</v>
      </c>
      <c r="G142">
        <v>612088</v>
      </c>
      <c r="H142">
        <f t="shared" ca="1" si="2"/>
        <v>182</v>
      </c>
      <c r="I142">
        <v>30.24</v>
      </c>
      <c r="J142">
        <v>24.11</v>
      </c>
      <c r="K142" t="s">
        <v>305</v>
      </c>
      <c r="L142">
        <f>_INVESTEMENTDATA[[#This Row],[Investment_Amount]]*0.18</f>
        <v>110175.84</v>
      </c>
      <c r="M142">
        <f>_INVESTEMENTDATA[[#This Row],[Investment_Amount]]*0.18*25</f>
        <v>2754396</v>
      </c>
    </row>
    <row r="143" spans="1:13" x14ac:dyDescent="0.25">
      <c r="A143" t="s">
        <v>306</v>
      </c>
      <c r="B143" t="s">
        <v>17</v>
      </c>
      <c r="C143">
        <v>55</v>
      </c>
      <c r="D143" t="s">
        <v>38</v>
      </c>
      <c r="E143" t="s">
        <v>50</v>
      </c>
      <c r="F143" t="s">
        <v>14</v>
      </c>
      <c r="G143">
        <v>3335486</v>
      </c>
      <c r="H143">
        <f t="shared" ca="1" si="2"/>
        <v>12</v>
      </c>
      <c r="I143">
        <v>17.79</v>
      </c>
      <c r="J143">
        <v>17.98</v>
      </c>
      <c r="K143" t="s">
        <v>247</v>
      </c>
      <c r="L143">
        <f>_INVESTEMENTDATA[[#This Row],[Investment_Amount]]*0.18</f>
        <v>600387.48</v>
      </c>
      <c r="M143">
        <f>_INVESTEMENTDATA[[#This Row],[Investment_Amount]]*0.18*25</f>
        <v>15009687</v>
      </c>
    </row>
    <row r="144" spans="1:13" x14ac:dyDescent="0.25">
      <c r="A144" t="s">
        <v>307</v>
      </c>
      <c r="B144" t="s">
        <v>17</v>
      </c>
      <c r="C144">
        <v>39</v>
      </c>
      <c r="D144" t="s">
        <v>46</v>
      </c>
      <c r="E144" t="s">
        <v>19</v>
      </c>
      <c r="F144" t="s">
        <v>41</v>
      </c>
      <c r="G144">
        <v>2891260</v>
      </c>
      <c r="H144">
        <f t="shared" ca="1" si="2"/>
        <v>42</v>
      </c>
      <c r="I144">
        <v>30.84</v>
      </c>
      <c r="J144">
        <v>24.54</v>
      </c>
      <c r="K144" t="s">
        <v>308</v>
      </c>
      <c r="L144">
        <f>_INVESTEMENTDATA[[#This Row],[Investment_Amount]]*0.18</f>
        <v>520426.8</v>
      </c>
      <c r="M144">
        <f>_INVESTEMENTDATA[[#This Row],[Investment_Amount]]*0.18*25</f>
        <v>13010670</v>
      </c>
    </row>
    <row r="145" spans="1:13" x14ac:dyDescent="0.25">
      <c r="A145" t="s">
        <v>309</v>
      </c>
      <c r="B145" t="s">
        <v>17</v>
      </c>
      <c r="C145">
        <v>56</v>
      </c>
      <c r="D145" t="s">
        <v>28</v>
      </c>
      <c r="E145" t="s">
        <v>19</v>
      </c>
      <c r="F145" t="s">
        <v>35</v>
      </c>
      <c r="G145">
        <v>2460750</v>
      </c>
      <c r="H145">
        <f t="shared" ca="1" si="2"/>
        <v>75</v>
      </c>
      <c r="I145">
        <v>31.71</v>
      </c>
      <c r="J145">
        <v>-9.4600000000000009</v>
      </c>
      <c r="K145" t="s">
        <v>310</v>
      </c>
      <c r="L145">
        <f>_INVESTEMENTDATA[[#This Row],[Investment_Amount]]*0.18</f>
        <v>442935</v>
      </c>
      <c r="M145">
        <f>_INVESTEMENTDATA[[#This Row],[Investment_Amount]]*0.18*25</f>
        <v>11073375</v>
      </c>
    </row>
    <row r="146" spans="1:13" x14ac:dyDescent="0.25">
      <c r="A146" t="s">
        <v>311</v>
      </c>
      <c r="B146" t="s">
        <v>17</v>
      </c>
      <c r="C146">
        <v>45</v>
      </c>
      <c r="D146" t="s">
        <v>28</v>
      </c>
      <c r="E146" t="s">
        <v>29</v>
      </c>
      <c r="F146" t="s">
        <v>30</v>
      </c>
      <c r="G146">
        <v>2010712</v>
      </c>
      <c r="H146">
        <f t="shared" ca="1" si="2"/>
        <v>90</v>
      </c>
      <c r="I146">
        <v>29.26</v>
      </c>
      <c r="J146">
        <v>0.95</v>
      </c>
      <c r="K146" t="s">
        <v>312</v>
      </c>
      <c r="L146">
        <f>_INVESTEMENTDATA[[#This Row],[Investment_Amount]]*0.18</f>
        <v>361928.16</v>
      </c>
      <c r="M146">
        <f>_INVESTEMENTDATA[[#This Row],[Investment_Amount]]*0.18*25</f>
        <v>9048204</v>
      </c>
    </row>
    <row r="147" spans="1:13" x14ac:dyDescent="0.25">
      <c r="A147" t="s">
        <v>313</v>
      </c>
      <c r="B147" t="s">
        <v>17</v>
      </c>
      <c r="C147">
        <v>52</v>
      </c>
      <c r="D147" t="s">
        <v>18</v>
      </c>
      <c r="E147" t="s">
        <v>13</v>
      </c>
      <c r="F147" t="s">
        <v>35</v>
      </c>
      <c r="G147">
        <v>262255</v>
      </c>
      <c r="H147">
        <f t="shared" ca="1" si="2"/>
        <v>100</v>
      </c>
      <c r="I147">
        <v>18.97</v>
      </c>
      <c r="J147">
        <v>31.43</v>
      </c>
      <c r="K147" t="s">
        <v>314</v>
      </c>
      <c r="L147">
        <f>_INVESTEMENTDATA[[#This Row],[Investment_Amount]]*0.18</f>
        <v>47205.9</v>
      </c>
      <c r="M147">
        <f>_INVESTEMENTDATA[[#This Row],[Investment_Amount]]*0.18*25</f>
        <v>1180147.5</v>
      </c>
    </row>
    <row r="148" spans="1:13" x14ac:dyDescent="0.25">
      <c r="A148" t="s">
        <v>315</v>
      </c>
      <c r="B148" t="s">
        <v>11</v>
      </c>
      <c r="C148">
        <v>37</v>
      </c>
      <c r="D148" t="s">
        <v>12</v>
      </c>
      <c r="E148" t="s">
        <v>29</v>
      </c>
      <c r="F148" t="s">
        <v>47</v>
      </c>
      <c r="G148">
        <v>3652157</v>
      </c>
      <c r="H148">
        <f t="shared" ca="1" si="2"/>
        <v>293</v>
      </c>
      <c r="I148">
        <v>22.43</v>
      </c>
      <c r="J148">
        <v>27.93</v>
      </c>
      <c r="K148" t="s">
        <v>316</v>
      </c>
      <c r="L148">
        <f>_INVESTEMENTDATA[[#This Row],[Investment_Amount]]*0.18</f>
        <v>657388.26</v>
      </c>
      <c r="M148">
        <f>_INVESTEMENTDATA[[#This Row],[Investment_Amount]]*0.18*25</f>
        <v>16434706.5</v>
      </c>
    </row>
    <row r="149" spans="1:13" x14ac:dyDescent="0.25">
      <c r="A149" t="s">
        <v>317</v>
      </c>
      <c r="B149" t="s">
        <v>11</v>
      </c>
      <c r="C149">
        <v>61</v>
      </c>
      <c r="D149" t="s">
        <v>38</v>
      </c>
      <c r="E149" t="s">
        <v>23</v>
      </c>
      <c r="F149" t="s">
        <v>20</v>
      </c>
      <c r="G149">
        <v>1931016</v>
      </c>
      <c r="H149">
        <f t="shared" ca="1" si="2"/>
        <v>45</v>
      </c>
      <c r="I149">
        <v>34.42</v>
      </c>
      <c r="J149">
        <v>-3.36</v>
      </c>
      <c r="K149" t="s">
        <v>318</v>
      </c>
      <c r="L149">
        <f>_INVESTEMENTDATA[[#This Row],[Investment_Amount]]*0.18</f>
        <v>347582.88</v>
      </c>
      <c r="M149">
        <f>_INVESTEMENTDATA[[#This Row],[Investment_Amount]]*0.18*25</f>
        <v>8689572</v>
      </c>
    </row>
    <row r="150" spans="1:13" x14ac:dyDescent="0.25">
      <c r="A150" t="s">
        <v>319</v>
      </c>
      <c r="B150" t="s">
        <v>17</v>
      </c>
      <c r="C150">
        <v>47</v>
      </c>
      <c r="D150" t="s">
        <v>46</v>
      </c>
      <c r="E150" t="s">
        <v>13</v>
      </c>
      <c r="F150" t="s">
        <v>30</v>
      </c>
      <c r="G150">
        <v>3261746</v>
      </c>
      <c r="H150">
        <f t="shared" ca="1" si="2"/>
        <v>284</v>
      </c>
      <c r="I150">
        <v>33.630000000000003</v>
      </c>
      <c r="J150">
        <v>3.8</v>
      </c>
      <c r="K150" t="s">
        <v>320</v>
      </c>
      <c r="L150">
        <f>_INVESTEMENTDATA[[#This Row],[Investment_Amount]]*0.18</f>
        <v>587114.28</v>
      </c>
      <c r="M150">
        <f>_INVESTEMENTDATA[[#This Row],[Investment_Amount]]*0.18*25</f>
        <v>14677857</v>
      </c>
    </row>
    <row r="151" spans="1:13" x14ac:dyDescent="0.25">
      <c r="A151" t="s">
        <v>321</v>
      </c>
      <c r="B151" t="s">
        <v>11</v>
      </c>
      <c r="C151">
        <v>35</v>
      </c>
      <c r="D151" t="s">
        <v>18</v>
      </c>
      <c r="E151" t="s">
        <v>57</v>
      </c>
      <c r="F151" t="s">
        <v>14</v>
      </c>
      <c r="G151">
        <v>2408320</v>
      </c>
      <c r="H151">
        <f t="shared" ca="1" si="2"/>
        <v>7</v>
      </c>
      <c r="I151">
        <v>17.34</v>
      </c>
      <c r="J151">
        <v>19.45</v>
      </c>
      <c r="K151" t="s">
        <v>322</v>
      </c>
      <c r="L151">
        <f>_INVESTEMENTDATA[[#This Row],[Investment_Amount]]*0.18</f>
        <v>433497.59999999998</v>
      </c>
      <c r="M151">
        <f>_INVESTEMENTDATA[[#This Row],[Investment_Amount]]*0.18*25</f>
        <v>10837440</v>
      </c>
    </row>
    <row r="152" spans="1:13" x14ac:dyDescent="0.25">
      <c r="A152" t="s">
        <v>323</v>
      </c>
      <c r="B152" t="s">
        <v>11</v>
      </c>
      <c r="C152">
        <v>51</v>
      </c>
      <c r="D152" t="s">
        <v>28</v>
      </c>
      <c r="E152" t="s">
        <v>13</v>
      </c>
      <c r="F152" t="s">
        <v>41</v>
      </c>
      <c r="G152">
        <v>744391</v>
      </c>
      <c r="H152">
        <f t="shared" ca="1" si="2"/>
        <v>357</v>
      </c>
      <c r="I152">
        <v>21.08</v>
      </c>
      <c r="J152">
        <v>-1.63</v>
      </c>
      <c r="K152" t="s">
        <v>324</v>
      </c>
      <c r="L152">
        <f>_INVESTEMENTDATA[[#This Row],[Investment_Amount]]*0.18</f>
        <v>133990.38</v>
      </c>
      <c r="M152">
        <f>_INVESTEMENTDATA[[#This Row],[Investment_Amount]]*0.18*25</f>
        <v>3349759.5</v>
      </c>
    </row>
    <row r="153" spans="1:13" x14ac:dyDescent="0.25">
      <c r="A153" t="s">
        <v>325</v>
      </c>
      <c r="B153" t="s">
        <v>11</v>
      </c>
      <c r="C153">
        <v>40</v>
      </c>
      <c r="D153" t="s">
        <v>46</v>
      </c>
      <c r="E153" t="s">
        <v>57</v>
      </c>
      <c r="F153" t="s">
        <v>30</v>
      </c>
      <c r="G153">
        <v>1790998</v>
      </c>
      <c r="H153">
        <f t="shared" ca="1" si="2"/>
        <v>120</v>
      </c>
      <c r="I153">
        <v>22.12</v>
      </c>
      <c r="J153">
        <v>40.950000000000003</v>
      </c>
      <c r="K153" t="s">
        <v>326</v>
      </c>
      <c r="L153">
        <f>_INVESTEMENTDATA[[#This Row],[Investment_Amount]]*0.18</f>
        <v>322379.64</v>
      </c>
      <c r="M153">
        <f>_INVESTEMENTDATA[[#This Row],[Investment_Amount]]*0.18*25</f>
        <v>8059491</v>
      </c>
    </row>
    <row r="154" spans="1:13" x14ac:dyDescent="0.25">
      <c r="A154" t="s">
        <v>327</v>
      </c>
      <c r="B154" t="s">
        <v>17</v>
      </c>
      <c r="C154">
        <v>42</v>
      </c>
      <c r="D154" t="s">
        <v>18</v>
      </c>
      <c r="E154" t="s">
        <v>19</v>
      </c>
      <c r="F154" t="s">
        <v>35</v>
      </c>
      <c r="G154">
        <v>949551</v>
      </c>
      <c r="H154">
        <f t="shared" ca="1" si="2"/>
        <v>250</v>
      </c>
      <c r="I154">
        <v>17.02</v>
      </c>
      <c r="J154">
        <v>39.700000000000003</v>
      </c>
      <c r="K154" t="s">
        <v>328</v>
      </c>
      <c r="L154">
        <f>_INVESTEMENTDATA[[#This Row],[Investment_Amount]]*0.18</f>
        <v>170919.18</v>
      </c>
      <c r="M154">
        <f>_INVESTEMENTDATA[[#This Row],[Investment_Amount]]*0.18*25</f>
        <v>4272979.5</v>
      </c>
    </row>
    <row r="155" spans="1:13" x14ac:dyDescent="0.25">
      <c r="A155" t="s">
        <v>329</v>
      </c>
      <c r="B155" t="s">
        <v>11</v>
      </c>
      <c r="C155">
        <v>59</v>
      </c>
      <c r="D155" t="s">
        <v>46</v>
      </c>
      <c r="E155" t="s">
        <v>57</v>
      </c>
      <c r="F155" t="s">
        <v>41</v>
      </c>
      <c r="G155">
        <v>3442589</v>
      </c>
      <c r="H155">
        <f t="shared" ca="1" si="2"/>
        <v>99</v>
      </c>
      <c r="I155">
        <v>5.46</v>
      </c>
      <c r="J155">
        <v>-5.8</v>
      </c>
      <c r="K155" t="s">
        <v>330</v>
      </c>
      <c r="L155">
        <f>_INVESTEMENTDATA[[#This Row],[Investment_Amount]]*0.18</f>
        <v>619666.02</v>
      </c>
      <c r="M155">
        <f>_INVESTEMENTDATA[[#This Row],[Investment_Amount]]*0.18*25</f>
        <v>15491650.5</v>
      </c>
    </row>
    <row r="156" spans="1:13" x14ac:dyDescent="0.25">
      <c r="A156" t="s">
        <v>331</v>
      </c>
      <c r="B156" t="s">
        <v>17</v>
      </c>
      <c r="C156">
        <v>34</v>
      </c>
      <c r="D156" t="s">
        <v>18</v>
      </c>
      <c r="E156" t="s">
        <v>57</v>
      </c>
      <c r="F156" t="s">
        <v>14</v>
      </c>
      <c r="G156">
        <v>4048041</v>
      </c>
      <c r="H156">
        <f t="shared" ca="1" si="2"/>
        <v>49</v>
      </c>
      <c r="I156">
        <v>28</v>
      </c>
      <c r="J156">
        <v>32.020000000000003</v>
      </c>
      <c r="K156" t="s">
        <v>332</v>
      </c>
      <c r="L156">
        <f>_INVESTEMENTDATA[[#This Row],[Investment_Amount]]*0.18</f>
        <v>728647.38</v>
      </c>
      <c r="M156">
        <f>_INVESTEMENTDATA[[#This Row],[Investment_Amount]]*0.18*25</f>
        <v>18216184.5</v>
      </c>
    </row>
    <row r="157" spans="1:13" x14ac:dyDescent="0.25">
      <c r="A157" t="s">
        <v>333</v>
      </c>
      <c r="B157" t="s">
        <v>11</v>
      </c>
      <c r="C157">
        <v>38</v>
      </c>
      <c r="D157" t="s">
        <v>18</v>
      </c>
      <c r="E157" t="s">
        <v>50</v>
      </c>
      <c r="F157" t="s">
        <v>20</v>
      </c>
      <c r="G157">
        <v>2594625</v>
      </c>
      <c r="H157">
        <f t="shared" ca="1" si="2"/>
        <v>89</v>
      </c>
      <c r="I157">
        <v>31.56</v>
      </c>
      <c r="J157">
        <v>-9.74</v>
      </c>
      <c r="K157" t="s">
        <v>334</v>
      </c>
      <c r="L157">
        <f>_INVESTEMENTDATA[[#This Row],[Investment_Amount]]*0.18</f>
        <v>467032.5</v>
      </c>
      <c r="M157">
        <f>_INVESTEMENTDATA[[#This Row],[Investment_Amount]]*0.18*25</f>
        <v>11675812.5</v>
      </c>
    </row>
    <row r="158" spans="1:13" x14ac:dyDescent="0.25">
      <c r="A158" t="s">
        <v>335</v>
      </c>
      <c r="B158" t="s">
        <v>11</v>
      </c>
      <c r="C158">
        <v>23</v>
      </c>
      <c r="D158" t="s">
        <v>46</v>
      </c>
      <c r="E158" t="s">
        <v>29</v>
      </c>
      <c r="F158" t="s">
        <v>14</v>
      </c>
      <c r="G158">
        <v>4098446</v>
      </c>
      <c r="H158">
        <f t="shared" ca="1" si="2"/>
        <v>199</v>
      </c>
      <c r="I158">
        <v>34.520000000000003</v>
      </c>
      <c r="J158">
        <v>3.49</v>
      </c>
      <c r="K158" t="s">
        <v>336</v>
      </c>
      <c r="L158">
        <f>_INVESTEMENTDATA[[#This Row],[Investment_Amount]]*0.18</f>
        <v>737720.28</v>
      </c>
      <c r="M158">
        <f>_INVESTEMENTDATA[[#This Row],[Investment_Amount]]*0.18*25</f>
        <v>18443007</v>
      </c>
    </row>
    <row r="159" spans="1:13" x14ac:dyDescent="0.25">
      <c r="A159" t="s">
        <v>337</v>
      </c>
      <c r="B159" t="s">
        <v>17</v>
      </c>
      <c r="C159">
        <v>22</v>
      </c>
      <c r="D159" t="s">
        <v>38</v>
      </c>
      <c r="E159" t="s">
        <v>50</v>
      </c>
      <c r="F159" t="s">
        <v>14</v>
      </c>
      <c r="G159">
        <v>1897184</v>
      </c>
      <c r="H159">
        <f t="shared" ca="1" si="2"/>
        <v>186</v>
      </c>
      <c r="I159">
        <v>29.5</v>
      </c>
      <c r="J159">
        <v>25.86</v>
      </c>
      <c r="K159" t="s">
        <v>338</v>
      </c>
      <c r="L159">
        <f>_INVESTEMENTDATA[[#This Row],[Investment_Amount]]*0.18</f>
        <v>341493.12</v>
      </c>
      <c r="M159">
        <f>_INVESTEMENTDATA[[#This Row],[Investment_Amount]]*0.18*25</f>
        <v>8537328</v>
      </c>
    </row>
    <row r="160" spans="1:13" x14ac:dyDescent="0.25">
      <c r="A160" t="s">
        <v>339</v>
      </c>
      <c r="B160" t="s">
        <v>11</v>
      </c>
      <c r="C160">
        <v>26</v>
      </c>
      <c r="D160" t="s">
        <v>38</v>
      </c>
      <c r="E160" t="s">
        <v>57</v>
      </c>
      <c r="F160" t="s">
        <v>35</v>
      </c>
      <c r="G160">
        <v>718725</v>
      </c>
      <c r="H160">
        <f t="shared" ca="1" si="2"/>
        <v>98</v>
      </c>
      <c r="I160">
        <v>32.299999999999997</v>
      </c>
      <c r="J160">
        <v>-0.95</v>
      </c>
      <c r="K160" t="s">
        <v>340</v>
      </c>
      <c r="L160">
        <f>_INVESTEMENTDATA[[#This Row],[Investment_Amount]]*0.18</f>
        <v>129370.5</v>
      </c>
      <c r="M160">
        <f>_INVESTEMENTDATA[[#This Row],[Investment_Amount]]*0.18*25</f>
        <v>3234262.5</v>
      </c>
    </row>
    <row r="161" spans="1:13" x14ac:dyDescent="0.25">
      <c r="A161" t="s">
        <v>341</v>
      </c>
      <c r="B161" t="s">
        <v>11</v>
      </c>
      <c r="C161">
        <v>46</v>
      </c>
      <c r="D161" t="s">
        <v>46</v>
      </c>
      <c r="E161" t="s">
        <v>13</v>
      </c>
      <c r="F161" t="s">
        <v>41</v>
      </c>
      <c r="G161">
        <v>1594874</v>
      </c>
      <c r="H161">
        <f t="shared" ca="1" si="2"/>
        <v>278</v>
      </c>
      <c r="I161">
        <v>18.600000000000001</v>
      </c>
      <c r="J161">
        <v>13.98</v>
      </c>
      <c r="K161" t="s">
        <v>342</v>
      </c>
      <c r="L161">
        <f>_INVESTEMENTDATA[[#This Row],[Investment_Amount]]*0.18</f>
        <v>287077.32</v>
      </c>
      <c r="M161">
        <f>_INVESTEMENTDATA[[#This Row],[Investment_Amount]]*0.18*25</f>
        <v>7176933</v>
      </c>
    </row>
    <row r="162" spans="1:13" x14ac:dyDescent="0.25">
      <c r="A162" t="s">
        <v>343</v>
      </c>
      <c r="B162" t="s">
        <v>11</v>
      </c>
      <c r="C162">
        <v>39</v>
      </c>
      <c r="D162" t="s">
        <v>38</v>
      </c>
      <c r="E162" t="s">
        <v>29</v>
      </c>
      <c r="F162" t="s">
        <v>41</v>
      </c>
      <c r="G162">
        <v>3614455</v>
      </c>
      <c r="H162">
        <f t="shared" ca="1" si="2"/>
        <v>300</v>
      </c>
      <c r="I162">
        <v>30.51</v>
      </c>
      <c r="J162">
        <v>14.84</v>
      </c>
      <c r="K162" t="s">
        <v>344</v>
      </c>
      <c r="L162">
        <f>_INVESTEMENTDATA[[#This Row],[Investment_Amount]]*0.18</f>
        <v>650601.9</v>
      </c>
      <c r="M162">
        <f>_INVESTEMENTDATA[[#This Row],[Investment_Amount]]*0.18*25</f>
        <v>16265047.5</v>
      </c>
    </row>
    <row r="163" spans="1:13" x14ac:dyDescent="0.25">
      <c r="A163" t="s">
        <v>345</v>
      </c>
      <c r="B163" t="s">
        <v>17</v>
      </c>
      <c r="C163">
        <v>41</v>
      </c>
      <c r="D163" t="s">
        <v>18</v>
      </c>
      <c r="E163" t="s">
        <v>23</v>
      </c>
      <c r="F163" t="s">
        <v>30</v>
      </c>
      <c r="G163">
        <v>4999667</v>
      </c>
      <c r="H163">
        <f t="shared" ca="1" si="2"/>
        <v>27</v>
      </c>
      <c r="I163">
        <v>19.649999999999999</v>
      </c>
      <c r="J163">
        <v>41.35</v>
      </c>
      <c r="K163" t="s">
        <v>346</v>
      </c>
      <c r="L163">
        <f>_INVESTEMENTDATA[[#This Row],[Investment_Amount]]*0.18</f>
        <v>899940.05999999994</v>
      </c>
      <c r="M163">
        <f>_INVESTEMENTDATA[[#This Row],[Investment_Amount]]*0.18*25</f>
        <v>22498501.5</v>
      </c>
    </row>
    <row r="164" spans="1:13" x14ac:dyDescent="0.25">
      <c r="A164" t="s">
        <v>347</v>
      </c>
      <c r="B164" t="s">
        <v>17</v>
      </c>
      <c r="C164">
        <v>40</v>
      </c>
      <c r="D164" t="s">
        <v>18</v>
      </c>
      <c r="E164" t="s">
        <v>13</v>
      </c>
      <c r="F164" t="s">
        <v>30</v>
      </c>
      <c r="G164">
        <v>736903</v>
      </c>
      <c r="H164">
        <f t="shared" ca="1" si="2"/>
        <v>295</v>
      </c>
      <c r="I164">
        <v>20.57</v>
      </c>
      <c r="J164">
        <v>27.35</v>
      </c>
      <c r="K164" t="s">
        <v>348</v>
      </c>
      <c r="L164">
        <f>_INVESTEMENTDATA[[#This Row],[Investment_Amount]]*0.18</f>
        <v>132642.54</v>
      </c>
      <c r="M164">
        <f>_INVESTEMENTDATA[[#This Row],[Investment_Amount]]*0.18*25</f>
        <v>3316063.5</v>
      </c>
    </row>
    <row r="165" spans="1:13" x14ac:dyDescent="0.25">
      <c r="A165" t="s">
        <v>349</v>
      </c>
      <c r="B165" t="s">
        <v>11</v>
      </c>
      <c r="C165">
        <v>23</v>
      </c>
      <c r="D165" t="s">
        <v>18</v>
      </c>
      <c r="E165" t="s">
        <v>23</v>
      </c>
      <c r="F165" t="s">
        <v>47</v>
      </c>
      <c r="G165">
        <v>908441</v>
      </c>
      <c r="H165">
        <f t="shared" ca="1" si="2"/>
        <v>353</v>
      </c>
      <c r="I165">
        <v>32.54</v>
      </c>
      <c r="J165">
        <v>-0.15</v>
      </c>
      <c r="K165" t="s">
        <v>350</v>
      </c>
      <c r="L165">
        <f>_INVESTEMENTDATA[[#This Row],[Investment_Amount]]*0.18</f>
        <v>163519.38</v>
      </c>
      <c r="M165">
        <f>_INVESTEMENTDATA[[#This Row],[Investment_Amount]]*0.18*25</f>
        <v>4087984.5</v>
      </c>
    </row>
    <row r="166" spans="1:13" x14ac:dyDescent="0.25">
      <c r="A166" t="s">
        <v>351</v>
      </c>
      <c r="B166" t="s">
        <v>17</v>
      </c>
      <c r="C166">
        <v>54</v>
      </c>
      <c r="D166" t="s">
        <v>18</v>
      </c>
      <c r="E166" t="s">
        <v>50</v>
      </c>
      <c r="F166" t="s">
        <v>41</v>
      </c>
      <c r="G166">
        <v>4776012</v>
      </c>
      <c r="H166">
        <f t="shared" ca="1" si="2"/>
        <v>53</v>
      </c>
      <c r="I166">
        <v>19.579999999999998</v>
      </c>
      <c r="J166">
        <v>21.71</v>
      </c>
      <c r="K166" t="s">
        <v>352</v>
      </c>
      <c r="L166">
        <f>_INVESTEMENTDATA[[#This Row],[Investment_Amount]]*0.18</f>
        <v>859682.15999999992</v>
      </c>
      <c r="M166">
        <f>_INVESTEMENTDATA[[#This Row],[Investment_Amount]]*0.18*25</f>
        <v>21492053.999999996</v>
      </c>
    </row>
    <row r="167" spans="1:13" x14ac:dyDescent="0.25">
      <c r="A167" t="s">
        <v>353</v>
      </c>
      <c r="B167" t="s">
        <v>17</v>
      </c>
      <c r="C167">
        <v>30</v>
      </c>
      <c r="D167" t="s">
        <v>46</v>
      </c>
      <c r="E167" t="s">
        <v>50</v>
      </c>
      <c r="F167" t="s">
        <v>35</v>
      </c>
      <c r="G167">
        <v>1532997</v>
      </c>
      <c r="H167">
        <f t="shared" ca="1" si="2"/>
        <v>135</v>
      </c>
      <c r="I167">
        <v>16.05</v>
      </c>
      <c r="J167">
        <v>31.43</v>
      </c>
      <c r="K167" t="s">
        <v>354</v>
      </c>
      <c r="L167">
        <f>_INVESTEMENTDATA[[#This Row],[Investment_Amount]]*0.18</f>
        <v>275939.45999999996</v>
      </c>
      <c r="M167">
        <f>_INVESTEMENTDATA[[#This Row],[Investment_Amount]]*0.18*25</f>
        <v>6898486.4999999991</v>
      </c>
    </row>
    <row r="168" spans="1:13" x14ac:dyDescent="0.25">
      <c r="A168" t="s">
        <v>355</v>
      </c>
      <c r="B168" t="s">
        <v>17</v>
      </c>
      <c r="C168">
        <v>51</v>
      </c>
      <c r="D168" t="s">
        <v>28</v>
      </c>
      <c r="E168" t="s">
        <v>29</v>
      </c>
      <c r="F168" t="s">
        <v>30</v>
      </c>
      <c r="G168">
        <v>3854501</v>
      </c>
      <c r="H168">
        <f t="shared" ca="1" si="2"/>
        <v>137</v>
      </c>
      <c r="I168">
        <v>31.87</v>
      </c>
      <c r="J168">
        <v>26.86</v>
      </c>
      <c r="K168" t="s">
        <v>356</v>
      </c>
      <c r="L168">
        <f>_INVESTEMENTDATA[[#This Row],[Investment_Amount]]*0.18</f>
        <v>693810.17999999993</v>
      </c>
      <c r="M168">
        <f>_INVESTEMENTDATA[[#This Row],[Investment_Amount]]*0.18*25</f>
        <v>17345254.5</v>
      </c>
    </row>
    <row r="169" spans="1:13" x14ac:dyDescent="0.25">
      <c r="A169" t="s">
        <v>357</v>
      </c>
      <c r="B169" t="s">
        <v>17</v>
      </c>
      <c r="C169">
        <v>32</v>
      </c>
      <c r="D169" t="s">
        <v>12</v>
      </c>
      <c r="E169" t="s">
        <v>19</v>
      </c>
      <c r="F169" t="s">
        <v>20</v>
      </c>
      <c r="G169">
        <v>538834</v>
      </c>
      <c r="H169">
        <f t="shared" ca="1" si="2"/>
        <v>82</v>
      </c>
      <c r="I169">
        <v>30.19</v>
      </c>
      <c r="J169">
        <v>15.49</v>
      </c>
      <c r="K169" t="s">
        <v>358</v>
      </c>
      <c r="L169">
        <f>_INVESTEMENTDATA[[#This Row],[Investment_Amount]]*0.18</f>
        <v>96990.12</v>
      </c>
      <c r="M169">
        <f>_INVESTEMENTDATA[[#This Row],[Investment_Amount]]*0.18*25</f>
        <v>2424753</v>
      </c>
    </row>
    <row r="170" spans="1:13" x14ac:dyDescent="0.25">
      <c r="A170" t="s">
        <v>359</v>
      </c>
      <c r="B170" t="s">
        <v>11</v>
      </c>
      <c r="C170">
        <v>32</v>
      </c>
      <c r="D170" t="s">
        <v>38</v>
      </c>
      <c r="E170" t="s">
        <v>23</v>
      </c>
      <c r="F170" t="s">
        <v>35</v>
      </c>
      <c r="G170">
        <v>3425990</v>
      </c>
      <c r="H170">
        <f t="shared" ca="1" si="2"/>
        <v>365</v>
      </c>
      <c r="I170">
        <v>28.65</v>
      </c>
      <c r="J170">
        <v>39.130000000000003</v>
      </c>
      <c r="K170" t="s">
        <v>360</v>
      </c>
      <c r="L170">
        <f>_INVESTEMENTDATA[[#This Row],[Investment_Amount]]*0.18</f>
        <v>616678.19999999995</v>
      </c>
      <c r="M170">
        <f>_INVESTEMENTDATA[[#This Row],[Investment_Amount]]*0.18*25</f>
        <v>15416954.999999998</v>
      </c>
    </row>
    <row r="171" spans="1:13" x14ac:dyDescent="0.25">
      <c r="A171" t="s">
        <v>361</v>
      </c>
      <c r="B171" t="s">
        <v>17</v>
      </c>
      <c r="C171">
        <v>64</v>
      </c>
      <c r="D171" t="s">
        <v>12</v>
      </c>
      <c r="E171" t="s">
        <v>23</v>
      </c>
      <c r="F171" t="s">
        <v>35</v>
      </c>
      <c r="G171">
        <v>1813145</v>
      </c>
      <c r="H171">
        <f t="shared" ca="1" si="2"/>
        <v>305</v>
      </c>
      <c r="I171">
        <v>31.97</v>
      </c>
      <c r="J171">
        <v>20.77</v>
      </c>
      <c r="K171" t="s">
        <v>362</v>
      </c>
      <c r="L171">
        <f>_INVESTEMENTDATA[[#This Row],[Investment_Amount]]*0.18</f>
        <v>326366.09999999998</v>
      </c>
      <c r="M171">
        <f>_INVESTEMENTDATA[[#This Row],[Investment_Amount]]*0.18*25</f>
        <v>8159152.4999999991</v>
      </c>
    </row>
    <row r="172" spans="1:13" x14ac:dyDescent="0.25">
      <c r="A172" t="s">
        <v>363</v>
      </c>
      <c r="B172" t="s">
        <v>17</v>
      </c>
      <c r="C172">
        <v>50</v>
      </c>
      <c r="D172" t="s">
        <v>46</v>
      </c>
      <c r="E172" t="s">
        <v>50</v>
      </c>
      <c r="F172" t="s">
        <v>35</v>
      </c>
      <c r="G172">
        <v>4902005</v>
      </c>
      <c r="H172">
        <f t="shared" ca="1" si="2"/>
        <v>287</v>
      </c>
      <c r="I172">
        <v>24.45</v>
      </c>
      <c r="J172">
        <v>39.21</v>
      </c>
      <c r="K172" t="s">
        <v>364</v>
      </c>
      <c r="L172">
        <f>_INVESTEMENTDATA[[#This Row],[Investment_Amount]]*0.18</f>
        <v>882360.9</v>
      </c>
      <c r="M172">
        <f>_INVESTEMENTDATA[[#This Row],[Investment_Amount]]*0.18*25</f>
        <v>22059022.5</v>
      </c>
    </row>
    <row r="173" spans="1:13" x14ac:dyDescent="0.25">
      <c r="A173" t="s">
        <v>365</v>
      </c>
      <c r="B173" t="s">
        <v>11</v>
      </c>
      <c r="C173">
        <v>35</v>
      </c>
      <c r="D173" t="s">
        <v>46</v>
      </c>
      <c r="E173" t="s">
        <v>19</v>
      </c>
      <c r="F173" t="s">
        <v>30</v>
      </c>
      <c r="G173">
        <v>4727511</v>
      </c>
      <c r="H173">
        <f t="shared" ca="1" si="2"/>
        <v>80</v>
      </c>
      <c r="I173">
        <v>34.729999999999997</v>
      </c>
      <c r="J173">
        <v>0.01</v>
      </c>
      <c r="K173" t="s">
        <v>366</v>
      </c>
      <c r="L173">
        <f>_INVESTEMENTDATA[[#This Row],[Investment_Amount]]*0.18</f>
        <v>850951.98</v>
      </c>
      <c r="M173">
        <f>_INVESTEMENTDATA[[#This Row],[Investment_Amount]]*0.18*25</f>
        <v>21273799.5</v>
      </c>
    </row>
    <row r="174" spans="1:13" x14ac:dyDescent="0.25">
      <c r="A174" t="s">
        <v>367</v>
      </c>
      <c r="B174" t="s">
        <v>11</v>
      </c>
      <c r="C174">
        <v>39</v>
      </c>
      <c r="D174" t="s">
        <v>46</v>
      </c>
      <c r="E174" t="s">
        <v>57</v>
      </c>
      <c r="F174" t="s">
        <v>41</v>
      </c>
      <c r="G174">
        <v>4482240</v>
      </c>
      <c r="H174">
        <f t="shared" ca="1" si="2"/>
        <v>62</v>
      </c>
      <c r="I174">
        <v>27.15</v>
      </c>
      <c r="J174">
        <v>38.549999999999997</v>
      </c>
      <c r="K174" t="s">
        <v>368</v>
      </c>
      <c r="L174">
        <f>_INVESTEMENTDATA[[#This Row],[Investment_Amount]]*0.18</f>
        <v>806803.2</v>
      </c>
      <c r="M174">
        <f>_INVESTEMENTDATA[[#This Row],[Investment_Amount]]*0.18*25</f>
        <v>20170080</v>
      </c>
    </row>
    <row r="175" spans="1:13" x14ac:dyDescent="0.25">
      <c r="A175" t="s">
        <v>369</v>
      </c>
      <c r="B175" t="s">
        <v>17</v>
      </c>
      <c r="C175">
        <v>27</v>
      </c>
      <c r="D175" t="s">
        <v>46</v>
      </c>
      <c r="E175" t="s">
        <v>29</v>
      </c>
      <c r="F175" t="s">
        <v>35</v>
      </c>
      <c r="G175">
        <v>2731839</v>
      </c>
      <c r="H175">
        <f t="shared" ca="1" si="2"/>
        <v>215</v>
      </c>
      <c r="I175">
        <v>30.23</v>
      </c>
      <c r="J175">
        <v>7.76</v>
      </c>
      <c r="K175" t="s">
        <v>370</v>
      </c>
      <c r="L175">
        <f>_INVESTEMENTDATA[[#This Row],[Investment_Amount]]*0.18</f>
        <v>491731.01999999996</v>
      </c>
      <c r="M175">
        <f>_INVESTEMENTDATA[[#This Row],[Investment_Amount]]*0.18*25</f>
        <v>12293275.499999998</v>
      </c>
    </row>
    <row r="176" spans="1:13" x14ac:dyDescent="0.25">
      <c r="A176" t="s">
        <v>371</v>
      </c>
      <c r="B176" t="s">
        <v>11</v>
      </c>
      <c r="C176">
        <v>29</v>
      </c>
      <c r="D176" t="s">
        <v>12</v>
      </c>
      <c r="E176" t="s">
        <v>19</v>
      </c>
      <c r="F176" t="s">
        <v>30</v>
      </c>
      <c r="G176">
        <v>1280283</v>
      </c>
      <c r="H176">
        <f t="shared" ca="1" si="2"/>
        <v>106</v>
      </c>
      <c r="I176">
        <v>32.61</v>
      </c>
      <c r="J176">
        <v>32.99</v>
      </c>
      <c r="K176" t="s">
        <v>372</v>
      </c>
      <c r="L176">
        <f>_INVESTEMENTDATA[[#This Row],[Investment_Amount]]*0.18</f>
        <v>230450.94</v>
      </c>
      <c r="M176">
        <f>_INVESTEMENTDATA[[#This Row],[Investment_Amount]]*0.18*25</f>
        <v>5761273.5</v>
      </c>
    </row>
    <row r="177" spans="1:13" x14ac:dyDescent="0.25">
      <c r="A177" t="s">
        <v>373</v>
      </c>
      <c r="B177" t="s">
        <v>17</v>
      </c>
      <c r="C177">
        <v>51</v>
      </c>
      <c r="D177" t="s">
        <v>12</v>
      </c>
      <c r="E177" t="s">
        <v>13</v>
      </c>
      <c r="F177" t="s">
        <v>35</v>
      </c>
      <c r="G177">
        <v>2093643</v>
      </c>
      <c r="H177">
        <f t="shared" ca="1" si="2"/>
        <v>199</v>
      </c>
      <c r="I177">
        <v>16.66</v>
      </c>
      <c r="J177">
        <v>39.01</v>
      </c>
      <c r="K177" t="s">
        <v>374</v>
      </c>
      <c r="L177">
        <f>_INVESTEMENTDATA[[#This Row],[Investment_Amount]]*0.18</f>
        <v>376855.74</v>
      </c>
      <c r="M177">
        <f>_INVESTEMENTDATA[[#This Row],[Investment_Amount]]*0.18*25</f>
        <v>9421393.5</v>
      </c>
    </row>
    <row r="178" spans="1:13" x14ac:dyDescent="0.25">
      <c r="A178" t="s">
        <v>375</v>
      </c>
      <c r="B178" t="s">
        <v>11</v>
      </c>
      <c r="C178">
        <v>36</v>
      </c>
      <c r="D178" t="s">
        <v>38</v>
      </c>
      <c r="E178" t="s">
        <v>13</v>
      </c>
      <c r="F178" t="s">
        <v>47</v>
      </c>
      <c r="G178">
        <v>4968053</v>
      </c>
      <c r="H178">
        <f t="shared" ca="1" si="2"/>
        <v>320</v>
      </c>
      <c r="I178">
        <v>17.03</v>
      </c>
      <c r="J178">
        <v>-0.89</v>
      </c>
      <c r="K178" t="s">
        <v>376</v>
      </c>
      <c r="L178">
        <f>_INVESTEMENTDATA[[#This Row],[Investment_Amount]]*0.18</f>
        <v>894249.53999999992</v>
      </c>
      <c r="M178">
        <f>_INVESTEMENTDATA[[#This Row],[Investment_Amount]]*0.18*25</f>
        <v>22356238.499999996</v>
      </c>
    </row>
    <row r="179" spans="1:13" x14ac:dyDescent="0.25">
      <c r="A179" t="s">
        <v>377</v>
      </c>
      <c r="B179" t="s">
        <v>17</v>
      </c>
      <c r="C179">
        <v>61</v>
      </c>
      <c r="D179" t="s">
        <v>46</v>
      </c>
      <c r="E179" t="s">
        <v>13</v>
      </c>
      <c r="F179" t="s">
        <v>47</v>
      </c>
      <c r="G179">
        <v>980799</v>
      </c>
      <c r="H179">
        <f t="shared" ca="1" si="2"/>
        <v>357</v>
      </c>
      <c r="I179">
        <v>18.3</v>
      </c>
      <c r="J179">
        <v>42.43</v>
      </c>
      <c r="K179" t="s">
        <v>378</v>
      </c>
      <c r="L179">
        <f>_INVESTEMENTDATA[[#This Row],[Investment_Amount]]*0.18</f>
        <v>176543.82</v>
      </c>
      <c r="M179">
        <f>_INVESTEMENTDATA[[#This Row],[Investment_Amount]]*0.18*25</f>
        <v>4413595.5</v>
      </c>
    </row>
    <row r="180" spans="1:13" x14ac:dyDescent="0.25">
      <c r="A180" t="s">
        <v>379</v>
      </c>
      <c r="B180" t="s">
        <v>17</v>
      </c>
      <c r="C180">
        <v>39</v>
      </c>
      <c r="D180" t="s">
        <v>12</v>
      </c>
      <c r="E180" t="s">
        <v>13</v>
      </c>
      <c r="F180" t="s">
        <v>41</v>
      </c>
      <c r="G180">
        <v>1795594</v>
      </c>
      <c r="H180">
        <f t="shared" ca="1" si="2"/>
        <v>350</v>
      </c>
      <c r="I180">
        <v>27.32</v>
      </c>
      <c r="J180">
        <v>0.33</v>
      </c>
      <c r="K180" t="s">
        <v>380</v>
      </c>
      <c r="L180">
        <f>_INVESTEMENTDATA[[#This Row],[Investment_Amount]]*0.18</f>
        <v>323206.92</v>
      </c>
      <c r="M180">
        <f>_INVESTEMENTDATA[[#This Row],[Investment_Amount]]*0.18*25</f>
        <v>8080173</v>
      </c>
    </row>
    <row r="181" spans="1:13" x14ac:dyDescent="0.25">
      <c r="A181" t="s">
        <v>381</v>
      </c>
      <c r="B181" t="s">
        <v>11</v>
      </c>
      <c r="C181">
        <v>61</v>
      </c>
      <c r="D181" t="s">
        <v>46</v>
      </c>
      <c r="E181" t="s">
        <v>50</v>
      </c>
      <c r="F181" t="s">
        <v>14</v>
      </c>
      <c r="G181">
        <v>3442735</v>
      </c>
      <c r="H181">
        <f t="shared" ca="1" si="2"/>
        <v>22</v>
      </c>
      <c r="I181">
        <v>13.78</v>
      </c>
      <c r="J181">
        <v>34.67</v>
      </c>
      <c r="K181" t="s">
        <v>153</v>
      </c>
      <c r="L181">
        <f>_INVESTEMENTDATA[[#This Row],[Investment_Amount]]*0.18</f>
        <v>619692.29999999993</v>
      </c>
      <c r="M181">
        <f>_INVESTEMENTDATA[[#This Row],[Investment_Amount]]*0.18*25</f>
        <v>15492307.499999998</v>
      </c>
    </row>
    <row r="182" spans="1:13" x14ac:dyDescent="0.25">
      <c r="A182" t="s">
        <v>382</v>
      </c>
      <c r="B182" t="s">
        <v>17</v>
      </c>
      <c r="C182">
        <v>50</v>
      </c>
      <c r="D182" t="s">
        <v>28</v>
      </c>
      <c r="E182" t="s">
        <v>19</v>
      </c>
      <c r="F182" t="s">
        <v>47</v>
      </c>
      <c r="G182">
        <v>4792061</v>
      </c>
      <c r="H182">
        <f t="shared" ca="1" si="2"/>
        <v>312</v>
      </c>
      <c r="I182">
        <v>23.36</v>
      </c>
      <c r="J182">
        <v>-7.73</v>
      </c>
      <c r="K182" t="s">
        <v>383</v>
      </c>
      <c r="L182">
        <f>_INVESTEMENTDATA[[#This Row],[Investment_Amount]]*0.18</f>
        <v>862570.98</v>
      </c>
      <c r="M182">
        <f>_INVESTEMENTDATA[[#This Row],[Investment_Amount]]*0.18*25</f>
        <v>21564274.5</v>
      </c>
    </row>
    <row r="183" spans="1:13" x14ac:dyDescent="0.25">
      <c r="A183" t="s">
        <v>384</v>
      </c>
      <c r="B183" t="s">
        <v>17</v>
      </c>
      <c r="C183">
        <v>29</v>
      </c>
      <c r="D183" t="s">
        <v>12</v>
      </c>
      <c r="E183" t="s">
        <v>29</v>
      </c>
      <c r="F183" t="s">
        <v>47</v>
      </c>
      <c r="G183">
        <v>474123</v>
      </c>
      <c r="H183">
        <f t="shared" ca="1" si="2"/>
        <v>205</v>
      </c>
      <c r="I183">
        <v>27.44</v>
      </c>
      <c r="J183">
        <v>25.47</v>
      </c>
      <c r="K183" t="s">
        <v>157</v>
      </c>
      <c r="L183">
        <f>_INVESTEMENTDATA[[#This Row],[Investment_Amount]]*0.18</f>
        <v>85342.14</v>
      </c>
      <c r="M183">
        <f>_INVESTEMENTDATA[[#This Row],[Investment_Amount]]*0.18*25</f>
        <v>2133553.5</v>
      </c>
    </row>
    <row r="184" spans="1:13" x14ac:dyDescent="0.25">
      <c r="A184" t="s">
        <v>385</v>
      </c>
      <c r="B184" t="s">
        <v>17</v>
      </c>
      <c r="C184">
        <v>34</v>
      </c>
      <c r="D184" t="s">
        <v>12</v>
      </c>
      <c r="E184" t="s">
        <v>13</v>
      </c>
      <c r="F184" t="s">
        <v>47</v>
      </c>
      <c r="G184">
        <v>4578350</v>
      </c>
      <c r="H184">
        <f t="shared" ca="1" si="2"/>
        <v>198</v>
      </c>
      <c r="I184">
        <v>26.4</v>
      </c>
      <c r="J184">
        <v>-7.48</v>
      </c>
      <c r="K184" t="s">
        <v>386</v>
      </c>
      <c r="L184">
        <f>_INVESTEMENTDATA[[#This Row],[Investment_Amount]]*0.18</f>
        <v>824103</v>
      </c>
      <c r="M184">
        <f>_INVESTEMENTDATA[[#This Row],[Investment_Amount]]*0.18*25</f>
        <v>20602575</v>
      </c>
    </row>
    <row r="185" spans="1:13" x14ac:dyDescent="0.25">
      <c r="A185" t="s">
        <v>387</v>
      </c>
      <c r="B185" t="s">
        <v>11</v>
      </c>
      <c r="C185">
        <v>60</v>
      </c>
      <c r="D185" t="s">
        <v>38</v>
      </c>
      <c r="E185" t="s">
        <v>29</v>
      </c>
      <c r="F185" t="s">
        <v>14</v>
      </c>
      <c r="G185">
        <v>3560777</v>
      </c>
      <c r="H185">
        <f t="shared" ca="1" si="2"/>
        <v>344</v>
      </c>
      <c r="I185">
        <v>9.39</v>
      </c>
      <c r="J185">
        <v>38.229999999999997</v>
      </c>
      <c r="K185" t="s">
        <v>388</v>
      </c>
      <c r="L185">
        <f>_INVESTEMENTDATA[[#This Row],[Investment_Amount]]*0.18</f>
        <v>640939.86</v>
      </c>
      <c r="M185">
        <f>_INVESTEMENTDATA[[#This Row],[Investment_Amount]]*0.18*25</f>
        <v>16023496.5</v>
      </c>
    </row>
    <row r="186" spans="1:13" x14ac:dyDescent="0.25">
      <c r="A186" t="s">
        <v>389</v>
      </c>
      <c r="B186" t="s">
        <v>11</v>
      </c>
      <c r="C186">
        <v>22</v>
      </c>
      <c r="D186" t="s">
        <v>12</v>
      </c>
      <c r="E186" t="s">
        <v>23</v>
      </c>
      <c r="F186" t="s">
        <v>20</v>
      </c>
      <c r="G186">
        <v>3452749</v>
      </c>
      <c r="H186">
        <f t="shared" ca="1" si="2"/>
        <v>171</v>
      </c>
      <c r="I186">
        <v>11.81</v>
      </c>
      <c r="J186">
        <v>6.37</v>
      </c>
      <c r="K186" t="s">
        <v>390</v>
      </c>
      <c r="L186">
        <f>_INVESTEMENTDATA[[#This Row],[Investment_Amount]]*0.18</f>
        <v>621494.81999999995</v>
      </c>
      <c r="M186">
        <f>_INVESTEMENTDATA[[#This Row],[Investment_Amount]]*0.18*25</f>
        <v>15537370.499999998</v>
      </c>
    </row>
    <row r="187" spans="1:13" x14ac:dyDescent="0.25">
      <c r="A187" t="s">
        <v>391</v>
      </c>
      <c r="B187" t="s">
        <v>17</v>
      </c>
      <c r="C187">
        <v>34</v>
      </c>
      <c r="D187" t="s">
        <v>12</v>
      </c>
      <c r="E187" t="s">
        <v>13</v>
      </c>
      <c r="F187" t="s">
        <v>20</v>
      </c>
      <c r="G187">
        <v>1574126</v>
      </c>
      <c r="H187">
        <f t="shared" ca="1" si="2"/>
        <v>158</v>
      </c>
      <c r="I187">
        <v>10.1</v>
      </c>
      <c r="J187">
        <v>22.32</v>
      </c>
      <c r="K187" t="s">
        <v>392</v>
      </c>
      <c r="L187">
        <f>_INVESTEMENTDATA[[#This Row],[Investment_Amount]]*0.18</f>
        <v>283342.68</v>
      </c>
      <c r="M187">
        <f>_INVESTEMENTDATA[[#This Row],[Investment_Amount]]*0.18*25</f>
        <v>7083567</v>
      </c>
    </row>
    <row r="188" spans="1:13" x14ac:dyDescent="0.25">
      <c r="A188" t="s">
        <v>393</v>
      </c>
      <c r="B188" t="s">
        <v>11</v>
      </c>
      <c r="C188">
        <v>52</v>
      </c>
      <c r="D188" t="s">
        <v>18</v>
      </c>
      <c r="E188" t="s">
        <v>23</v>
      </c>
      <c r="F188" t="s">
        <v>41</v>
      </c>
      <c r="G188">
        <v>1057262</v>
      </c>
      <c r="H188">
        <f t="shared" ca="1" si="2"/>
        <v>264</v>
      </c>
      <c r="I188">
        <v>30.12</v>
      </c>
      <c r="J188">
        <v>29.28</v>
      </c>
      <c r="K188" t="s">
        <v>394</v>
      </c>
      <c r="L188">
        <f>_INVESTEMENTDATA[[#This Row],[Investment_Amount]]*0.18</f>
        <v>190307.16</v>
      </c>
      <c r="M188">
        <f>_INVESTEMENTDATA[[#This Row],[Investment_Amount]]*0.18*25</f>
        <v>4757679</v>
      </c>
    </row>
    <row r="189" spans="1:13" x14ac:dyDescent="0.25">
      <c r="A189" t="s">
        <v>395</v>
      </c>
      <c r="B189" t="s">
        <v>11</v>
      </c>
      <c r="C189">
        <v>44</v>
      </c>
      <c r="D189" t="s">
        <v>18</v>
      </c>
      <c r="E189" t="s">
        <v>29</v>
      </c>
      <c r="F189" t="s">
        <v>41</v>
      </c>
      <c r="G189">
        <v>2076355</v>
      </c>
      <c r="H189">
        <f t="shared" ca="1" si="2"/>
        <v>268</v>
      </c>
      <c r="I189">
        <v>33.11</v>
      </c>
      <c r="J189">
        <v>10.72</v>
      </c>
      <c r="K189" t="s">
        <v>247</v>
      </c>
      <c r="L189">
        <f>_INVESTEMENTDATA[[#This Row],[Investment_Amount]]*0.18</f>
        <v>373743.89999999997</v>
      </c>
      <c r="M189">
        <f>_INVESTEMENTDATA[[#This Row],[Investment_Amount]]*0.18*25</f>
        <v>9343597.5</v>
      </c>
    </row>
    <row r="190" spans="1:13" x14ac:dyDescent="0.25">
      <c r="A190" t="s">
        <v>396</v>
      </c>
      <c r="B190" t="s">
        <v>17</v>
      </c>
      <c r="C190">
        <v>65</v>
      </c>
      <c r="D190" t="s">
        <v>18</v>
      </c>
      <c r="E190" t="s">
        <v>57</v>
      </c>
      <c r="F190" t="s">
        <v>30</v>
      </c>
      <c r="G190">
        <v>2351459</v>
      </c>
      <c r="H190">
        <f t="shared" ca="1" si="2"/>
        <v>126</v>
      </c>
      <c r="I190">
        <v>25.43</v>
      </c>
      <c r="J190">
        <v>2.2200000000000002</v>
      </c>
      <c r="K190" t="s">
        <v>397</v>
      </c>
      <c r="L190">
        <f>_INVESTEMENTDATA[[#This Row],[Investment_Amount]]*0.18</f>
        <v>423262.62</v>
      </c>
      <c r="M190">
        <f>_INVESTEMENTDATA[[#This Row],[Investment_Amount]]*0.18*25</f>
        <v>10581565.5</v>
      </c>
    </row>
    <row r="191" spans="1:13" x14ac:dyDescent="0.25">
      <c r="A191" t="s">
        <v>398</v>
      </c>
      <c r="B191" t="s">
        <v>11</v>
      </c>
      <c r="C191">
        <v>41</v>
      </c>
      <c r="D191" t="s">
        <v>28</v>
      </c>
      <c r="E191" t="s">
        <v>50</v>
      </c>
      <c r="F191" t="s">
        <v>30</v>
      </c>
      <c r="G191">
        <v>2555619</v>
      </c>
      <c r="H191">
        <f t="shared" ca="1" si="2"/>
        <v>316</v>
      </c>
      <c r="I191">
        <v>24.5</v>
      </c>
      <c r="J191">
        <v>38.97</v>
      </c>
      <c r="K191" t="s">
        <v>399</v>
      </c>
      <c r="L191">
        <f>_INVESTEMENTDATA[[#This Row],[Investment_Amount]]*0.18</f>
        <v>460011.42</v>
      </c>
      <c r="M191">
        <f>_INVESTEMENTDATA[[#This Row],[Investment_Amount]]*0.18*25</f>
        <v>11500285.5</v>
      </c>
    </row>
    <row r="192" spans="1:13" x14ac:dyDescent="0.25">
      <c r="A192" t="s">
        <v>400</v>
      </c>
      <c r="B192" t="s">
        <v>17</v>
      </c>
      <c r="C192">
        <v>38</v>
      </c>
      <c r="D192" t="s">
        <v>28</v>
      </c>
      <c r="E192" t="s">
        <v>13</v>
      </c>
      <c r="F192" t="s">
        <v>35</v>
      </c>
      <c r="G192">
        <v>1997737</v>
      </c>
      <c r="H192">
        <f t="shared" ca="1" si="2"/>
        <v>132</v>
      </c>
      <c r="I192">
        <v>14.36</v>
      </c>
      <c r="J192">
        <v>41.63</v>
      </c>
      <c r="K192" t="s">
        <v>401</v>
      </c>
      <c r="L192">
        <f>_INVESTEMENTDATA[[#This Row],[Investment_Amount]]*0.18</f>
        <v>359592.66</v>
      </c>
      <c r="M192">
        <f>_INVESTEMENTDATA[[#This Row],[Investment_Amount]]*0.18*25</f>
        <v>8989816.5</v>
      </c>
    </row>
    <row r="193" spans="1:13" x14ac:dyDescent="0.25">
      <c r="A193" t="s">
        <v>402</v>
      </c>
      <c r="B193" t="s">
        <v>11</v>
      </c>
      <c r="C193">
        <v>35</v>
      </c>
      <c r="D193" t="s">
        <v>46</v>
      </c>
      <c r="E193" t="s">
        <v>13</v>
      </c>
      <c r="F193" t="s">
        <v>14</v>
      </c>
      <c r="G193">
        <v>2099490</v>
      </c>
      <c r="H193">
        <f t="shared" ca="1" si="2"/>
        <v>245</v>
      </c>
      <c r="I193">
        <v>26.16</v>
      </c>
      <c r="J193">
        <v>37.64</v>
      </c>
      <c r="K193" t="s">
        <v>403</v>
      </c>
      <c r="L193">
        <f>_INVESTEMENTDATA[[#This Row],[Investment_Amount]]*0.18</f>
        <v>377908.2</v>
      </c>
      <c r="M193">
        <f>_INVESTEMENTDATA[[#This Row],[Investment_Amount]]*0.18*25</f>
        <v>9447705</v>
      </c>
    </row>
    <row r="194" spans="1:13" x14ac:dyDescent="0.25">
      <c r="A194" t="s">
        <v>404</v>
      </c>
      <c r="B194" t="s">
        <v>17</v>
      </c>
      <c r="C194">
        <v>36</v>
      </c>
      <c r="D194" t="s">
        <v>18</v>
      </c>
      <c r="E194" t="s">
        <v>13</v>
      </c>
      <c r="F194" t="s">
        <v>14</v>
      </c>
      <c r="G194">
        <v>4434255</v>
      </c>
      <c r="H194">
        <f t="shared" ref="H194:H257" ca="1" si="3">RANDBETWEEN(7,365)</f>
        <v>164</v>
      </c>
      <c r="I194">
        <v>23.84</v>
      </c>
      <c r="J194">
        <v>16.05</v>
      </c>
      <c r="K194" t="s">
        <v>405</v>
      </c>
      <c r="L194">
        <f>_INVESTEMENTDATA[[#This Row],[Investment_Amount]]*0.18</f>
        <v>798165.9</v>
      </c>
      <c r="M194">
        <f>_INVESTEMENTDATA[[#This Row],[Investment_Amount]]*0.18*25</f>
        <v>19954147.5</v>
      </c>
    </row>
    <row r="195" spans="1:13" x14ac:dyDescent="0.25">
      <c r="A195" t="s">
        <v>406</v>
      </c>
      <c r="B195" t="s">
        <v>17</v>
      </c>
      <c r="C195">
        <v>29</v>
      </c>
      <c r="D195" t="s">
        <v>38</v>
      </c>
      <c r="E195" t="s">
        <v>57</v>
      </c>
      <c r="F195" t="s">
        <v>35</v>
      </c>
      <c r="G195">
        <v>4037765</v>
      </c>
      <c r="H195">
        <f t="shared" ca="1" si="3"/>
        <v>196</v>
      </c>
      <c r="I195">
        <v>9.5299999999999994</v>
      </c>
      <c r="J195">
        <v>41.85</v>
      </c>
      <c r="K195" t="s">
        <v>407</v>
      </c>
      <c r="L195">
        <f>_INVESTEMENTDATA[[#This Row],[Investment_Amount]]*0.18</f>
        <v>726797.7</v>
      </c>
      <c r="M195">
        <f>_INVESTEMENTDATA[[#This Row],[Investment_Amount]]*0.18*25</f>
        <v>18169942.5</v>
      </c>
    </row>
    <row r="196" spans="1:13" x14ac:dyDescent="0.25">
      <c r="A196" t="s">
        <v>408</v>
      </c>
      <c r="B196" t="s">
        <v>11</v>
      </c>
      <c r="C196">
        <v>40</v>
      </c>
      <c r="D196" t="s">
        <v>12</v>
      </c>
      <c r="E196" t="s">
        <v>13</v>
      </c>
      <c r="F196" t="s">
        <v>35</v>
      </c>
      <c r="G196">
        <v>4282680</v>
      </c>
      <c r="H196">
        <f t="shared" ca="1" si="3"/>
        <v>163</v>
      </c>
      <c r="I196">
        <v>18.46</v>
      </c>
      <c r="J196">
        <v>5.39</v>
      </c>
      <c r="K196" t="s">
        <v>409</v>
      </c>
      <c r="L196">
        <f>_INVESTEMENTDATA[[#This Row],[Investment_Amount]]*0.18</f>
        <v>770882.4</v>
      </c>
      <c r="M196">
        <f>_INVESTEMENTDATA[[#This Row],[Investment_Amount]]*0.18*25</f>
        <v>19272060</v>
      </c>
    </row>
    <row r="197" spans="1:13" x14ac:dyDescent="0.25">
      <c r="A197" t="s">
        <v>410</v>
      </c>
      <c r="B197" t="s">
        <v>17</v>
      </c>
      <c r="C197">
        <v>33</v>
      </c>
      <c r="D197" t="s">
        <v>46</v>
      </c>
      <c r="E197" t="s">
        <v>13</v>
      </c>
      <c r="F197" t="s">
        <v>35</v>
      </c>
      <c r="G197">
        <v>1278575</v>
      </c>
      <c r="H197">
        <f t="shared" ca="1" si="3"/>
        <v>280</v>
      </c>
      <c r="I197">
        <v>14.59</v>
      </c>
      <c r="J197">
        <v>44.63</v>
      </c>
      <c r="K197" t="s">
        <v>411</v>
      </c>
      <c r="L197">
        <f>_INVESTEMENTDATA[[#This Row],[Investment_Amount]]*0.18</f>
        <v>230143.5</v>
      </c>
      <c r="M197">
        <f>_INVESTEMENTDATA[[#This Row],[Investment_Amount]]*0.18*25</f>
        <v>5753587.5</v>
      </c>
    </row>
    <row r="198" spans="1:13" x14ac:dyDescent="0.25">
      <c r="A198" t="s">
        <v>412</v>
      </c>
      <c r="B198" t="s">
        <v>11</v>
      </c>
      <c r="C198">
        <v>29</v>
      </c>
      <c r="D198" t="s">
        <v>18</v>
      </c>
      <c r="E198" t="s">
        <v>19</v>
      </c>
      <c r="F198" t="s">
        <v>41</v>
      </c>
      <c r="G198">
        <v>4757842</v>
      </c>
      <c r="H198">
        <f t="shared" ca="1" si="3"/>
        <v>95</v>
      </c>
      <c r="I198">
        <v>16.899999999999999</v>
      </c>
      <c r="J198">
        <v>2.37</v>
      </c>
      <c r="K198" t="s">
        <v>413</v>
      </c>
      <c r="L198">
        <f>_INVESTEMENTDATA[[#This Row],[Investment_Amount]]*0.18</f>
        <v>856411.55999999994</v>
      </c>
      <c r="M198">
        <f>_INVESTEMENTDATA[[#This Row],[Investment_Amount]]*0.18*25</f>
        <v>21410289</v>
      </c>
    </row>
    <row r="199" spans="1:13" x14ac:dyDescent="0.25">
      <c r="A199" t="s">
        <v>414</v>
      </c>
      <c r="B199" t="s">
        <v>17</v>
      </c>
      <c r="C199">
        <v>64</v>
      </c>
      <c r="D199" t="s">
        <v>46</v>
      </c>
      <c r="E199" t="s">
        <v>19</v>
      </c>
      <c r="F199" t="s">
        <v>35</v>
      </c>
      <c r="G199">
        <v>2318964</v>
      </c>
      <c r="H199">
        <f t="shared" ca="1" si="3"/>
        <v>145</v>
      </c>
      <c r="I199">
        <v>5.55</v>
      </c>
      <c r="J199">
        <v>-2.14</v>
      </c>
      <c r="K199" t="s">
        <v>415</v>
      </c>
      <c r="L199">
        <f>_INVESTEMENTDATA[[#This Row],[Investment_Amount]]*0.18</f>
        <v>417413.51999999996</v>
      </c>
      <c r="M199">
        <f>_INVESTEMENTDATA[[#This Row],[Investment_Amount]]*0.18*25</f>
        <v>10435337.999999998</v>
      </c>
    </row>
    <row r="200" spans="1:13" x14ac:dyDescent="0.25">
      <c r="A200" t="s">
        <v>416</v>
      </c>
      <c r="B200" t="s">
        <v>11</v>
      </c>
      <c r="C200">
        <v>22</v>
      </c>
      <c r="D200" t="s">
        <v>28</v>
      </c>
      <c r="E200" t="s">
        <v>57</v>
      </c>
      <c r="F200" t="s">
        <v>20</v>
      </c>
      <c r="G200">
        <v>748066</v>
      </c>
      <c r="H200">
        <f t="shared" ca="1" si="3"/>
        <v>8</v>
      </c>
      <c r="I200">
        <v>28.28</v>
      </c>
      <c r="J200">
        <v>14.24</v>
      </c>
      <c r="K200" t="s">
        <v>417</v>
      </c>
      <c r="L200">
        <f>_INVESTEMENTDATA[[#This Row],[Investment_Amount]]*0.18</f>
        <v>134651.88</v>
      </c>
      <c r="M200">
        <f>_INVESTEMENTDATA[[#This Row],[Investment_Amount]]*0.18*25</f>
        <v>3366297</v>
      </c>
    </row>
    <row r="201" spans="1:13" x14ac:dyDescent="0.25">
      <c r="A201" t="s">
        <v>418</v>
      </c>
      <c r="B201" t="s">
        <v>17</v>
      </c>
      <c r="C201">
        <v>26</v>
      </c>
      <c r="D201" t="s">
        <v>28</v>
      </c>
      <c r="E201" t="s">
        <v>57</v>
      </c>
      <c r="F201" t="s">
        <v>41</v>
      </c>
      <c r="G201">
        <v>2949752</v>
      </c>
      <c r="H201">
        <f t="shared" ca="1" si="3"/>
        <v>330</v>
      </c>
      <c r="I201">
        <v>32.85</v>
      </c>
      <c r="J201">
        <v>28.82</v>
      </c>
      <c r="K201" t="s">
        <v>419</v>
      </c>
      <c r="L201">
        <f>_INVESTEMENTDATA[[#This Row],[Investment_Amount]]*0.18</f>
        <v>530955.36</v>
      </c>
      <c r="M201">
        <f>_INVESTEMENTDATA[[#This Row],[Investment_Amount]]*0.18*25</f>
        <v>13273884</v>
      </c>
    </row>
    <row r="202" spans="1:13" x14ac:dyDescent="0.25">
      <c r="A202" t="s">
        <v>420</v>
      </c>
      <c r="B202" t="s">
        <v>11</v>
      </c>
      <c r="C202">
        <v>24</v>
      </c>
      <c r="D202" t="s">
        <v>18</v>
      </c>
      <c r="E202" t="s">
        <v>19</v>
      </c>
      <c r="F202" t="s">
        <v>35</v>
      </c>
      <c r="G202">
        <v>1211782</v>
      </c>
      <c r="H202">
        <f t="shared" ca="1" si="3"/>
        <v>149</v>
      </c>
      <c r="I202">
        <v>34.270000000000003</v>
      </c>
      <c r="J202">
        <v>12.16</v>
      </c>
      <c r="K202" t="s">
        <v>421</v>
      </c>
      <c r="L202">
        <f>_INVESTEMENTDATA[[#This Row],[Investment_Amount]]*0.18</f>
        <v>218120.75999999998</v>
      </c>
      <c r="M202">
        <f>_INVESTEMENTDATA[[#This Row],[Investment_Amount]]*0.18*25</f>
        <v>5453018.9999999991</v>
      </c>
    </row>
    <row r="203" spans="1:13" x14ac:dyDescent="0.25">
      <c r="A203" t="s">
        <v>422</v>
      </c>
      <c r="B203" t="s">
        <v>11</v>
      </c>
      <c r="C203">
        <v>47</v>
      </c>
      <c r="D203" t="s">
        <v>12</v>
      </c>
      <c r="E203" t="s">
        <v>19</v>
      </c>
      <c r="F203" t="s">
        <v>41</v>
      </c>
      <c r="G203">
        <v>3502972</v>
      </c>
      <c r="H203">
        <f t="shared" ca="1" si="3"/>
        <v>318</v>
      </c>
      <c r="I203">
        <v>33.729999999999997</v>
      </c>
      <c r="J203">
        <v>18.149999999999999</v>
      </c>
      <c r="K203" t="s">
        <v>423</v>
      </c>
      <c r="L203">
        <f>_INVESTEMENTDATA[[#This Row],[Investment_Amount]]*0.18</f>
        <v>630534.96</v>
      </c>
      <c r="M203">
        <f>_INVESTEMENTDATA[[#This Row],[Investment_Amount]]*0.18*25</f>
        <v>15763374</v>
      </c>
    </row>
    <row r="204" spans="1:13" x14ac:dyDescent="0.25">
      <c r="A204" t="s">
        <v>424</v>
      </c>
      <c r="B204" t="s">
        <v>11</v>
      </c>
      <c r="C204">
        <v>63</v>
      </c>
      <c r="D204" t="s">
        <v>46</v>
      </c>
      <c r="E204" t="s">
        <v>19</v>
      </c>
      <c r="F204" t="s">
        <v>14</v>
      </c>
      <c r="G204">
        <v>247525</v>
      </c>
      <c r="H204">
        <f t="shared" ca="1" si="3"/>
        <v>38</v>
      </c>
      <c r="I204">
        <v>34.36</v>
      </c>
      <c r="J204">
        <v>10.94</v>
      </c>
      <c r="K204" t="s">
        <v>425</v>
      </c>
      <c r="L204">
        <f>_INVESTEMENTDATA[[#This Row],[Investment_Amount]]*0.18</f>
        <v>44554.5</v>
      </c>
      <c r="M204">
        <f>_INVESTEMENTDATA[[#This Row],[Investment_Amount]]*0.18*25</f>
        <v>1113862.5</v>
      </c>
    </row>
    <row r="205" spans="1:13" x14ac:dyDescent="0.25">
      <c r="A205" t="s">
        <v>426</v>
      </c>
      <c r="B205" t="s">
        <v>11</v>
      </c>
      <c r="C205">
        <v>23</v>
      </c>
      <c r="D205" t="s">
        <v>18</v>
      </c>
      <c r="E205" t="s">
        <v>57</v>
      </c>
      <c r="F205" t="s">
        <v>30</v>
      </c>
      <c r="G205">
        <v>1705628</v>
      </c>
      <c r="H205">
        <f t="shared" ca="1" si="3"/>
        <v>290</v>
      </c>
      <c r="I205">
        <v>23.24</v>
      </c>
      <c r="J205">
        <v>42.76</v>
      </c>
      <c r="K205" t="s">
        <v>427</v>
      </c>
      <c r="L205">
        <f>_INVESTEMENTDATA[[#This Row],[Investment_Amount]]*0.18</f>
        <v>307013.03999999998</v>
      </c>
      <c r="M205">
        <f>_INVESTEMENTDATA[[#This Row],[Investment_Amount]]*0.18*25</f>
        <v>7675325.9999999991</v>
      </c>
    </row>
    <row r="206" spans="1:13" x14ac:dyDescent="0.25">
      <c r="A206" t="s">
        <v>428</v>
      </c>
      <c r="B206" t="s">
        <v>11</v>
      </c>
      <c r="C206">
        <v>43</v>
      </c>
      <c r="D206" t="s">
        <v>12</v>
      </c>
      <c r="E206" t="s">
        <v>19</v>
      </c>
      <c r="F206" t="s">
        <v>20</v>
      </c>
      <c r="G206">
        <v>4933594</v>
      </c>
      <c r="H206">
        <f t="shared" ca="1" si="3"/>
        <v>332</v>
      </c>
      <c r="I206">
        <v>32.89</v>
      </c>
      <c r="J206">
        <v>10.199999999999999</v>
      </c>
      <c r="K206" t="s">
        <v>429</v>
      </c>
      <c r="L206">
        <f>_INVESTEMENTDATA[[#This Row],[Investment_Amount]]*0.18</f>
        <v>888046.91999999993</v>
      </c>
      <c r="M206">
        <f>_INVESTEMENTDATA[[#This Row],[Investment_Amount]]*0.18*25</f>
        <v>22201173</v>
      </c>
    </row>
    <row r="207" spans="1:13" x14ac:dyDescent="0.25">
      <c r="A207" t="s">
        <v>430</v>
      </c>
      <c r="B207" t="s">
        <v>17</v>
      </c>
      <c r="C207">
        <v>44</v>
      </c>
      <c r="D207" t="s">
        <v>38</v>
      </c>
      <c r="E207" t="s">
        <v>23</v>
      </c>
      <c r="F207" t="s">
        <v>20</v>
      </c>
      <c r="G207">
        <v>4816145</v>
      </c>
      <c r="H207">
        <f t="shared" ca="1" si="3"/>
        <v>298</v>
      </c>
      <c r="I207">
        <v>33.270000000000003</v>
      </c>
      <c r="J207">
        <v>37.549999999999997</v>
      </c>
      <c r="K207" t="s">
        <v>431</v>
      </c>
      <c r="L207">
        <f>_INVESTEMENTDATA[[#This Row],[Investment_Amount]]*0.18</f>
        <v>866906.1</v>
      </c>
      <c r="M207">
        <f>_INVESTEMENTDATA[[#This Row],[Investment_Amount]]*0.18*25</f>
        <v>21672652.5</v>
      </c>
    </row>
    <row r="208" spans="1:13" x14ac:dyDescent="0.25">
      <c r="A208" t="s">
        <v>432</v>
      </c>
      <c r="B208" t="s">
        <v>17</v>
      </c>
      <c r="C208">
        <v>24</v>
      </c>
      <c r="D208" t="s">
        <v>46</v>
      </c>
      <c r="E208" t="s">
        <v>57</v>
      </c>
      <c r="F208" t="s">
        <v>47</v>
      </c>
      <c r="G208">
        <v>1181622</v>
      </c>
      <c r="H208">
        <f t="shared" ca="1" si="3"/>
        <v>241</v>
      </c>
      <c r="I208">
        <v>14.51</v>
      </c>
      <c r="J208">
        <v>2.0299999999999998</v>
      </c>
      <c r="K208" t="s">
        <v>433</v>
      </c>
      <c r="L208">
        <f>_INVESTEMENTDATA[[#This Row],[Investment_Amount]]*0.18</f>
        <v>212691.96</v>
      </c>
      <c r="M208">
        <f>_INVESTEMENTDATA[[#This Row],[Investment_Amount]]*0.18*25</f>
        <v>5317299</v>
      </c>
    </row>
    <row r="209" spans="1:13" x14ac:dyDescent="0.25">
      <c r="A209" t="s">
        <v>434</v>
      </c>
      <c r="B209" t="s">
        <v>11</v>
      </c>
      <c r="C209">
        <v>28</v>
      </c>
      <c r="D209" t="s">
        <v>46</v>
      </c>
      <c r="E209" t="s">
        <v>19</v>
      </c>
      <c r="F209" t="s">
        <v>35</v>
      </c>
      <c r="G209">
        <v>4240840</v>
      </c>
      <c r="H209">
        <f t="shared" ca="1" si="3"/>
        <v>309</v>
      </c>
      <c r="I209">
        <v>18.600000000000001</v>
      </c>
      <c r="J209">
        <v>1.78</v>
      </c>
      <c r="K209" t="s">
        <v>435</v>
      </c>
      <c r="L209">
        <f>_INVESTEMENTDATA[[#This Row],[Investment_Amount]]*0.18</f>
        <v>763351.2</v>
      </c>
      <c r="M209">
        <f>_INVESTEMENTDATA[[#This Row],[Investment_Amount]]*0.18*25</f>
        <v>19083780</v>
      </c>
    </row>
    <row r="210" spans="1:13" x14ac:dyDescent="0.25">
      <c r="A210" t="s">
        <v>436</v>
      </c>
      <c r="B210" t="s">
        <v>11</v>
      </c>
      <c r="C210">
        <v>24</v>
      </c>
      <c r="D210" t="s">
        <v>46</v>
      </c>
      <c r="E210" t="s">
        <v>23</v>
      </c>
      <c r="F210" t="s">
        <v>20</v>
      </c>
      <c r="G210">
        <v>4787159</v>
      </c>
      <c r="H210">
        <f t="shared" ca="1" si="3"/>
        <v>107</v>
      </c>
      <c r="I210">
        <v>34.32</v>
      </c>
      <c r="J210">
        <v>-3.88</v>
      </c>
      <c r="K210" t="s">
        <v>437</v>
      </c>
      <c r="L210">
        <f>_INVESTEMENTDATA[[#This Row],[Investment_Amount]]*0.18</f>
        <v>861688.62</v>
      </c>
      <c r="M210">
        <f>_INVESTEMENTDATA[[#This Row],[Investment_Amount]]*0.18*25</f>
        <v>21542215.5</v>
      </c>
    </row>
    <row r="211" spans="1:13" x14ac:dyDescent="0.25">
      <c r="A211" t="s">
        <v>438</v>
      </c>
      <c r="B211" t="s">
        <v>17</v>
      </c>
      <c r="C211">
        <v>46</v>
      </c>
      <c r="D211" t="s">
        <v>38</v>
      </c>
      <c r="E211" t="s">
        <v>19</v>
      </c>
      <c r="F211" t="s">
        <v>47</v>
      </c>
      <c r="G211">
        <v>1123820</v>
      </c>
      <c r="H211">
        <f t="shared" ca="1" si="3"/>
        <v>130</v>
      </c>
      <c r="I211">
        <v>9.2899999999999991</v>
      </c>
      <c r="J211">
        <v>39.96</v>
      </c>
      <c r="K211" t="s">
        <v>439</v>
      </c>
      <c r="L211">
        <f>_INVESTEMENTDATA[[#This Row],[Investment_Amount]]*0.18</f>
        <v>202287.6</v>
      </c>
      <c r="M211">
        <f>_INVESTEMENTDATA[[#This Row],[Investment_Amount]]*0.18*25</f>
        <v>5057190</v>
      </c>
    </row>
    <row r="212" spans="1:13" x14ac:dyDescent="0.25">
      <c r="A212" t="s">
        <v>440</v>
      </c>
      <c r="B212" t="s">
        <v>11</v>
      </c>
      <c r="C212">
        <v>33</v>
      </c>
      <c r="D212" t="s">
        <v>46</v>
      </c>
      <c r="E212" t="s">
        <v>29</v>
      </c>
      <c r="F212" t="s">
        <v>41</v>
      </c>
      <c r="G212">
        <v>4134355</v>
      </c>
      <c r="H212">
        <f t="shared" ca="1" si="3"/>
        <v>254</v>
      </c>
      <c r="I212">
        <v>19.11</v>
      </c>
      <c r="J212">
        <v>-3.02</v>
      </c>
      <c r="K212" t="s">
        <v>441</v>
      </c>
      <c r="L212">
        <f>_INVESTEMENTDATA[[#This Row],[Investment_Amount]]*0.18</f>
        <v>744183.9</v>
      </c>
      <c r="M212">
        <f>_INVESTEMENTDATA[[#This Row],[Investment_Amount]]*0.18*25</f>
        <v>18604597.5</v>
      </c>
    </row>
    <row r="213" spans="1:13" x14ac:dyDescent="0.25">
      <c r="A213" t="s">
        <v>442</v>
      </c>
      <c r="B213" t="s">
        <v>17</v>
      </c>
      <c r="C213">
        <v>30</v>
      </c>
      <c r="D213" t="s">
        <v>46</v>
      </c>
      <c r="E213" t="s">
        <v>19</v>
      </c>
      <c r="F213" t="s">
        <v>35</v>
      </c>
      <c r="G213">
        <v>456498</v>
      </c>
      <c r="H213">
        <f t="shared" ca="1" si="3"/>
        <v>67</v>
      </c>
      <c r="I213">
        <v>10.91</v>
      </c>
      <c r="J213">
        <v>18.43</v>
      </c>
      <c r="K213" t="s">
        <v>443</v>
      </c>
      <c r="L213">
        <f>_INVESTEMENTDATA[[#This Row],[Investment_Amount]]*0.18</f>
        <v>82169.64</v>
      </c>
      <c r="M213">
        <f>_INVESTEMENTDATA[[#This Row],[Investment_Amount]]*0.18*25</f>
        <v>2054241</v>
      </c>
    </row>
    <row r="214" spans="1:13" x14ac:dyDescent="0.25">
      <c r="A214" t="s">
        <v>444</v>
      </c>
      <c r="B214" t="s">
        <v>17</v>
      </c>
      <c r="C214">
        <v>54</v>
      </c>
      <c r="D214" t="s">
        <v>12</v>
      </c>
      <c r="E214" t="s">
        <v>23</v>
      </c>
      <c r="F214" t="s">
        <v>14</v>
      </c>
      <c r="G214">
        <v>3521621</v>
      </c>
      <c r="H214">
        <f t="shared" ca="1" si="3"/>
        <v>150</v>
      </c>
      <c r="I214">
        <v>12.91</v>
      </c>
      <c r="J214">
        <v>30.84</v>
      </c>
      <c r="K214" t="s">
        <v>166</v>
      </c>
      <c r="L214">
        <f>_INVESTEMENTDATA[[#This Row],[Investment_Amount]]*0.18</f>
        <v>633891.78</v>
      </c>
      <c r="M214">
        <f>_INVESTEMENTDATA[[#This Row],[Investment_Amount]]*0.18*25</f>
        <v>15847294.5</v>
      </c>
    </row>
    <row r="215" spans="1:13" x14ac:dyDescent="0.25">
      <c r="A215" t="s">
        <v>445</v>
      </c>
      <c r="B215" t="s">
        <v>17</v>
      </c>
      <c r="C215">
        <v>60</v>
      </c>
      <c r="D215" t="s">
        <v>38</v>
      </c>
      <c r="E215" t="s">
        <v>57</v>
      </c>
      <c r="F215" t="s">
        <v>41</v>
      </c>
      <c r="G215">
        <v>2652326</v>
      </c>
      <c r="H215">
        <f t="shared" ca="1" si="3"/>
        <v>231</v>
      </c>
      <c r="I215">
        <v>21.53</v>
      </c>
      <c r="J215">
        <v>-1.66</v>
      </c>
      <c r="K215" t="s">
        <v>446</v>
      </c>
      <c r="L215">
        <f>_INVESTEMENTDATA[[#This Row],[Investment_Amount]]*0.18</f>
        <v>477418.68</v>
      </c>
      <c r="M215">
        <f>_INVESTEMENTDATA[[#This Row],[Investment_Amount]]*0.18*25</f>
        <v>11935467</v>
      </c>
    </row>
    <row r="216" spans="1:13" x14ac:dyDescent="0.25">
      <c r="A216" t="s">
        <v>447</v>
      </c>
      <c r="B216" t="s">
        <v>11</v>
      </c>
      <c r="C216">
        <v>42</v>
      </c>
      <c r="D216" t="s">
        <v>18</v>
      </c>
      <c r="E216" t="s">
        <v>57</v>
      </c>
      <c r="F216" t="s">
        <v>35</v>
      </c>
      <c r="G216">
        <v>4918752</v>
      </c>
      <c r="H216">
        <f t="shared" ca="1" si="3"/>
        <v>342</v>
      </c>
      <c r="I216">
        <v>5.69</v>
      </c>
      <c r="J216">
        <v>-6.94</v>
      </c>
      <c r="K216" t="s">
        <v>448</v>
      </c>
      <c r="L216">
        <f>_INVESTEMENTDATA[[#This Row],[Investment_Amount]]*0.18</f>
        <v>885375.36</v>
      </c>
      <c r="M216">
        <f>_INVESTEMENTDATA[[#This Row],[Investment_Amount]]*0.18*25</f>
        <v>22134384</v>
      </c>
    </row>
    <row r="217" spans="1:13" x14ac:dyDescent="0.25">
      <c r="A217" t="s">
        <v>449</v>
      </c>
      <c r="B217" t="s">
        <v>11</v>
      </c>
      <c r="C217">
        <v>65</v>
      </c>
      <c r="D217" t="s">
        <v>18</v>
      </c>
      <c r="E217" t="s">
        <v>13</v>
      </c>
      <c r="F217" t="s">
        <v>35</v>
      </c>
      <c r="G217">
        <v>120406</v>
      </c>
      <c r="H217">
        <f t="shared" ca="1" si="3"/>
        <v>319</v>
      </c>
      <c r="I217">
        <v>19.59</v>
      </c>
      <c r="J217">
        <v>10.51</v>
      </c>
      <c r="K217" t="s">
        <v>44</v>
      </c>
      <c r="L217">
        <f>_INVESTEMENTDATA[[#This Row],[Investment_Amount]]*0.18</f>
        <v>21673.079999999998</v>
      </c>
      <c r="M217">
        <f>_INVESTEMENTDATA[[#This Row],[Investment_Amount]]*0.18*25</f>
        <v>541827</v>
      </c>
    </row>
    <row r="218" spans="1:13" x14ac:dyDescent="0.25">
      <c r="A218" t="s">
        <v>450</v>
      </c>
      <c r="B218" t="s">
        <v>11</v>
      </c>
      <c r="C218">
        <v>62</v>
      </c>
      <c r="D218" t="s">
        <v>46</v>
      </c>
      <c r="E218" t="s">
        <v>57</v>
      </c>
      <c r="F218" t="s">
        <v>14</v>
      </c>
      <c r="G218">
        <v>396753</v>
      </c>
      <c r="H218">
        <f t="shared" ca="1" si="3"/>
        <v>40</v>
      </c>
      <c r="I218">
        <v>21.3</v>
      </c>
      <c r="J218">
        <v>35.39</v>
      </c>
      <c r="K218" t="s">
        <v>451</v>
      </c>
      <c r="L218">
        <f>_INVESTEMENTDATA[[#This Row],[Investment_Amount]]*0.18</f>
        <v>71415.539999999994</v>
      </c>
      <c r="M218">
        <f>_INVESTEMENTDATA[[#This Row],[Investment_Amount]]*0.18*25</f>
        <v>1785388.4999999998</v>
      </c>
    </row>
    <row r="219" spans="1:13" x14ac:dyDescent="0.25">
      <c r="A219" t="s">
        <v>452</v>
      </c>
      <c r="B219" t="s">
        <v>11</v>
      </c>
      <c r="C219">
        <v>31</v>
      </c>
      <c r="D219" t="s">
        <v>18</v>
      </c>
      <c r="E219" t="s">
        <v>57</v>
      </c>
      <c r="F219" t="s">
        <v>30</v>
      </c>
      <c r="G219">
        <v>1612854</v>
      </c>
      <c r="H219">
        <f t="shared" ca="1" si="3"/>
        <v>353</v>
      </c>
      <c r="I219">
        <v>5.32</v>
      </c>
      <c r="J219">
        <v>20.88</v>
      </c>
      <c r="K219" t="s">
        <v>453</v>
      </c>
      <c r="L219">
        <f>_INVESTEMENTDATA[[#This Row],[Investment_Amount]]*0.18</f>
        <v>290313.71999999997</v>
      </c>
      <c r="M219">
        <f>_INVESTEMENTDATA[[#This Row],[Investment_Amount]]*0.18*25</f>
        <v>7257842.9999999991</v>
      </c>
    </row>
    <row r="220" spans="1:13" x14ac:dyDescent="0.25">
      <c r="A220" t="s">
        <v>454</v>
      </c>
      <c r="B220" t="s">
        <v>17</v>
      </c>
      <c r="C220">
        <v>52</v>
      </c>
      <c r="D220" t="s">
        <v>46</v>
      </c>
      <c r="E220" t="s">
        <v>13</v>
      </c>
      <c r="F220" t="s">
        <v>41</v>
      </c>
      <c r="G220">
        <v>538068</v>
      </c>
      <c r="H220">
        <f t="shared" ca="1" si="3"/>
        <v>247</v>
      </c>
      <c r="I220">
        <v>10.71</v>
      </c>
      <c r="J220">
        <v>18.82</v>
      </c>
      <c r="K220" t="s">
        <v>455</v>
      </c>
      <c r="L220">
        <f>_INVESTEMENTDATA[[#This Row],[Investment_Amount]]*0.18</f>
        <v>96852.239999999991</v>
      </c>
      <c r="M220">
        <f>_INVESTEMENTDATA[[#This Row],[Investment_Amount]]*0.18*25</f>
        <v>2421306</v>
      </c>
    </row>
    <row r="221" spans="1:13" x14ac:dyDescent="0.25">
      <c r="A221" t="s">
        <v>456</v>
      </c>
      <c r="B221" t="s">
        <v>11</v>
      </c>
      <c r="C221">
        <v>40</v>
      </c>
      <c r="D221" t="s">
        <v>46</v>
      </c>
      <c r="E221" t="s">
        <v>13</v>
      </c>
      <c r="F221" t="s">
        <v>35</v>
      </c>
      <c r="G221">
        <v>1797233</v>
      </c>
      <c r="H221">
        <f t="shared" ca="1" si="3"/>
        <v>321</v>
      </c>
      <c r="I221">
        <v>29.89</v>
      </c>
      <c r="J221">
        <v>6.31</v>
      </c>
      <c r="K221" t="s">
        <v>457</v>
      </c>
      <c r="L221">
        <f>_INVESTEMENTDATA[[#This Row],[Investment_Amount]]*0.18</f>
        <v>323501.94</v>
      </c>
      <c r="M221">
        <f>_INVESTEMENTDATA[[#This Row],[Investment_Amount]]*0.18*25</f>
        <v>8087548.5</v>
      </c>
    </row>
    <row r="222" spans="1:13" x14ac:dyDescent="0.25">
      <c r="A222" t="s">
        <v>458</v>
      </c>
      <c r="B222" t="s">
        <v>17</v>
      </c>
      <c r="C222">
        <v>63</v>
      </c>
      <c r="D222" t="s">
        <v>46</v>
      </c>
      <c r="E222" t="s">
        <v>19</v>
      </c>
      <c r="F222" t="s">
        <v>35</v>
      </c>
      <c r="G222">
        <v>3380286</v>
      </c>
      <c r="H222">
        <f t="shared" ca="1" si="3"/>
        <v>55</v>
      </c>
      <c r="I222">
        <v>10.69</v>
      </c>
      <c r="J222">
        <v>10.81</v>
      </c>
      <c r="K222" t="s">
        <v>459</v>
      </c>
      <c r="L222">
        <f>_INVESTEMENTDATA[[#This Row],[Investment_Amount]]*0.18</f>
        <v>608451.48</v>
      </c>
      <c r="M222">
        <f>_INVESTEMENTDATA[[#This Row],[Investment_Amount]]*0.18*25</f>
        <v>15211287</v>
      </c>
    </row>
    <row r="223" spans="1:13" x14ac:dyDescent="0.25">
      <c r="A223" t="s">
        <v>460</v>
      </c>
      <c r="B223" t="s">
        <v>17</v>
      </c>
      <c r="C223">
        <v>25</v>
      </c>
      <c r="D223" t="s">
        <v>46</v>
      </c>
      <c r="E223" t="s">
        <v>23</v>
      </c>
      <c r="F223" t="s">
        <v>30</v>
      </c>
      <c r="G223">
        <v>2375851</v>
      </c>
      <c r="H223">
        <f t="shared" ca="1" si="3"/>
        <v>203</v>
      </c>
      <c r="I223">
        <v>9.17</v>
      </c>
      <c r="J223">
        <v>20.079999999999998</v>
      </c>
      <c r="K223" t="s">
        <v>461</v>
      </c>
      <c r="L223">
        <f>_INVESTEMENTDATA[[#This Row],[Investment_Amount]]*0.18</f>
        <v>427653.18</v>
      </c>
      <c r="M223">
        <f>_INVESTEMENTDATA[[#This Row],[Investment_Amount]]*0.18*25</f>
        <v>10691329.5</v>
      </c>
    </row>
    <row r="224" spans="1:13" x14ac:dyDescent="0.25">
      <c r="A224" t="s">
        <v>462</v>
      </c>
      <c r="B224" t="s">
        <v>11</v>
      </c>
      <c r="C224">
        <v>48</v>
      </c>
      <c r="D224" t="s">
        <v>46</v>
      </c>
      <c r="E224" t="s">
        <v>19</v>
      </c>
      <c r="F224" t="s">
        <v>14</v>
      </c>
      <c r="G224">
        <v>3631090</v>
      </c>
      <c r="H224">
        <f t="shared" ca="1" si="3"/>
        <v>150</v>
      </c>
      <c r="I224">
        <v>20.39</v>
      </c>
      <c r="J224">
        <v>40.700000000000003</v>
      </c>
      <c r="K224" t="s">
        <v>463</v>
      </c>
      <c r="L224">
        <f>_INVESTEMENTDATA[[#This Row],[Investment_Amount]]*0.18</f>
        <v>653596.19999999995</v>
      </c>
      <c r="M224">
        <f>_INVESTEMENTDATA[[#This Row],[Investment_Amount]]*0.18*25</f>
        <v>16339904.999999998</v>
      </c>
    </row>
    <row r="225" spans="1:13" x14ac:dyDescent="0.25">
      <c r="A225" t="s">
        <v>464</v>
      </c>
      <c r="B225" t="s">
        <v>11</v>
      </c>
      <c r="C225">
        <v>56</v>
      </c>
      <c r="D225" t="s">
        <v>46</v>
      </c>
      <c r="E225" t="s">
        <v>29</v>
      </c>
      <c r="F225" t="s">
        <v>47</v>
      </c>
      <c r="G225">
        <v>1440710</v>
      </c>
      <c r="H225">
        <f t="shared" ca="1" si="3"/>
        <v>238</v>
      </c>
      <c r="I225">
        <v>21.48</v>
      </c>
      <c r="J225">
        <v>38.979999999999997</v>
      </c>
      <c r="K225" t="s">
        <v>465</v>
      </c>
      <c r="L225">
        <f>_INVESTEMENTDATA[[#This Row],[Investment_Amount]]*0.18</f>
        <v>259327.8</v>
      </c>
      <c r="M225">
        <f>_INVESTEMENTDATA[[#This Row],[Investment_Amount]]*0.18*25</f>
        <v>6483195</v>
      </c>
    </row>
    <row r="226" spans="1:13" x14ac:dyDescent="0.25">
      <c r="A226" t="s">
        <v>466</v>
      </c>
      <c r="B226" t="s">
        <v>11</v>
      </c>
      <c r="C226">
        <v>57</v>
      </c>
      <c r="D226" t="s">
        <v>46</v>
      </c>
      <c r="E226" t="s">
        <v>19</v>
      </c>
      <c r="F226" t="s">
        <v>14</v>
      </c>
      <c r="G226">
        <v>887126</v>
      </c>
      <c r="H226">
        <f t="shared" ca="1" si="3"/>
        <v>136</v>
      </c>
      <c r="I226">
        <v>33.299999999999997</v>
      </c>
      <c r="J226">
        <v>-8.59</v>
      </c>
      <c r="K226" t="s">
        <v>153</v>
      </c>
      <c r="L226">
        <f>_INVESTEMENTDATA[[#This Row],[Investment_Amount]]*0.18</f>
        <v>159682.68</v>
      </c>
      <c r="M226">
        <f>_INVESTEMENTDATA[[#This Row],[Investment_Amount]]*0.18*25</f>
        <v>3992067</v>
      </c>
    </row>
    <row r="227" spans="1:13" x14ac:dyDescent="0.25">
      <c r="A227" t="s">
        <v>467</v>
      </c>
      <c r="B227" t="s">
        <v>11</v>
      </c>
      <c r="C227">
        <v>51</v>
      </c>
      <c r="D227" t="s">
        <v>28</v>
      </c>
      <c r="E227" t="s">
        <v>19</v>
      </c>
      <c r="F227" t="s">
        <v>41</v>
      </c>
      <c r="G227">
        <v>3269498</v>
      </c>
      <c r="H227">
        <f t="shared" ca="1" si="3"/>
        <v>185</v>
      </c>
      <c r="I227">
        <v>14.43</v>
      </c>
      <c r="J227">
        <v>25.09</v>
      </c>
      <c r="K227" t="s">
        <v>468</v>
      </c>
      <c r="L227">
        <f>_INVESTEMENTDATA[[#This Row],[Investment_Amount]]*0.18</f>
        <v>588509.64</v>
      </c>
      <c r="M227">
        <f>_INVESTEMENTDATA[[#This Row],[Investment_Amount]]*0.18*25</f>
        <v>14712741</v>
      </c>
    </row>
    <row r="228" spans="1:13" x14ac:dyDescent="0.25">
      <c r="A228" t="s">
        <v>469</v>
      </c>
      <c r="B228" t="s">
        <v>11</v>
      </c>
      <c r="C228">
        <v>46</v>
      </c>
      <c r="D228" t="s">
        <v>18</v>
      </c>
      <c r="E228" t="s">
        <v>23</v>
      </c>
      <c r="F228" t="s">
        <v>14</v>
      </c>
      <c r="G228">
        <v>4297886</v>
      </c>
      <c r="H228">
        <f t="shared" ca="1" si="3"/>
        <v>282</v>
      </c>
      <c r="I228">
        <v>15.18</v>
      </c>
      <c r="J228">
        <v>28.82</v>
      </c>
      <c r="K228" t="s">
        <v>470</v>
      </c>
      <c r="L228">
        <f>_INVESTEMENTDATA[[#This Row],[Investment_Amount]]*0.18</f>
        <v>773619.48</v>
      </c>
      <c r="M228">
        <f>_INVESTEMENTDATA[[#This Row],[Investment_Amount]]*0.18*25</f>
        <v>19340487</v>
      </c>
    </row>
    <row r="229" spans="1:13" x14ac:dyDescent="0.25">
      <c r="A229" t="s">
        <v>471</v>
      </c>
      <c r="B229" t="s">
        <v>11</v>
      </c>
      <c r="C229">
        <v>23</v>
      </c>
      <c r="D229" t="s">
        <v>38</v>
      </c>
      <c r="E229" t="s">
        <v>50</v>
      </c>
      <c r="F229" t="s">
        <v>47</v>
      </c>
      <c r="G229">
        <v>1749204</v>
      </c>
      <c r="H229">
        <f t="shared" ca="1" si="3"/>
        <v>197</v>
      </c>
      <c r="I229">
        <v>17.89</v>
      </c>
      <c r="J229">
        <v>16.89</v>
      </c>
      <c r="K229" t="s">
        <v>472</v>
      </c>
      <c r="L229">
        <f>_INVESTEMENTDATA[[#This Row],[Investment_Amount]]*0.18</f>
        <v>314856.71999999997</v>
      </c>
      <c r="M229">
        <f>_INVESTEMENTDATA[[#This Row],[Investment_Amount]]*0.18*25</f>
        <v>7871417.9999999991</v>
      </c>
    </row>
    <row r="230" spans="1:13" x14ac:dyDescent="0.25">
      <c r="A230" t="s">
        <v>473</v>
      </c>
      <c r="B230" t="s">
        <v>17</v>
      </c>
      <c r="C230">
        <v>37</v>
      </c>
      <c r="D230" t="s">
        <v>18</v>
      </c>
      <c r="E230" t="s">
        <v>13</v>
      </c>
      <c r="F230" t="s">
        <v>41</v>
      </c>
      <c r="G230">
        <v>3205796</v>
      </c>
      <c r="H230">
        <f t="shared" ca="1" si="3"/>
        <v>309</v>
      </c>
      <c r="I230">
        <v>22.06</v>
      </c>
      <c r="J230">
        <v>38.79</v>
      </c>
      <c r="K230" t="s">
        <v>474</v>
      </c>
      <c r="L230">
        <f>_INVESTEMENTDATA[[#This Row],[Investment_Amount]]*0.18</f>
        <v>577043.28</v>
      </c>
      <c r="M230">
        <f>_INVESTEMENTDATA[[#This Row],[Investment_Amount]]*0.18*25</f>
        <v>14426082</v>
      </c>
    </row>
    <row r="231" spans="1:13" x14ac:dyDescent="0.25">
      <c r="A231" t="s">
        <v>475</v>
      </c>
      <c r="B231" t="s">
        <v>17</v>
      </c>
      <c r="C231">
        <v>40</v>
      </c>
      <c r="D231" t="s">
        <v>46</v>
      </c>
      <c r="E231" t="s">
        <v>57</v>
      </c>
      <c r="F231" t="s">
        <v>20</v>
      </c>
      <c r="G231">
        <v>2543024</v>
      </c>
      <c r="H231">
        <f t="shared" ca="1" si="3"/>
        <v>29</v>
      </c>
      <c r="I231">
        <v>12.03</v>
      </c>
      <c r="J231">
        <v>19.059999999999999</v>
      </c>
      <c r="K231" t="s">
        <v>476</v>
      </c>
      <c r="L231">
        <f>_INVESTEMENTDATA[[#This Row],[Investment_Amount]]*0.18</f>
        <v>457744.32</v>
      </c>
      <c r="M231">
        <f>_INVESTEMENTDATA[[#This Row],[Investment_Amount]]*0.18*25</f>
        <v>11443608</v>
      </c>
    </row>
    <row r="232" spans="1:13" x14ac:dyDescent="0.25">
      <c r="A232" t="s">
        <v>477</v>
      </c>
      <c r="B232" t="s">
        <v>17</v>
      </c>
      <c r="C232">
        <v>25</v>
      </c>
      <c r="D232" t="s">
        <v>46</v>
      </c>
      <c r="E232" t="s">
        <v>19</v>
      </c>
      <c r="F232" t="s">
        <v>30</v>
      </c>
      <c r="G232">
        <v>1030318</v>
      </c>
      <c r="H232">
        <f t="shared" ca="1" si="3"/>
        <v>180</v>
      </c>
      <c r="I232">
        <v>19.96</v>
      </c>
      <c r="J232">
        <v>14.09</v>
      </c>
      <c r="K232" t="s">
        <v>478</v>
      </c>
      <c r="L232">
        <f>_INVESTEMENTDATA[[#This Row],[Investment_Amount]]*0.18</f>
        <v>185457.24</v>
      </c>
      <c r="M232">
        <f>_INVESTEMENTDATA[[#This Row],[Investment_Amount]]*0.18*25</f>
        <v>4636431</v>
      </c>
    </row>
    <row r="233" spans="1:13" x14ac:dyDescent="0.25">
      <c r="A233" t="s">
        <v>479</v>
      </c>
      <c r="B233" t="s">
        <v>17</v>
      </c>
      <c r="C233">
        <v>54</v>
      </c>
      <c r="D233" t="s">
        <v>12</v>
      </c>
      <c r="E233" t="s">
        <v>29</v>
      </c>
      <c r="F233" t="s">
        <v>47</v>
      </c>
      <c r="G233">
        <v>2484552</v>
      </c>
      <c r="H233">
        <f t="shared" ca="1" si="3"/>
        <v>130</v>
      </c>
      <c r="I233">
        <v>23.58</v>
      </c>
      <c r="J233">
        <v>12.28</v>
      </c>
      <c r="K233" t="s">
        <v>480</v>
      </c>
      <c r="L233">
        <f>_INVESTEMENTDATA[[#This Row],[Investment_Amount]]*0.18</f>
        <v>447219.36</v>
      </c>
      <c r="M233">
        <f>_INVESTEMENTDATA[[#This Row],[Investment_Amount]]*0.18*25</f>
        <v>11180484</v>
      </c>
    </row>
    <row r="234" spans="1:13" x14ac:dyDescent="0.25">
      <c r="A234" t="s">
        <v>481</v>
      </c>
      <c r="B234" t="s">
        <v>11</v>
      </c>
      <c r="C234">
        <v>64</v>
      </c>
      <c r="D234" t="s">
        <v>38</v>
      </c>
      <c r="E234" t="s">
        <v>57</v>
      </c>
      <c r="F234" t="s">
        <v>14</v>
      </c>
      <c r="G234">
        <v>677942</v>
      </c>
      <c r="H234">
        <f t="shared" ca="1" si="3"/>
        <v>351</v>
      </c>
      <c r="I234">
        <v>20</v>
      </c>
      <c r="J234">
        <v>5.96</v>
      </c>
      <c r="K234" t="s">
        <v>238</v>
      </c>
      <c r="L234">
        <f>_INVESTEMENTDATA[[#This Row],[Investment_Amount]]*0.18</f>
        <v>122029.56</v>
      </c>
      <c r="M234">
        <f>_INVESTEMENTDATA[[#This Row],[Investment_Amount]]*0.18*25</f>
        <v>3050739</v>
      </c>
    </row>
    <row r="235" spans="1:13" x14ac:dyDescent="0.25">
      <c r="A235" t="s">
        <v>482</v>
      </c>
      <c r="B235" t="s">
        <v>11</v>
      </c>
      <c r="C235">
        <v>38</v>
      </c>
      <c r="D235" t="s">
        <v>46</v>
      </c>
      <c r="E235" t="s">
        <v>50</v>
      </c>
      <c r="F235" t="s">
        <v>20</v>
      </c>
      <c r="G235">
        <v>3508471</v>
      </c>
      <c r="H235">
        <f t="shared" ca="1" si="3"/>
        <v>302</v>
      </c>
      <c r="I235">
        <v>21.17</v>
      </c>
      <c r="J235">
        <v>22.69</v>
      </c>
      <c r="K235" t="s">
        <v>483</v>
      </c>
      <c r="L235">
        <f>_INVESTEMENTDATA[[#This Row],[Investment_Amount]]*0.18</f>
        <v>631524.78</v>
      </c>
      <c r="M235">
        <f>_INVESTEMENTDATA[[#This Row],[Investment_Amount]]*0.18*25</f>
        <v>15788119.5</v>
      </c>
    </row>
    <row r="236" spans="1:13" x14ac:dyDescent="0.25">
      <c r="A236" t="s">
        <v>484</v>
      </c>
      <c r="B236" t="s">
        <v>11</v>
      </c>
      <c r="C236">
        <v>38</v>
      </c>
      <c r="D236" t="s">
        <v>12</v>
      </c>
      <c r="E236" t="s">
        <v>50</v>
      </c>
      <c r="F236" t="s">
        <v>35</v>
      </c>
      <c r="G236">
        <v>4682488</v>
      </c>
      <c r="H236">
        <f t="shared" ca="1" si="3"/>
        <v>162</v>
      </c>
      <c r="I236">
        <v>28.63</v>
      </c>
      <c r="J236">
        <v>0.38</v>
      </c>
      <c r="K236" t="s">
        <v>485</v>
      </c>
      <c r="L236">
        <f>_INVESTEMENTDATA[[#This Row],[Investment_Amount]]*0.18</f>
        <v>842847.84</v>
      </c>
      <c r="M236">
        <f>_INVESTEMENTDATA[[#This Row],[Investment_Amount]]*0.18*25</f>
        <v>21071196</v>
      </c>
    </row>
    <row r="237" spans="1:13" x14ac:dyDescent="0.25">
      <c r="A237" t="s">
        <v>486</v>
      </c>
      <c r="B237" t="s">
        <v>17</v>
      </c>
      <c r="C237">
        <v>36</v>
      </c>
      <c r="D237" t="s">
        <v>38</v>
      </c>
      <c r="E237" t="s">
        <v>23</v>
      </c>
      <c r="F237" t="s">
        <v>41</v>
      </c>
      <c r="G237">
        <v>1417144</v>
      </c>
      <c r="H237">
        <f t="shared" ca="1" si="3"/>
        <v>356</v>
      </c>
      <c r="I237">
        <v>13.51</v>
      </c>
      <c r="J237">
        <v>36.950000000000003</v>
      </c>
      <c r="K237" t="s">
        <v>487</v>
      </c>
      <c r="L237">
        <f>_INVESTEMENTDATA[[#This Row],[Investment_Amount]]*0.18</f>
        <v>255085.91999999998</v>
      </c>
      <c r="M237">
        <f>_INVESTEMENTDATA[[#This Row],[Investment_Amount]]*0.18*25</f>
        <v>6377148</v>
      </c>
    </row>
    <row r="238" spans="1:13" x14ac:dyDescent="0.25">
      <c r="A238" t="s">
        <v>488</v>
      </c>
      <c r="B238" t="s">
        <v>17</v>
      </c>
      <c r="C238">
        <v>44</v>
      </c>
      <c r="D238" t="s">
        <v>38</v>
      </c>
      <c r="E238" t="s">
        <v>29</v>
      </c>
      <c r="F238" t="s">
        <v>20</v>
      </c>
      <c r="G238">
        <v>262139</v>
      </c>
      <c r="H238">
        <f t="shared" ca="1" si="3"/>
        <v>317</v>
      </c>
      <c r="I238">
        <v>28.77</v>
      </c>
      <c r="J238">
        <v>30.15</v>
      </c>
      <c r="K238" t="s">
        <v>489</v>
      </c>
      <c r="L238">
        <f>_INVESTEMENTDATA[[#This Row],[Investment_Amount]]*0.18</f>
        <v>47185.02</v>
      </c>
      <c r="M238">
        <f>_INVESTEMENTDATA[[#This Row],[Investment_Amount]]*0.18*25</f>
        <v>1179625.5</v>
      </c>
    </row>
    <row r="239" spans="1:13" x14ac:dyDescent="0.25">
      <c r="A239" t="s">
        <v>490</v>
      </c>
      <c r="B239" t="s">
        <v>11</v>
      </c>
      <c r="C239">
        <v>31</v>
      </c>
      <c r="D239" t="s">
        <v>18</v>
      </c>
      <c r="E239" t="s">
        <v>23</v>
      </c>
      <c r="F239" t="s">
        <v>35</v>
      </c>
      <c r="G239">
        <v>4674885</v>
      </c>
      <c r="H239">
        <f t="shared" ca="1" si="3"/>
        <v>226</v>
      </c>
      <c r="I239">
        <v>20.12</v>
      </c>
      <c r="J239">
        <v>41.63</v>
      </c>
      <c r="K239" t="s">
        <v>491</v>
      </c>
      <c r="L239">
        <f>_INVESTEMENTDATA[[#This Row],[Investment_Amount]]*0.18</f>
        <v>841479.29999999993</v>
      </c>
      <c r="M239">
        <f>_INVESTEMENTDATA[[#This Row],[Investment_Amount]]*0.18*25</f>
        <v>21036982.5</v>
      </c>
    </row>
    <row r="240" spans="1:13" x14ac:dyDescent="0.25">
      <c r="A240" t="s">
        <v>492</v>
      </c>
      <c r="B240" t="s">
        <v>11</v>
      </c>
      <c r="C240">
        <v>42</v>
      </c>
      <c r="D240" t="s">
        <v>12</v>
      </c>
      <c r="E240" t="s">
        <v>23</v>
      </c>
      <c r="F240" t="s">
        <v>30</v>
      </c>
      <c r="G240">
        <v>3604539</v>
      </c>
      <c r="H240">
        <f t="shared" ca="1" si="3"/>
        <v>364</v>
      </c>
      <c r="I240">
        <v>20.6</v>
      </c>
      <c r="J240">
        <v>21.23</v>
      </c>
      <c r="K240" t="s">
        <v>493</v>
      </c>
      <c r="L240">
        <f>_INVESTEMENTDATA[[#This Row],[Investment_Amount]]*0.18</f>
        <v>648817.02</v>
      </c>
      <c r="M240">
        <f>_INVESTEMENTDATA[[#This Row],[Investment_Amount]]*0.18*25</f>
        <v>16220425.5</v>
      </c>
    </row>
    <row r="241" spans="1:13" x14ac:dyDescent="0.25">
      <c r="A241" t="s">
        <v>494</v>
      </c>
      <c r="B241" t="s">
        <v>11</v>
      </c>
      <c r="C241">
        <v>62</v>
      </c>
      <c r="D241" t="s">
        <v>38</v>
      </c>
      <c r="E241" t="s">
        <v>23</v>
      </c>
      <c r="F241" t="s">
        <v>41</v>
      </c>
      <c r="G241">
        <v>4193053</v>
      </c>
      <c r="H241">
        <f t="shared" ca="1" si="3"/>
        <v>210</v>
      </c>
      <c r="I241">
        <v>14.72</v>
      </c>
      <c r="J241">
        <v>-8.25</v>
      </c>
      <c r="K241" t="s">
        <v>495</v>
      </c>
      <c r="L241">
        <f>_INVESTEMENTDATA[[#This Row],[Investment_Amount]]*0.18</f>
        <v>754749.53999999992</v>
      </c>
      <c r="M241">
        <f>_INVESTEMENTDATA[[#This Row],[Investment_Amount]]*0.18*25</f>
        <v>18868738.499999996</v>
      </c>
    </row>
    <row r="242" spans="1:13" x14ac:dyDescent="0.25">
      <c r="A242" t="s">
        <v>496</v>
      </c>
      <c r="B242" t="s">
        <v>11</v>
      </c>
      <c r="C242">
        <v>43</v>
      </c>
      <c r="D242" t="s">
        <v>12</v>
      </c>
      <c r="E242" t="s">
        <v>29</v>
      </c>
      <c r="F242" t="s">
        <v>35</v>
      </c>
      <c r="G242">
        <v>3091121</v>
      </c>
      <c r="H242">
        <f t="shared" ca="1" si="3"/>
        <v>43</v>
      </c>
      <c r="I242">
        <v>15.99</v>
      </c>
      <c r="J242">
        <v>29.23</v>
      </c>
      <c r="K242" t="s">
        <v>497</v>
      </c>
      <c r="L242">
        <f>_INVESTEMENTDATA[[#This Row],[Investment_Amount]]*0.18</f>
        <v>556401.78</v>
      </c>
      <c r="M242">
        <f>_INVESTEMENTDATA[[#This Row],[Investment_Amount]]*0.18*25</f>
        <v>13910044.5</v>
      </c>
    </row>
    <row r="243" spans="1:13" x14ac:dyDescent="0.25">
      <c r="A243" t="s">
        <v>498</v>
      </c>
      <c r="B243" t="s">
        <v>17</v>
      </c>
      <c r="C243">
        <v>45</v>
      </c>
      <c r="D243" t="s">
        <v>46</v>
      </c>
      <c r="E243" t="s">
        <v>29</v>
      </c>
      <c r="F243" t="s">
        <v>47</v>
      </c>
      <c r="G243">
        <v>1126131</v>
      </c>
      <c r="H243">
        <f t="shared" ca="1" si="3"/>
        <v>75</v>
      </c>
      <c r="I243">
        <v>26.02</v>
      </c>
      <c r="J243">
        <v>-1.91</v>
      </c>
      <c r="K243" t="s">
        <v>499</v>
      </c>
      <c r="L243">
        <f>_INVESTEMENTDATA[[#This Row],[Investment_Amount]]*0.18</f>
        <v>202703.58</v>
      </c>
      <c r="M243">
        <f>_INVESTEMENTDATA[[#This Row],[Investment_Amount]]*0.18*25</f>
        <v>5067589.5</v>
      </c>
    </row>
    <row r="244" spans="1:13" x14ac:dyDescent="0.25">
      <c r="A244" t="s">
        <v>500</v>
      </c>
      <c r="B244" t="s">
        <v>17</v>
      </c>
      <c r="C244">
        <v>27</v>
      </c>
      <c r="D244" t="s">
        <v>46</v>
      </c>
      <c r="E244" t="s">
        <v>23</v>
      </c>
      <c r="F244" t="s">
        <v>41</v>
      </c>
      <c r="G244">
        <v>2943631</v>
      </c>
      <c r="H244">
        <f t="shared" ca="1" si="3"/>
        <v>352</v>
      </c>
      <c r="I244">
        <v>15.72</v>
      </c>
      <c r="J244">
        <v>20.74</v>
      </c>
      <c r="K244" t="s">
        <v>501</v>
      </c>
      <c r="L244">
        <f>_INVESTEMENTDATA[[#This Row],[Investment_Amount]]*0.18</f>
        <v>529853.57999999996</v>
      </c>
      <c r="M244">
        <f>_INVESTEMENTDATA[[#This Row],[Investment_Amount]]*0.18*25</f>
        <v>13246339.499999998</v>
      </c>
    </row>
    <row r="245" spans="1:13" x14ac:dyDescent="0.25">
      <c r="A245" t="s">
        <v>502</v>
      </c>
      <c r="B245" t="s">
        <v>17</v>
      </c>
      <c r="C245">
        <v>30</v>
      </c>
      <c r="D245" t="s">
        <v>38</v>
      </c>
      <c r="E245" t="s">
        <v>29</v>
      </c>
      <c r="F245" t="s">
        <v>20</v>
      </c>
      <c r="G245">
        <v>2218130</v>
      </c>
      <c r="H245">
        <f t="shared" ca="1" si="3"/>
        <v>226</v>
      </c>
      <c r="I245">
        <v>28.62</v>
      </c>
      <c r="J245">
        <v>-0.37</v>
      </c>
      <c r="K245" t="s">
        <v>503</v>
      </c>
      <c r="L245">
        <f>_INVESTEMENTDATA[[#This Row],[Investment_Amount]]*0.18</f>
        <v>399263.39999999997</v>
      </c>
      <c r="M245">
        <f>_INVESTEMENTDATA[[#This Row],[Investment_Amount]]*0.18*25</f>
        <v>9981585</v>
      </c>
    </row>
    <row r="246" spans="1:13" x14ac:dyDescent="0.25">
      <c r="A246" t="s">
        <v>504</v>
      </c>
      <c r="B246" t="s">
        <v>11</v>
      </c>
      <c r="C246">
        <v>25</v>
      </c>
      <c r="D246" t="s">
        <v>46</v>
      </c>
      <c r="E246" t="s">
        <v>57</v>
      </c>
      <c r="F246" t="s">
        <v>30</v>
      </c>
      <c r="G246">
        <v>1492799</v>
      </c>
      <c r="H246">
        <f t="shared" ca="1" si="3"/>
        <v>224</v>
      </c>
      <c r="I246">
        <v>8.34</v>
      </c>
      <c r="J246">
        <v>6.06</v>
      </c>
      <c r="K246" t="s">
        <v>505</v>
      </c>
      <c r="L246">
        <f>_INVESTEMENTDATA[[#This Row],[Investment_Amount]]*0.18</f>
        <v>268703.82</v>
      </c>
      <c r="M246">
        <f>_INVESTEMENTDATA[[#This Row],[Investment_Amount]]*0.18*25</f>
        <v>6717595.5</v>
      </c>
    </row>
    <row r="247" spans="1:13" x14ac:dyDescent="0.25">
      <c r="A247" t="s">
        <v>506</v>
      </c>
      <c r="B247" t="s">
        <v>11</v>
      </c>
      <c r="C247">
        <v>48</v>
      </c>
      <c r="D247" t="s">
        <v>46</v>
      </c>
      <c r="E247" t="s">
        <v>13</v>
      </c>
      <c r="F247" t="s">
        <v>20</v>
      </c>
      <c r="G247">
        <v>4198602</v>
      </c>
      <c r="H247">
        <f t="shared" ca="1" si="3"/>
        <v>328</v>
      </c>
      <c r="I247">
        <v>10.71</v>
      </c>
      <c r="J247">
        <v>31.87</v>
      </c>
      <c r="K247" t="s">
        <v>507</v>
      </c>
      <c r="L247">
        <f>_INVESTEMENTDATA[[#This Row],[Investment_Amount]]*0.18</f>
        <v>755748.36</v>
      </c>
      <c r="M247">
        <f>_INVESTEMENTDATA[[#This Row],[Investment_Amount]]*0.18*25</f>
        <v>18893709</v>
      </c>
    </row>
    <row r="248" spans="1:13" x14ac:dyDescent="0.25">
      <c r="A248" t="s">
        <v>508</v>
      </c>
      <c r="B248" t="s">
        <v>17</v>
      </c>
      <c r="C248">
        <v>52</v>
      </c>
      <c r="D248" t="s">
        <v>38</v>
      </c>
      <c r="E248" t="s">
        <v>23</v>
      </c>
      <c r="F248" t="s">
        <v>30</v>
      </c>
      <c r="G248">
        <v>1519605</v>
      </c>
      <c r="H248">
        <f t="shared" ca="1" si="3"/>
        <v>88</v>
      </c>
      <c r="I248">
        <v>16.850000000000001</v>
      </c>
      <c r="J248">
        <v>44.47</v>
      </c>
      <c r="K248" t="s">
        <v>509</v>
      </c>
      <c r="L248">
        <f>_INVESTEMENTDATA[[#This Row],[Investment_Amount]]*0.18</f>
        <v>273528.89999999997</v>
      </c>
      <c r="M248">
        <f>_INVESTEMENTDATA[[#This Row],[Investment_Amount]]*0.18*25</f>
        <v>6838222.4999999991</v>
      </c>
    </row>
    <row r="249" spans="1:13" x14ac:dyDescent="0.25">
      <c r="A249" t="s">
        <v>510</v>
      </c>
      <c r="B249" t="s">
        <v>11</v>
      </c>
      <c r="C249">
        <v>29</v>
      </c>
      <c r="D249" t="s">
        <v>28</v>
      </c>
      <c r="E249" t="s">
        <v>23</v>
      </c>
      <c r="F249" t="s">
        <v>14</v>
      </c>
      <c r="G249">
        <v>3743721</v>
      </c>
      <c r="H249">
        <f t="shared" ca="1" si="3"/>
        <v>236</v>
      </c>
      <c r="I249">
        <v>14.18</v>
      </c>
      <c r="J249">
        <v>30.46</v>
      </c>
      <c r="K249" t="s">
        <v>511</v>
      </c>
      <c r="L249">
        <f>_INVESTEMENTDATA[[#This Row],[Investment_Amount]]*0.18</f>
        <v>673869.78</v>
      </c>
      <c r="M249">
        <f>_INVESTEMENTDATA[[#This Row],[Investment_Amount]]*0.18*25</f>
        <v>16846744.5</v>
      </c>
    </row>
    <row r="250" spans="1:13" x14ac:dyDescent="0.25">
      <c r="A250" t="s">
        <v>512</v>
      </c>
      <c r="B250" t="s">
        <v>17</v>
      </c>
      <c r="C250">
        <v>47</v>
      </c>
      <c r="D250" t="s">
        <v>46</v>
      </c>
      <c r="E250" t="s">
        <v>13</v>
      </c>
      <c r="F250" t="s">
        <v>47</v>
      </c>
      <c r="G250">
        <v>3655237</v>
      </c>
      <c r="H250">
        <f t="shared" ca="1" si="3"/>
        <v>83</v>
      </c>
      <c r="I250">
        <v>5.85</v>
      </c>
      <c r="J250">
        <v>18.13</v>
      </c>
      <c r="K250" t="s">
        <v>513</v>
      </c>
      <c r="L250">
        <f>_INVESTEMENTDATA[[#This Row],[Investment_Amount]]*0.18</f>
        <v>657942.66</v>
      </c>
      <c r="M250">
        <f>_INVESTEMENTDATA[[#This Row],[Investment_Amount]]*0.18*25</f>
        <v>16448566.5</v>
      </c>
    </row>
    <row r="251" spans="1:13" x14ac:dyDescent="0.25">
      <c r="A251" t="s">
        <v>514</v>
      </c>
      <c r="B251" t="s">
        <v>11</v>
      </c>
      <c r="C251">
        <v>45</v>
      </c>
      <c r="D251" t="s">
        <v>12</v>
      </c>
      <c r="E251" t="s">
        <v>19</v>
      </c>
      <c r="F251" t="s">
        <v>20</v>
      </c>
      <c r="G251">
        <v>1560363</v>
      </c>
      <c r="H251">
        <f t="shared" ca="1" si="3"/>
        <v>293</v>
      </c>
      <c r="I251">
        <v>13.8</v>
      </c>
      <c r="J251">
        <v>14.12</v>
      </c>
      <c r="K251" t="s">
        <v>515</v>
      </c>
      <c r="L251">
        <f>_INVESTEMENTDATA[[#This Row],[Investment_Amount]]*0.18</f>
        <v>280865.33999999997</v>
      </c>
      <c r="M251">
        <f>_INVESTEMENTDATA[[#This Row],[Investment_Amount]]*0.18*25</f>
        <v>7021633.4999999991</v>
      </c>
    </row>
    <row r="252" spans="1:13" x14ac:dyDescent="0.25">
      <c r="A252" t="s">
        <v>516</v>
      </c>
      <c r="B252" t="s">
        <v>17</v>
      </c>
      <c r="C252">
        <v>61</v>
      </c>
      <c r="D252" t="s">
        <v>12</v>
      </c>
      <c r="E252" t="s">
        <v>50</v>
      </c>
      <c r="F252" t="s">
        <v>14</v>
      </c>
      <c r="G252">
        <v>2188354</v>
      </c>
      <c r="H252">
        <f t="shared" ca="1" si="3"/>
        <v>48</v>
      </c>
      <c r="I252">
        <v>19.73</v>
      </c>
      <c r="J252">
        <v>-8.5500000000000007</v>
      </c>
      <c r="K252" t="s">
        <v>517</v>
      </c>
      <c r="L252">
        <f>_INVESTEMENTDATA[[#This Row],[Investment_Amount]]*0.18</f>
        <v>393903.72</v>
      </c>
      <c r="M252">
        <f>_INVESTEMENTDATA[[#This Row],[Investment_Amount]]*0.18*25</f>
        <v>9847593</v>
      </c>
    </row>
    <row r="253" spans="1:13" x14ac:dyDescent="0.25">
      <c r="A253" t="s">
        <v>518</v>
      </c>
      <c r="B253" t="s">
        <v>17</v>
      </c>
      <c r="C253">
        <v>52</v>
      </c>
      <c r="D253" t="s">
        <v>38</v>
      </c>
      <c r="E253" t="s">
        <v>50</v>
      </c>
      <c r="F253" t="s">
        <v>30</v>
      </c>
      <c r="G253">
        <v>101674</v>
      </c>
      <c r="H253">
        <f t="shared" ca="1" si="3"/>
        <v>53</v>
      </c>
      <c r="I253">
        <v>14.21</v>
      </c>
      <c r="J253">
        <v>-2.1800000000000002</v>
      </c>
      <c r="K253" t="s">
        <v>519</v>
      </c>
      <c r="L253">
        <f>_INVESTEMENTDATA[[#This Row],[Investment_Amount]]*0.18</f>
        <v>18301.32</v>
      </c>
      <c r="M253">
        <f>_INVESTEMENTDATA[[#This Row],[Investment_Amount]]*0.18*25</f>
        <v>457533</v>
      </c>
    </row>
    <row r="254" spans="1:13" x14ac:dyDescent="0.25">
      <c r="A254" t="s">
        <v>520</v>
      </c>
      <c r="B254" t="s">
        <v>11</v>
      </c>
      <c r="C254">
        <v>22</v>
      </c>
      <c r="D254" t="s">
        <v>12</v>
      </c>
      <c r="E254" t="s">
        <v>23</v>
      </c>
      <c r="F254" t="s">
        <v>35</v>
      </c>
      <c r="G254">
        <v>3941505</v>
      </c>
      <c r="H254">
        <f t="shared" ca="1" si="3"/>
        <v>213</v>
      </c>
      <c r="I254">
        <v>25.51</v>
      </c>
      <c r="J254">
        <v>31.11</v>
      </c>
      <c r="K254" t="s">
        <v>521</v>
      </c>
      <c r="L254">
        <f>_INVESTEMENTDATA[[#This Row],[Investment_Amount]]*0.18</f>
        <v>709470.9</v>
      </c>
      <c r="M254">
        <f>_INVESTEMENTDATA[[#This Row],[Investment_Amount]]*0.18*25</f>
        <v>17736772.5</v>
      </c>
    </row>
    <row r="255" spans="1:13" x14ac:dyDescent="0.25">
      <c r="A255" t="s">
        <v>522</v>
      </c>
      <c r="B255" t="s">
        <v>11</v>
      </c>
      <c r="C255">
        <v>46</v>
      </c>
      <c r="D255" t="s">
        <v>12</v>
      </c>
      <c r="E255" t="s">
        <v>29</v>
      </c>
      <c r="F255" t="s">
        <v>20</v>
      </c>
      <c r="G255">
        <v>1592121</v>
      </c>
      <c r="H255">
        <f t="shared" ca="1" si="3"/>
        <v>189</v>
      </c>
      <c r="I255">
        <v>10.9</v>
      </c>
      <c r="J255">
        <v>27.86</v>
      </c>
      <c r="K255" t="s">
        <v>523</v>
      </c>
      <c r="L255">
        <f>_INVESTEMENTDATA[[#This Row],[Investment_Amount]]*0.18</f>
        <v>286581.77999999997</v>
      </c>
      <c r="M255">
        <f>_INVESTEMENTDATA[[#This Row],[Investment_Amount]]*0.18*25</f>
        <v>7164544.4999999991</v>
      </c>
    </row>
    <row r="256" spans="1:13" x14ac:dyDescent="0.25">
      <c r="A256" t="s">
        <v>524</v>
      </c>
      <c r="B256" t="s">
        <v>11</v>
      </c>
      <c r="C256">
        <v>56</v>
      </c>
      <c r="D256" t="s">
        <v>18</v>
      </c>
      <c r="E256" t="s">
        <v>57</v>
      </c>
      <c r="F256" t="s">
        <v>47</v>
      </c>
      <c r="G256">
        <v>4937570</v>
      </c>
      <c r="H256">
        <f t="shared" ca="1" si="3"/>
        <v>230</v>
      </c>
      <c r="I256">
        <v>16.399999999999999</v>
      </c>
      <c r="J256">
        <v>15.27</v>
      </c>
      <c r="K256" t="s">
        <v>525</v>
      </c>
      <c r="L256">
        <f>_INVESTEMENTDATA[[#This Row],[Investment_Amount]]*0.18</f>
        <v>888762.6</v>
      </c>
      <c r="M256">
        <f>_INVESTEMENTDATA[[#This Row],[Investment_Amount]]*0.18*25</f>
        <v>22219065</v>
      </c>
    </row>
    <row r="257" spans="1:13" x14ac:dyDescent="0.25">
      <c r="A257" t="s">
        <v>526</v>
      </c>
      <c r="B257" t="s">
        <v>17</v>
      </c>
      <c r="C257">
        <v>29</v>
      </c>
      <c r="D257" t="s">
        <v>12</v>
      </c>
      <c r="E257" t="s">
        <v>29</v>
      </c>
      <c r="F257" t="s">
        <v>41</v>
      </c>
      <c r="G257">
        <v>1098167</v>
      </c>
      <c r="H257">
        <f t="shared" ca="1" si="3"/>
        <v>8</v>
      </c>
      <c r="I257">
        <v>17.47</v>
      </c>
      <c r="J257">
        <v>-1.02</v>
      </c>
      <c r="K257" t="s">
        <v>527</v>
      </c>
      <c r="L257">
        <f>_INVESTEMENTDATA[[#This Row],[Investment_Amount]]*0.18</f>
        <v>197670.06</v>
      </c>
      <c r="M257">
        <f>_INVESTEMENTDATA[[#This Row],[Investment_Amount]]*0.18*25</f>
        <v>4941751.5</v>
      </c>
    </row>
    <row r="258" spans="1:13" x14ac:dyDescent="0.25">
      <c r="A258" t="s">
        <v>528</v>
      </c>
      <c r="B258" t="s">
        <v>11</v>
      </c>
      <c r="C258">
        <v>33</v>
      </c>
      <c r="D258" t="s">
        <v>38</v>
      </c>
      <c r="E258" t="s">
        <v>57</v>
      </c>
      <c r="F258" t="s">
        <v>30</v>
      </c>
      <c r="G258">
        <v>4796179</v>
      </c>
      <c r="H258">
        <f t="shared" ref="H258:H321" ca="1" si="4">RANDBETWEEN(7,365)</f>
        <v>290</v>
      </c>
      <c r="I258">
        <v>27.78</v>
      </c>
      <c r="J258">
        <v>12.76</v>
      </c>
      <c r="K258" t="s">
        <v>529</v>
      </c>
      <c r="L258">
        <f>_INVESTEMENTDATA[[#This Row],[Investment_Amount]]*0.18</f>
        <v>863312.22</v>
      </c>
      <c r="M258">
        <f>_INVESTEMENTDATA[[#This Row],[Investment_Amount]]*0.18*25</f>
        <v>21582805.5</v>
      </c>
    </row>
    <row r="259" spans="1:13" x14ac:dyDescent="0.25">
      <c r="A259" t="s">
        <v>530</v>
      </c>
      <c r="B259" t="s">
        <v>17</v>
      </c>
      <c r="C259">
        <v>33</v>
      </c>
      <c r="D259" t="s">
        <v>12</v>
      </c>
      <c r="E259" t="s">
        <v>50</v>
      </c>
      <c r="F259" t="s">
        <v>30</v>
      </c>
      <c r="G259">
        <v>2878269</v>
      </c>
      <c r="H259">
        <f t="shared" ca="1" si="4"/>
        <v>293</v>
      </c>
      <c r="I259">
        <v>25.06</v>
      </c>
      <c r="J259">
        <v>-9.08</v>
      </c>
      <c r="K259" t="s">
        <v>531</v>
      </c>
      <c r="L259">
        <f>_INVESTEMENTDATA[[#This Row],[Investment_Amount]]*0.18</f>
        <v>518088.42</v>
      </c>
      <c r="M259">
        <f>_INVESTEMENTDATA[[#This Row],[Investment_Amount]]*0.18*25</f>
        <v>12952210.5</v>
      </c>
    </row>
    <row r="260" spans="1:13" x14ac:dyDescent="0.25">
      <c r="A260" t="s">
        <v>532</v>
      </c>
      <c r="B260" t="s">
        <v>11</v>
      </c>
      <c r="C260">
        <v>65</v>
      </c>
      <c r="D260" t="s">
        <v>28</v>
      </c>
      <c r="E260" t="s">
        <v>19</v>
      </c>
      <c r="F260" t="s">
        <v>41</v>
      </c>
      <c r="G260">
        <v>1899603</v>
      </c>
      <c r="H260">
        <f t="shared" ca="1" si="4"/>
        <v>124</v>
      </c>
      <c r="I260">
        <v>20.260000000000002</v>
      </c>
      <c r="J260">
        <v>29.81</v>
      </c>
      <c r="K260" t="s">
        <v>533</v>
      </c>
      <c r="L260">
        <f>_INVESTEMENTDATA[[#This Row],[Investment_Amount]]*0.18</f>
        <v>341928.54</v>
      </c>
      <c r="M260">
        <f>_INVESTEMENTDATA[[#This Row],[Investment_Amount]]*0.18*25</f>
        <v>8548213.5</v>
      </c>
    </row>
    <row r="261" spans="1:13" x14ac:dyDescent="0.25">
      <c r="A261" t="s">
        <v>534</v>
      </c>
      <c r="B261" t="s">
        <v>17</v>
      </c>
      <c r="C261">
        <v>39</v>
      </c>
      <c r="D261" t="s">
        <v>46</v>
      </c>
      <c r="E261" t="s">
        <v>57</v>
      </c>
      <c r="F261" t="s">
        <v>14</v>
      </c>
      <c r="G261">
        <v>1039661</v>
      </c>
      <c r="H261">
        <f t="shared" ca="1" si="4"/>
        <v>182</v>
      </c>
      <c r="I261">
        <v>10.19</v>
      </c>
      <c r="J261">
        <v>33.04</v>
      </c>
      <c r="K261" t="s">
        <v>535</v>
      </c>
      <c r="L261">
        <f>_INVESTEMENTDATA[[#This Row],[Investment_Amount]]*0.18</f>
        <v>187138.97999999998</v>
      </c>
      <c r="M261">
        <f>_INVESTEMENTDATA[[#This Row],[Investment_Amount]]*0.18*25</f>
        <v>4678474.5</v>
      </c>
    </row>
    <row r="262" spans="1:13" x14ac:dyDescent="0.25">
      <c r="A262" t="s">
        <v>536</v>
      </c>
      <c r="B262" t="s">
        <v>11</v>
      </c>
      <c r="C262">
        <v>41</v>
      </c>
      <c r="D262" t="s">
        <v>46</v>
      </c>
      <c r="E262" t="s">
        <v>19</v>
      </c>
      <c r="F262" t="s">
        <v>20</v>
      </c>
      <c r="G262">
        <v>222919</v>
      </c>
      <c r="H262">
        <f t="shared" ca="1" si="4"/>
        <v>39</v>
      </c>
      <c r="I262">
        <v>28.04</v>
      </c>
      <c r="J262">
        <v>15.25</v>
      </c>
      <c r="K262" t="s">
        <v>537</v>
      </c>
      <c r="L262">
        <f>_INVESTEMENTDATA[[#This Row],[Investment_Amount]]*0.18</f>
        <v>40125.42</v>
      </c>
      <c r="M262">
        <f>_INVESTEMENTDATA[[#This Row],[Investment_Amount]]*0.18*25</f>
        <v>1003135.5</v>
      </c>
    </row>
    <row r="263" spans="1:13" x14ac:dyDescent="0.25">
      <c r="A263" t="s">
        <v>538</v>
      </c>
      <c r="B263" t="s">
        <v>17</v>
      </c>
      <c r="C263">
        <v>32</v>
      </c>
      <c r="D263" t="s">
        <v>28</v>
      </c>
      <c r="E263" t="s">
        <v>57</v>
      </c>
      <c r="F263" t="s">
        <v>35</v>
      </c>
      <c r="G263">
        <v>1385291</v>
      </c>
      <c r="H263">
        <f t="shared" ca="1" si="4"/>
        <v>99</v>
      </c>
      <c r="I263">
        <v>34.89</v>
      </c>
      <c r="J263">
        <v>35.15</v>
      </c>
      <c r="K263" t="s">
        <v>539</v>
      </c>
      <c r="L263">
        <f>_INVESTEMENTDATA[[#This Row],[Investment_Amount]]*0.18</f>
        <v>249352.38</v>
      </c>
      <c r="M263">
        <f>_INVESTEMENTDATA[[#This Row],[Investment_Amount]]*0.18*25</f>
        <v>6233809.5</v>
      </c>
    </row>
    <row r="264" spans="1:13" x14ac:dyDescent="0.25">
      <c r="A264" t="s">
        <v>540</v>
      </c>
      <c r="B264" t="s">
        <v>17</v>
      </c>
      <c r="C264">
        <v>48</v>
      </c>
      <c r="D264" t="s">
        <v>38</v>
      </c>
      <c r="E264" t="s">
        <v>50</v>
      </c>
      <c r="F264" t="s">
        <v>47</v>
      </c>
      <c r="G264">
        <v>1914058</v>
      </c>
      <c r="H264">
        <f t="shared" ca="1" si="4"/>
        <v>241</v>
      </c>
      <c r="I264">
        <v>22.39</v>
      </c>
      <c r="J264">
        <v>26.09</v>
      </c>
      <c r="K264" t="s">
        <v>541</v>
      </c>
      <c r="L264">
        <f>_INVESTEMENTDATA[[#This Row],[Investment_Amount]]*0.18</f>
        <v>344530.44</v>
      </c>
      <c r="M264">
        <f>_INVESTEMENTDATA[[#This Row],[Investment_Amount]]*0.18*25</f>
        <v>8613261</v>
      </c>
    </row>
    <row r="265" spans="1:13" x14ac:dyDescent="0.25">
      <c r="A265" t="s">
        <v>542</v>
      </c>
      <c r="B265" t="s">
        <v>17</v>
      </c>
      <c r="C265">
        <v>27</v>
      </c>
      <c r="D265" t="s">
        <v>18</v>
      </c>
      <c r="E265" t="s">
        <v>13</v>
      </c>
      <c r="F265" t="s">
        <v>14</v>
      </c>
      <c r="G265">
        <v>4688262</v>
      </c>
      <c r="H265">
        <f t="shared" ca="1" si="4"/>
        <v>312</v>
      </c>
      <c r="I265">
        <v>8.26</v>
      </c>
      <c r="J265">
        <v>33.79</v>
      </c>
      <c r="K265" t="s">
        <v>543</v>
      </c>
      <c r="L265">
        <f>_INVESTEMENTDATA[[#This Row],[Investment_Amount]]*0.18</f>
        <v>843887.15999999992</v>
      </c>
      <c r="M265">
        <f>_INVESTEMENTDATA[[#This Row],[Investment_Amount]]*0.18*25</f>
        <v>21097178.999999996</v>
      </c>
    </row>
    <row r="266" spans="1:13" x14ac:dyDescent="0.25">
      <c r="A266" t="s">
        <v>544</v>
      </c>
      <c r="B266" t="s">
        <v>17</v>
      </c>
      <c r="C266">
        <v>55</v>
      </c>
      <c r="D266" t="s">
        <v>18</v>
      </c>
      <c r="E266" t="s">
        <v>23</v>
      </c>
      <c r="F266" t="s">
        <v>14</v>
      </c>
      <c r="G266">
        <v>3159324</v>
      </c>
      <c r="H266">
        <f t="shared" ca="1" si="4"/>
        <v>16</v>
      </c>
      <c r="I266">
        <v>30.58</v>
      </c>
      <c r="J266">
        <v>38.86</v>
      </c>
      <c r="K266" t="s">
        <v>545</v>
      </c>
      <c r="L266">
        <f>_INVESTEMENTDATA[[#This Row],[Investment_Amount]]*0.18</f>
        <v>568678.31999999995</v>
      </c>
      <c r="M266">
        <f>_INVESTEMENTDATA[[#This Row],[Investment_Amount]]*0.18*25</f>
        <v>14216957.999999998</v>
      </c>
    </row>
    <row r="267" spans="1:13" x14ac:dyDescent="0.25">
      <c r="A267" t="s">
        <v>546</v>
      </c>
      <c r="B267" t="s">
        <v>11</v>
      </c>
      <c r="C267">
        <v>51</v>
      </c>
      <c r="D267" t="s">
        <v>12</v>
      </c>
      <c r="E267" t="s">
        <v>50</v>
      </c>
      <c r="F267" t="s">
        <v>41</v>
      </c>
      <c r="G267">
        <v>346652</v>
      </c>
      <c r="H267">
        <f t="shared" ca="1" si="4"/>
        <v>17</v>
      </c>
      <c r="I267">
        <v>31.25</v>
      </c>
      <c r="J267">
        <v>16.09</v>
      </c>
      <c r="K267" t="s">
        <v>372</v>
      </c>
      <c r="L267">
        <f>_INVESTEMENTDATA[[#This Row],[Investment_Amount]]*0.18</f>
        <v>62397.36</v>
      </c>
      <c r="M267">
        <f>_INVESTEMENTDATA[[#This Row],[Investment_Amount]]*0.18*25</f>
        <v>1559934</v>
      </c>
    </row>
    <row r="268" spans="1:13" x14ac:dyDescent="0.25">
      <c r="A268" t="s">
        <v>547</v>
      </c>
      <c r="B268" t="s">
        <v>11</v>
      </c>
      <c r="C268">
        <v>27</v>
      </c>
      <c r="D268" t="s">
        <v>28</v>
      </c>
      <c r="E268" t="s">
        <v>13</v>
      </c>
      <c r="F268" t="s">
        <v>30</v>
      </c>
      <c r="G268">
        <v>3278990</v>
      </c>
      <c r="H268">
        <f t="shared" ca="1" si="4"/>
        <v>325</v>
      </c>
      <c r="I268">
        <v>25.96</v>
      </c>
      <c r="J268">
        <v>24.54</v>
      </c>
      <c r="K268" t="s">
        <v>170</v>
      </c>
      <c r="L268">
        <f>_INVESTEMENTDATA[[#This Row],[Investment_Amount]]*0.18</f>
        <v>590218.19999999995</v>
      </c>
      <c r="M268">
        <f>_INVESTEMENTDATA[[#This Row],[Investment_Amount]]*0.18*25</f>
        <v>14755454.999999998</v>
      </c>
    </row>
    <row r="269" spans="1:13" x14ac:dyDescent="0.25">
      <c r="A269" t="s">
        <v>548</v>
      </c>
      <c r="B269" t="s">
        <v>11</v>
      </c>
      <c r="C269">
        <v>65</v>
      </c>
      <c r="D269" t="s">
        <v>28</v>
      </c>
      <c r="E269" t="s">
        <v>29</v>
      </c>
      <c r="F269" t="s">
        <v>14</v>
      </c>
      <c r="G269">
        <v>2241843</v>
      </c>
      <c r="H269">
        <f t="shared" ca="1" si="4"/>
        <v>109</v>
      </c>
      <c r="I269">
        <v>34.89</v>
      </c>
      <c r="J269">
        <v>22.3</v>
      </c>
      <c r="K269" t="s">
        <v>549</v>
      </c>
      <c r="L269">
        <f>_INVESTEMENTDATA[[#This Row],[Investment_Amount]]*0.18</f>
        <v>403531.74</v>
      </c>
      <c r="M269">
        <f>_INVESTEMENTDATA[[#This Row],[Investment_Amount]]*0.18*25</f>
        <v>10088293.5</v>
      </c>
    </row>
    <row r="270" spans="1:13" x14ac:dyDescent="0.25">
      <c r="A270" t="s">
        <v>550</v>
      </c>
      <c r="B270" t="s">
        <v>17</v>
      </c>
      <c r="C270">
        <v>56</v>
      </c>
      <c r="D270" t="s">
        <v>28</v>
      </c>
      <c r="E270" t="s">
        <v>50</v>
      </c>
      <c r="F270" t="s">
        <v>30</v>
      </c>
      <c r="G270">
        <v>249434</v>
      </c>
      <c r="H270">
        <f t="shared" ca="1" si="4"/>
        <v>157</v>
      </c>
      <c r="I270">
        <v>21.35</v>
      </c>
      <c r="J270">
        <v>9.6999999999999993</v>
      </c>
      <c r="K270" t="s">
        <v>551</v>
      </c>
      <c r="L270">
        <f>_INVESTEMENTDATA[[#This Row],[Investment_Amount]]*0.18</f>
        <v>44898.119999999995</v>
      </c>
      <c r="M270">
        <f>_INVESTEMENTDATA[[#This Row],[Investment_Amount]]*0.18*25</f>
        <v>1122453</v>
      </c>
    </row>
    <row r="271" spans="1:13" x14ac:dyDescent="0.25">
      <c r="A271" t="s">
        <v>552</v>
      </c>
      <c r="B271" t="s">
        <v>17</v>
      </c>
      <c r="C271">
        <v>59</v>
      </c>
      <c r="D271" t="s">
        <v>28</v>
      </c>
      <c r="E271" t="s">
        <v>13</v>
      </c>
      <c r="F271" t="s">
        <v>41</v>
      </c>
      <c r="G271">
        <v>3925192</v>
      </c>
      <c r="H271">
        <f t="shared" ca="1" si="4"/>
        <v>122</v>
      </c>
      <c r="I271">
        <v>32</v>
      </c>
      <c r="J271">
        <v>-9.34</v>
      </c>
      <c r="K271" t="s">
        <v>553</v>
      </c>
      <c r="L271">
        <f>_INVESTEMENTDATA[[#This Row],[Investment_Amount]]*0.18</f>
        <v>706534.55999999994</v>
      </c>
      <c r="M271">
        <f>_INVESTEMENTDATA[[#This Row],[Investment_Amount]]*0.18*25</f>
        <v>17663364</v>
      </c>
    </row>
    <row r="272" spans="1:13" x14ac:dyDescent="0.25">
      <c r="A272" t="s">
        <v>554</v>
      </c>
      <c r="B272" t="s">
        <v>17</v>
      </c>
      <c r="C272">
        <v>23</v>
      </c>
      <c r="D272" t="s">
        <v>18</v>
      </c>
      <c r="E272" t="s">
        <v>57</v>
      </c>
      <c r="F272" t="s">
        <v>20</v>
      </c>
      <c r="G272">
        <v>1838680</v>
      </c>
      <c r="H272">
        <f t="shared" ca="1" si="4"/>
        <v>144</v>
      </c>
      <c r="I272">
        <v>13.17</v>
      </c>
      <c r="J272">
        <v>41.68</v>
      </c>
      <c r="K272" t="s">
        <v>555</v>
      </c>
      <c r="L272">
        <f>_INVESTEMENTDATA[[#This Row],[Investment_Amount]]*0.18</f>
        <v>330962.39999999997</v>
      </c>
      <c r="M272">
        <f>_INVESTEMENTDATA[[#This Row],[Investment_Amount]]*0.18*25</f>
        <v>8274059.9999999991</v>
      </c>
    </row>
    <row r="273" spans="1:13" x14ac:dyDescent="0.25">
      <c r="A273" t="s">
        <v>556</v>
      </c>
      <c r="B273" t="s">
        <v>17</v>
      </c>
      <c r="C273">
        <v>58</v>
      </c>
      <c r="D273" t="s">
        <v>38</v>
      </c>
      <c r="E273" t="s">
        <v>23</v>
      </c>
      <c r="F273" t="s">
        <v>20</v>
      </c>
      <c r="G273">
        <v>4667614</v>
      </c>
      <c r="H273">
        <f t="shared" ca="1" si="4"/>
        <v>15</v>
      </c>
      <c r="I273">
        <v>24.6</v>
      </c>
      <c r="J273">
        <v>-3.47</v>
      </c>
      <c r="K273" t="s">
        <v>218</v>
      </c>
      <c r="L273">
        <f>_INVESTEMENTDATA[[#This Row],[Investment_Amount]]*0.18</f>
        <v>840170.52</v>
      </c>
      <c r="M273">
        <f>_INVESTEMENTDATA[[#This Row],[Investment_Amount]]*0.18*25</f>
        <v>21004263</v>
      </c>
    </row>
    <row r="274" spans="1:13" x14ac:dyDescent="0.25">
      <c r="A274" t="s">
        <v>557</v>
      </c>
      <c r="B274" t="s">
        <v>17</v>
      </c>
      <c r="C274">
        <v>57</v>
      </c>
      <c r="D274" t="s">
        <v>46</v>
      </c>
      <c r="E274" t="s">
        <v>23</v>
      </c>
      <c r="F274" t="s">
        <v>35</v>
      </c>
      <c r="G274">
        <v>2370367</v>
      </c>
      <c r="H274">
        <f t="shared" ca="1" si="4"/>
        <v>159</v>
      </c>
      <c r="I274">
        <v>31.51</v>
      </c>
      <c r="J274">
        <v>10.59</v>
      </c>
      <c r="K274" t="s">
        <v>558</v>
      </c>
      <c r="L274">
        <f>_INVESTEMENTDATA[[#This Row],[Investment_Amount]]*0.18</f>
        <v>426666.06</v>
      </c>
      <c r="M274">
        <f>_INVESTEMENTDATA[[#This Row],[Investment_Amount]]*0.18*25</f>
        <v>10666651.5</v>
      </c>
    </row>
    <row r="275" spans="1:13" x14ac:dyDescent="0.25">
      <c r="A275" t="s">
        <v>559</v>
      </c>
      <c r="B275" t="s">
        <v>17</v>
      </c>
      <c r="C275">
        <v>46</v>
      </c>
      <c r="D275" t="s">
        <v>46</v>
      </c>
      <c r="E275" t="s">
        <v>50</v>
      </c>
      <c r="F275" t="s">
        <v>47</v>
      </c>
      <c r="G275">
        <v>3421049</v>
      </c>
      <c r="H275">
        <f t="shared" ca="1" si="4"/>
        <v>311</v>
      </c>
      <c r="I275">
        <v>10.76</v>
      </c>
      <c r="J275">
        <v>2.4</v>
      </c>
      <c r="K275" t="s">
        <v>560</v>
      </c>
      <c r="L275">
        <f>_INVESTEMENTDATA[[#This Row],[Investment_Amount]]*0.18</f>
        <v>615788.81999999995</v>
      </c>
      <c r="M275">
        <f>_INVESTEMENTDATA[[#This Row],[Investment_Amount]]*0.18*25</f>
        <v>15394720.499999998</v>
      </c>
    </row>
    <row r="276" spans="1:13" x14ac:dyDescent="0.25">
      <c r="A276" t="s">
        <v>561</v>
      </c>
      <c r="B276" t="s">
        <v>11</v>
      </c>
      <c r="C276">
        <v>45</v>
      </c>
      <c r="D276" t="s">
        <v>38</v>
      </c>
      <c r="E276" t="s">
        <v>50</v>
      </c>
      <c r="F276" t="s">
        <v>14</v>
      </c>
      <c r="G276">
        <v>4823311</v>
      </c>
      <c r="H276">
        <f t="shared" ca="1" si="4"/>
        <v>61</v>
      </c>
      <c r="I276">
        <v>29.3</v>
      </c>
      <c r="J276">
        <v>34.81</v>
      </c>
      <c r="K276" t="s">
        <v>562</v>
      </c>
      <c r="L276">
        <f>_INVESTEMENTDATA[[#This Row],[Investment_Amount]]*0.18</f>
        <v>868195.98</v>
      </c>
      <c r="M276">
        <f>_INVESTEMENTDATA[[#This Row],[Investment_Amount]]*0.18*25</f>
        <v>21704899.5</v>
      </c>
    </row>
    <row r="277" spans="1:13" x14ac:dyDescent="0.25">
      <c r="A277" t="s">
        <v>563</v>
      </c>
      <c r="B277" t="s">
        <v>17</v>
      </c>
      <c r="C277">
        <v>42</v>
      </c>
      <c r="D277" t="s">
        <v>46</v>
      </c>
      <c r="E277" t="s">
        <v>13</v>
      </c>
      <c r="F277" t="s">
        <v>41</v>
      </c>
      <c r="G277">
        <v>625768</v>
      </c>
      <c r="H277">
        <f t="shared" ca="1" si="4"/>
        <v>176</v>
      </c>
      <c r="I277">
        <v>18.899999999999999</v>
      </c>
      <c r="J277">
        <v>19.7</v>
      </c>
      <c r="K277" t="s">
        <v>564</v>
      </c>
      <c r="L277">
        <f>_INVESTEMENTDATA[[#This Row],[Investment_Amount]]*0.18</f>
        <v>112638.23999999999</v>
      </c>
      <c r="M277">
        <f>_INVESTEMENTDATA[[#This Row],[Investment_Amount]]*0.18*25</f>
        <v>2815956</v>
      </c>
    </row>
    <row r="278" spans="1:13" x14ac:dyDescent="0.25">
      <c r="A278" t="s">
        <v>565</v>
      </c>
      <c r="B278" t="s">
        <v>11</v>
      </c>
      <c r="C278">
        <v>37</v>
      </c>
      <c r="D278" t="s">
        <v>46</v>
      </c>
      <c r="E278" t="s">
        <v>19</v>
      </c>
      <c r="F278" t="s">
        <v>41</v>
      </c>
      <c r="G278">
        <v>1531405</v>
      </c>
      <c r="H278">
        <f t="shared" ca="1" si="4"/>
        <v>82</v>
      </c>
      <c r="I278">
        <v>31.24</v>
      </c>
      <c r="J278">
        <v>23.41</v>
      </c>
      <c r="K278" t="s">
        <v>566</v>
      </c>
      <c r="L278">
        <f>_INVESTEMENTDATA[[#This Row],[Investment_Amount]]*0.18</f>
        <v>275652.89999999997</v>
      </c>
      <c r="M278">
        <f>_INVESTEMENTDATA[[#This Row],[Investment_Amount]]*0.18*25</f>
        <v>6891322.4999999991</v>
      </c>
    </row>
    <row r="279" spans="1:13" x14ac:dyDescent="0.25">
      <c r="A279" t="s">
        <v>567</v>
      </c>
      <c r="B279" t="s">
        <v>11</v>
      </c>
      <c r="C279">
        <v>24</v>
      </c>
      <c r="D279" t="s">
        <v>28</v>
      </c>
      <c r="E279" t="s">
        <v>57</v>
      </c>
      <c r="F279" t="s">
        <v>41</v>
      </c>
      <c r="G279">
        <v>1722462</v>
      </c>
      <c r="H279">
        <f t="shared" ca="1" si="4"/>
        <v>196</v>
      </c>
      <c r="I279">
        <v>22.49</v>
      </c>
      <c r="J279">
        <v>2.11</v>
      </c>
      <c r="K279" t="s">
        <v>157</v>
      </c>
      <c r="L279">
        <f>_INVESTEMENTDATA[[#This Row],[Investment_Amount]]*0.18</f>
        <v>310043.15999999997</v>
      </c>
      <c r="M279">
        <f>_INVESTEMENTDATA[[#This Row],[Investment_Amount]]*0.18*25</f>
        <v>7751078.9999999991</v>
      </c>
    </row>
    <row r="280" spans="1:13" x14ac:dyDescent="0.25">
      <c r="A280" t="s">
        <v>568</v>
      </c>
      <c r="B280" t="s">
        <v>17</v>
      </c>
      <c r="C280">
        <v>52</v>
      </c>
      <c r="D280" t="s">
        <v>46</v>
      </c>
      <c r="E280" t="s">
        <v>19</v>
      </c>
      <c r="F280" t="s">
        <v>14</v>
      </c>
      <c r="G280">
        <v>2971056</v>
      </c>
      <c r="H280">
        <f t="shared" ca="1" si="4"/>
        <v>145</v>
      </c>
      <c r="I280">
        <v>11.76</v>
      </c>
      <c r="J280">
        <v>43.14</v>
      </c>
      <c r="K280" t="s">
        <v>383</v>
      </c>
      <c r="L280">
        <f>_INVESTEMENTDATA[[#This Row],[Investment_Amount]]*0.18</f>
        <v>534790.07999999996</v>
      </c>
      <c r="M280">
        <f>_INVESTEMENTDATA[[#This Row],[Investment_Amount]]*0.18*25</f>
        <v>13369751.999999998</v>
      </c>
    </row>
    <row r="281" spans="1:13" x14ac:dyDescent="0.25">
      <c r="A281" t="s">
        <v>569</v>
      </c>
      <c r="B281" t="s">
        <v>17</v>
      </c>
      <c r="C281">
        <v>25</v>
      </c>
      <c r="D281" t="s">
        <v>18</v>
      </c>
      <c r="E281" t="s">
        <v>19</v>
      </c>
      <c r="F281" t="s">
        <v>20</v>
      </c>
      <c r="G281">
        <v>4729459</v>
      </c>
      <c r="H281">
        <f t="shared" ca="1" si="4"/>
        <v>206</v>
      </c>
      <c r="I281">
        <v>22.99</v>
      </c>
      <c r="J281">
        <v>0.05</v>
      </c>
      <c r="K281" t="s">
        <v>570</v>
      </c>
      <c r="L281">
        <f>_INVESTEMENTDATA[[#This Row],[Investment_Amount]]*0.18</f>
        <v>851302.62</v>
      </c>
      <c r="M281">
        <f>_INVESTEMENTDATA[[#This Row],[Investment_Amount]]*0.18*25</f>
        <v>21282565.5</v>
      </c>
    </row>
    <row r="282" spans="1:13" x14ac:dyDescent="0.25">
      <c r="A282" t="s">
        <v>571</v>
      </c>
      <c r="B282" t="s">
        <v>17</v>
      </c>
      <c r="C282">
        <v>38</v>
      </c>
      <c r="D282" t="s">
        <v>18</v>
      </c>
      <c r="E282" t="s">
        <v>50</v>
      </c>
      <c r="F282" t="s">
        <v>14</v>
      </c>
      <c r="G282">
        <v>1675207</v>
      </c>
      <c r="H282">
        <f t="shared" ca="1" si="4"/>
        <v>93</v>
      </c>
      <c r="I282">
        <v>13.01</v>
      </c>
      <c r="J282">
        <v>16.77</v>
      </c>
      <c r="K282" t="s">
        <v>572</v>
      </c>
      <c r="L282">
        <f>_INVESTEMENTDATA[[#This Row],[Investment_Amount]]*0.18</f>
        <v>301537.26</v>
      </c>
      <c r="M282">
        <f>_INVESTEMENTDATA[[#This Row],[Investment_Amount]]*0.18*25</f>
        <v>7538431.5</v>
      </c>
    </row>
    <row r="283" spans="1:13" x14ac:dyDescent="0.25">
      <c r="A283" t="s">
        <v>573</v>
      </c>
      <c r="B283" t="s">
        <v>11</v>
      </c>
      <c r="C283">
        <v>56</v>
      </c>
      <c r="D283" t="s">
        <v>46</v>
      </c>
      <c r="E283" t="s">
        <v>29</v>
      </c>
      <c r="F283" t="s">
        <v>14</v>
      </c>
      <c r="G283">
        <v>1336413</v>
      </c>
      <c r="H283">
        <f t="shared" ca="1" si="4"/>
        <v>57</v>
      </c>
      <c r="I283">
        <v>5.95</v>
      </c>
      <c r="J283">
        <v>-5.72</v>
      </c>
      <c r="K283" t="s">
        <v>574</v>
      </c>
      <c r="L283">
        <f>_INVESTEMENTDATA[[#This Row],[Investment_Amount]]*0.18</f>
        <v>240554.34</v>
      </c>
      <c r="M283">
        <f>_INVESTEMENTDATA[[#This Row],[Investment_Amount]]*0.18*25</f>
        <v>6013858.5</v>
      </c>
    </row>
    <row r="284" spans="1:13" x14ac:dyDescent="0.25">
      <c r="A284" t="s">
        <v>575</v>
      </c>
      <c r="B284" t="s">
        <v>17</v>
      </c>
      <c r="C284">
        <v>38</v>
      </c>
      <c r="D284" t="s">
        <v>28</v>
      </c>
      <c r="E284" t="s">
        <v>57</v>
      </c>
      <c r="F284" t="s">
        <v>41</v>
      </c>
      <c r="G284">
        <v>2602210</v>
      </c>
      <c r="H284">
        <f t="shared" ca="1" si="4"/>
        <v>323</v>
      </c>
      <c r="I284">
        <v>28.51</v>
      </c>
      <c r="J284">
        <v>16.57</v>
      </c>
      <c r="K284" t="s">
        <v>535</v>
      </c>
      <c r="L284">
        <f>_INVESTEMENTDATA[[#This Row],[Investment_Amount]]*0.18</f>
        <v>468397.8</v>
      </c>
      <c r="M284">
        <f>_INVESTEMENTDATA[[#This Row],[Investment_Amount]]*0.18*25</f>
        <v>11709945</v>
      </c>
    </row>
    <row r="285" spans="1:13" x14ac:dyDescent="0.25">
      <c r="A285" t="s">
        <v>576</v>
      </c>
      <c r="B285" t="s">
        <v>11</v>
      </c>
      <c r="C285">
        <v>43</v>
      </c>
      <c r="D285" t="s">
        <v>38</v>
      </c>
      <c r="E285" t="s">
        <v>19</v>
      </c>
      <c r="F285" t="s">
        <v>14</v>
      </c>
      <c r="G285">
        <v>2650818</v>
      </c>
      <c r="H285">
        <f t="shared" ca="1" si="4"/>
        <v>66</v>
      </c>
      <c r="I285">
        <v>28.57</v>
      </c>
      <c r="J285">
        <v>25</v>
      </c>
      <c r="K285" t="s">
        <v>577</v>
      </c>
      <c r="L285">
        <f>_INVESTEMENTDATA[[#This Row],[Investment_Amount]]*0.18</f>
        <v>477147.24</v>
      </c>
      <c r="M285">
        <f>_INVESTEMENTDATA[[#This Row],[Investment_Amount]]*0.18*25</f>
        <v>11928681</v>
      </c>
    </row>
    <row r="286" spans="1:13" x14ac:dyDescent="0.25">
      <c r="A286" t="s">
        <v>578</v>
      </c>
      <c r="B286" t="s">
        <v>11</v>
      </c>
      <c r="C286">
        <v>46</v>
      </c>
      <c r="D286" t="s">
        <v>18</v>
      </c>
      <c r="E286" t="s">
        <v>23</v>
      </c>
      <c r="F286" t="s">
        <v>35</v>
      </c>
      <c r="G286">
        <v>3090844</v>
      </c>
      <c r="H286">
        <f t="shared" ca="1" si="4"/>
        <v>256</v>
      </c>
      <c r="I286">
        <v>6.98</v>
      </c>
      <c r="J286">
        <v>40.56</v>
      </c>
      <c r="K286" t="s">
        <v>579</v>
      </c>
      <c r="L286">
        <f>_INVESTEMENTDATA[[#This Row],[Investment_Amount]]*0.18</f>
        <v>556351.91999999993</v>
      </c>
      <c r="M286">
        <f>_INVESTEMENTDATA[[#This Row],[Investment_Amount]]*0.18*25</f>
        <v>13908797.999999998</v>
      </c>
    </row>
    <row r="287" spans="1:13" x14ac:dyDescent="0.25">
      <c r="A287" t="s">
        <v>580</v>
      </c>
      <c r="B287" t="s">
        <v>11</v>
      </c>
      <c r="C287">
        <v>61</v>
      </c>
      <c r="D287" t="s">
        <v>28</v>
      </c>
      <c r="E287" t="s">
        <v>19</v>
      </c>
      <c r="F287" t="s">
        <v>41</v>
      </c>
      <c r="G287">
        <v>393945</v>
      </c>
      <c r="H287">
        <f t="shared" ca="1" si="4"/>
        <v>357</v>
      </c>
      <c r="I287">
        <v>33.119999999999997</v>
      </c>
      <c r="J287">
        <v>19.43</v>
      </c>
      <c r="K287" t="s">
        <v>581</v>
      </c>
      <c r="L287">
        <f>_INVESTEMENTDATA[[#This Row],[Investment_Amount]]*0.18</f>
        <v>70910.099999999991</v>
      </c>
      <c r="M287">
        <f>_INVESTEMENTDATA[[#This Row],[Investment_Amount]]*0.18*25</f>
        <v>1772752.4999999998</v>
      </c>
    </row>
    <row r="288" spans="1:13" x14ac:dyDescent="0.25">
      <c r="A288" t="s">
        <v>582</v>
      </c>
      <c r="B288" t="s">
        <v>17</v>
      </c>
      <c r="C288">
        <v>38</v>
      </c>
      <c r="D288" t="s">
        <v>38</v>
      </c>
      <c r="E288" t="s">
        <v>19</v>
      </c>
      <c r="F288" t="s">
        <v>41</v>
      </c>
      <c r="G288">
        <v>1408202</v>
      </c>
      <c r="H288">
        <f t="shared" ca="1" si="4"/>
        <v>91</v>
      </c>
      <c r="I288">
        <v>11.67</v>
      </c>
      <c r="J288">
        <v>36.479999999999997</v>
      </c>
      <c r="K288" t="s">
        <v>583</v>
      </c>
      <c r="L288">
        <f>_INVESTEMENTDATA[[#This Row],[Investment_Amount]]*0.18</f>
        <v>253476.36</v>
      </c>
      <c r="M288">
        <f>_INVESTEMENTDATA[[#This Row],[Investment_Amount]]*0.18*25</f>
        <v>6336909</v>
      </c>
    </row>
    <row r="289" spans="1:13" x14ac:dyDescent="0.25">
      <c r="A289" t="s">
        <v>584</v>
      </c>
      <c r="B289" t="s">
        <v>17</v>
      </c>
      <c r="C289">
        <v>41</v>
      </c>
      <c r="D289" t="s">
        <v>18</v>
      </c>
      <c r="E289" t="s">
        <v>13</v>
      </c>
      <c r="F289" t="s">
        <v>41</v>
      </c>
      <c r="G289">
        <v>4384312</v>
      </c>
      <c r="H289">
        <f t="shared" ca="1" si="4"/>
        <v>161</v>
      </c>
      <c r="I289">
        <v>12.43</v>
      </c>
      <c r="J289">
        <v>32.44</v>
      </c>
      <c r="K289" t="s">
        <v>585</v>
      </c>
      <c r="L289">
        <f>_INVESTEMENTDATA[[#This Row],[Investment_Amount]]*0.18</f>
        <v>789176.15999999992</v>
      </c>
      <c r="M289">
        <f>_INVESTEMENTDATA[[#This Row],[Investment_Amount]]*0.18*25</f>
        <v>19729403.999999996</v>
      </c>
    </row>
    <row r="290" spans="1:13" x14ac:dyDescent="0.25">
      <c r="A290" t="s">
        <v>586</v>
      </c>
      <c r="B290" t="s">
        <v>17</v>
      </c>
      <c r="C290">
        <v>63</v>
      </c>
      <c r="D290" t="s">
        <v>28</v>
      </c>
      <c r="E290" t="s">
        <v>23</v>
      </c>
      <c r="F290" t="s">
        <v>30</v>
      </c>
      <c r="G290">
        <v>3936584</v>
      </c>
      <c r="H290">
        <f t="shared" ca="1" si="4"/>
        <v>124</v>
      </c>
      <c r="I290">
        <v>9.14</v>
      </c>
      <c r="J290">
        <v>14.23</v>
      </c>
      <c r="K290" t="s">
        <v>587</v>
      </c>
      <c r="L290">
        <f>_INVESTEMENTDATA[[#This Row],[Investment_Amount]]*0.18</f>
        <v>708585.12</v>
      </c>
      <c r="M290">
        <f>_INVESTEMENTDATA[[#This Row],[Investment_Amount]]*0.18*25</f>
        <v>17714628</v>
      </c>
    </row>
    <row r="291" spans="1:13" x14ac:dyDescent="0.25">
      <c r="A291" t="s">
        <v>588</v>
      </c>
      <c r="B291" t="s">
        <v>17</v>
      </c>
      <c r="C291">
        <v>27</v>
      </c>
      <c r="D291" t="s">
        <v>18</v>
      </c>
      <c r="E291" t="s">
        <v>29</v>
      </c>
      <c r="F291" t="s">
        <v>47</v>
      </c>
      <c r="G291">
        <v>2404637</v>
      </c>
      <c r="H291">
        <f t="shared" ca="1" si="4"/>
        <v>154</v>
      </c>
      <c r="I291">
        <v>25.19</v>
      </c>
      <c r="J291">
        <v>24.06</v>
      </c>
      <c r="K291" t="s">
        <v>589</v>
      </c>
      <c r="L291">
        <f>_INVESTEMENTDATA[[#This Row],[Investment_Amount]]*0.18</f>
        <v>432834.66</v>
      </c>
      <c r="M291">
        <f>_INVESTEMENTDATA[[#This Row],[Investment_Amount]]*0.18*25</f>
        <v>10820866.5</v>
      </c>
    </row>
    <row r="292" spans="1:13" x14ac:dyDescent="0.25">
      <c r="A292" t="s">
        <v>590</v>
      </c>
      <c r="B292" t="s">
        <v>17</v>
      </c>
      <c r="C292">
        <v>28</v>
      </c>
      <c r="D292" t="s">
        <v>46</v>
      </c>
      <c r="E292" t="s">
        <v>19</v>
      </c>
      <c r="F292" t="s">
        <v>47</v>
      </c>
      <c r="G292">
        <v>3109791</v>
      </c>
      <c r="H292">
        <f t="shared" ca="1" si="4"/>
        <v>68</v>
      </c>
      <c r="I292">
        <v>30.45</v>
      </c>
      <c r="J292">
        <v>43.57</v>
      </c>
      <c r="K292" t="s">
        <v>591</v>
      </c>
      <c r="L292">
        <f>_INVESTEMENTDATA[[#This Row],[Investment_Amount]]*0.18</f>
        <v>559762.38</v>
      </c>
      <c r="M292">
        <f>_INVESTEMENTDATA[[#This Row],[Investment_Amount]]*0.18*25</f>
        <v>13994059.5</v>
      </c>
    </row>
    <row r="293" spans="1:13" x14ac:dyDescent="0.25">
      <c r="A293" t="s">
        <v>592</v>
      </c>
      <c r="B293" t="s">
        <v>17</v>
      </c>
      <c r="C293">
        <v>27</v>
      </c>
      <c r="D293" t="s">
        <v>12</v>
      </c>
      <c r="E293" t="s">
        <v>19</v>
      </c>
      <c r="F293" t="s">
        <v>41</v>
      </c>
      <c r="G293">
        <v>170248</v>
      </c>
      <c r="H293">
        <f t="shared" ca="1" si="4"/>
        <v>234</v>
      </c>
      <c r="I293">
        <v>26.13</v>
      </c>
      <c r="J293">
        <v>2.74</v>
      </c>
      <c r="K293" t="s">
        <v>593</v>
      </c>
      <c r="L293">
        <f>_INVESTEMENTDATA[[#This Row],[Investment_Amount]]*0.18</f>
        <v>30644.639999999999</v>
      </c>
      <c r="M293">
        <f>_INVESTEMENTDATA[[#This Row],[Investment_Amount]]*0.18*25</f>
        <v>766116</v>
      </c>
    </row>
    <row r="294" spans="1:13" x14ac:dyDescent="0.25">
      <c r="A294" t="s">
        <v>594</v>
      </c>
      <c r="B294" t="s">
        <v>17</v>
      </c>
      <c r="C294">
        <v>48</v>
      </c>
      <c r="D294" t="s">
        <v>12</v>
      </c>
      <c r="E294" t="s">
        <v>29</v>
      </c>
      <c r="F294" t="s">
        <v>35</v>
      </c>
      <c r="G294">
        <v>3719440</v>
      </c>
      <c r="H294">
        <f t="shared" ca="1" si="4"/>
        <v>92</v>
      </c>
      <c r="I294">
        <v>7.33</v>
      </c>
      <c r="J294">
        <v>-5.44</v>
      </c>
      <c r="K294" t="s">
        <v>595</v>
      </c>
      <c r="L294">
        <f>_INVESTEMENTDATA[[#This Row],[Investment_Amount]]*0.18</f>
        <v>669499.19999999995</v>
      </c>
      <c r="M294">
        <f>_INVESTEMENTDATA[[#This Row],[Investment_Amount]]*0.18*25</f>
        <v>16737479.999999998</v>
      </c>
    </row>
    <row r="295" spans="1:13" x14ac:dyDescent="0.25">
      <c r="A295" t="s">
        <v>596</v>
      </c>
      <c r="B295" t="s">
        <v>17</v>
      </c>
      <c r="C295">
        <v>23</v>
      </c>
      <c r="D295" t="s">
        <v>12</v>
      </c>
      <c r="E295" t="s">
        <v>13</v>
      </c>
      <c r="F295" t="s">
        <v>20</v>
      </c>
      <c r="G295">
        <v>4228818</v>
      </c>
      <c r="H295">
        <f t="shared" ca="1" si="4"/>
        <v>232</v>
      </c>
      <c r="I295">
        <v>29.3</v>
      </c>
      <c r="J295">
        <v>1.89</v>
      </c>
      <c r="K295" t="s">
        <v>597</v>
      </c>
      <c r="L295">
        <f>_INVESTEMENTDATA[[#This Row],[Investment_Amount]]*0.18</f>
        <v>761187.24</v>
      </c>
      <c r="M295">
        <f>_INVESTEMENTDATA[[#This Row],[Investment_Amount]]*0.18*25</f>
        <v>19029681</v>
      </c>
    </row>
    <row r="296" spans="1:13" x14ac:dyDescent="0.25">
      <c r="A296" t="s">
        <v>598</v>
      </c>
      <c r="B296" t="s">
        <v>11</v>
      </c>
      <c r="C296">
        <v>56</v>
      </c>
      <c r="D296" t="s">
        <v>46</v>
      </c>
      <c r="E296" t="s">
        <v>13</v>
      </c>
      <c r="F296" t="s">
        <v>47</v>
      </c>
      <c r="G296">
        <v>2743458</v>
      </c>
      <c r="H296">
        <f t="shared" ca="1" si="4"/>
        <v>300</v>
      </c>
      <c r="I296">
        <v>33.090000000000003</v>
      </c>
      <c r="J296">
        <v>18.57</v>
      </c>
      <c r="K296" t="s">
        <v>599</v>
      </c>
      <c r="L296">
        <f>_INVESTEMENTDATA[[#This Row],[Investment_Amount]]*0.18</f>
        <v>493822.44</v>
      </c>
      <c r="M296">
        <f>_INVESTEMENTDATA[[#This Row],[Investment_Amount]]*0.18*25</f>
        <v>12345561</v>
      </c>
    </row>
    <row r="297" spans="1:13" x14ac:dyDescent="0.25">
      <c r="A297" t="s">
        <v>600</v>
      </c>
      <c r="B297" t="s">
        <v>11</v>
      </c>
      <c r="C297">
        <v>50</v>
      </c>
      <c r="D297" t="s">
        <v>12</v>
      </c>
      <c r="E297" t="s">
        <v>23</v>
      </c>
      <c r="F297" t="s">
        <v>14</v>
      </c>
      <c r="G297">
        <v>304015</v>
      </c>
      <c r="H297">
        <f t="shared" ca="1" si="4"/>
        <v>207</v>
      </c>
      <c r="I297">
        <v>27.66</v>
      </c>
      <c r="J297">
        <v>10.4</v>
      </c>
      <c r="K297" t="s">
        <v>601</v>
      </c>
      <c r="L297">
        <f>_INVESTEMENTDATA[[#This Row],[Investment_Amount]]*0.18</f>
        <v>54722.7</v>
      </c>
      <c r="M297">
        <f>_INVESTEMENTDATA[[#This Row],[Investment_Amount]]*0.18*25</f>
        <v>1368067.5</v>
      </c>
    </row>
    <row r="298" spans="1:13" x14ac:dyDescent="0.25">
      <c r="A298" t="s">
        <v>602</v>
      </c>
      <c r="B298" t="s">
        <v>11</v>
      </c>
      <c r="C298">
        <v>56</v>
      </c>
      <c r="D298" t="s">
        <v>18</v>
      </c>
      <c r="E298" t="s">
        <v>57</v>
      </c>
      <c r="F298" t="s">
        <v>41</v>
      </c>
      <c r="G298">
        <v>3708508</v>
      </c>
      <c r="H298">
        <f t="shared" ca="1" si="4"/>
        <v>70</v>
      </c>
      <c r="I298">
        <v>25.8</v>
      </c>
      <c r="J298">
        <v>34.39</v>
      </c>
      <c r="K298" t="s">
        <v>603</v>
      </c>
      <c r="L298">
        <f>_INVESTEMENTDATA[[#This Row],[Investment_Amount]]*0.18</f>
        <v>667531.43999999994</v>
      </c>
      <c r="M298">
        <f>_INVESTEMENTDATA[[#This Row],[Investment_Amount]]*0.18*25</f>
        <v>16688285.999999998</v>
      </c>
    </row>
    <row r="299" spans="1:13" x14ac:dyDescent="0.25">
      <c r="A299" t="s">
        <v>604</v>
      </c>
      <c r="B299" t="s">
        <v>11</v>
      </c>
      <c r="C299">
        <v>33</v>
      </c>
      <c r="D299" t="s">
        <v>18</v>
      </c>
      <c r="E299" t="s">
        <v>29</v>
      </c>
      <c r="F299" t="s">
        <v>30</v>
      </c>
      <c r="G299">
        <v>934902</v>
      </c>
      <c r="H299">
        <f t="shared" ca="1" si="4"/>
        <v>268</v>
      </c>
      <c r="I299">
        <v>11.56</v>
      </c>
      <c r="J299">
        <v>10.16</v>
      </c>
      <c r="K299" t="s">
        <v>605</v>
      </c>
      <c r="L299">
        <f>_INVESTEMENTDATA[[#This Row],[Investment_Amount]]*0.18</f>
        <v>168282.36</v>
      </c>
      <c r="M299">
        <f>_INVESTEMENTDATA[[#This Row],[Investment_Amount]]*0.18*25</f>
        <v>4207059</v>
      </c>
    </row>
    <row r="300" spans="1:13" x14ac:dyDescent="0.25">
      <c r="A300" t="s">
        <v>606</v>
      </c>
      <c r="B300" t="s">
        <v>17</v>
      </c>
      <c r="C300">
        <v>22</v>
      </c>
      <c r="D300" t="s">
        <v>28</v>
      </c>
      <c r="E300" t="s">
        <v>23</v>
      </c>
      <c r="F300" t="s">
        <v>14</v>
      </c>
      <c r="G300">
        <v>3567372</v>
      </c>
      <c r="H300">
        <f t="shared" ca="1" si="4"/>
        <v>16</v>
      </c>
      <c r="I300">
        <v>29.94</v>
      </c>
      <c r="J300">
        <v>-7.92</v>
      </c>
      <c r="K300" t="s">
        <v>607</v>
      </c>
      <c r="L300">
        <f>_INVESTEMENTDATA[[#This Row],[Investment_Amount]]*0.18</f>
        <v>642126.96</v>
      </c>
      <c r="M300">
        <f>_INVESTEMENTDATA[[#This Row],[Investment_Amount]]*0.18*25</f>
        <v>16053174</v>
      </c>
    </row>
    <row r="301" spans="1:13" x14ac:dyDescent="0.25">
      <c r="A301" t="s">
        <v>608</v>
      </c>
      <c r="B301" t="s">
        <v>11</v>
      </c>
      <c r="C301">
        <v>27</v>
      </c>
      <c r="D301" t="s">
        <v>18</v>
      </c>
      <c r="E301" t="s">
        <v>57</v>
      </c>
      <c r="F301" t="s">
        <v>14</v>
      </c>
      <c r="G301">
        <v>2284623</v>
      </c>
      <c r="H301">
        <f t="shared" ca="1" si="4"/>
        <v>97</v>
      </c>
      <c r="I301">
        <v>7.63</v>
      </c>
      <c r="J301">
        <v>24.62</v>
      </c>
      <c r="K301" t="s">
        <v>609</v>
      </c>
      <c r="L301">
        <f>_INVESTEMENTDATA[[#This Row],[Investment_Amount]]*0.18</f>
        <v>411232.13999999996</v>
      </c>
      <c r="M301">
        <f>_INVESTEMENTDATA[[#This Row],[Investment_Amount]]*0.18*25</f>
        <v>10280803.499999998</v>
      </c>
    </row>
    <row r="302" spans="1:13" x14ac:dyDescent="0.25">
      <c r="A302" t="s">
        <v>610</v>
      </c>
      <c r="B302" t="s">
        <v>17</v>
      </c>
      <c r="C302">
        <v>23</v>
      </c>
      <c r="D302" t="s">
        <v>28</v>
      </c>
      <c r="E302" t="s">
        <v>19</v>
      </c>
      <c r="F302" t="s">
        <v>41</v>
      </c>
      <c r="G302">
        <v>304539</v>
      </c>
      <c r="H302">
        <f t="shared" ca="1" si="4"/>
        <v>146</v>
      </c>
      <c r="I302">
        <v>33.43</v>
      </c>
      <c r="J302">
        <v>27.83</v>
      </c>
      <c r="K302" t="s">
        <v>611</v>
      </c>
      <c r="L302">
        <f>_INVESTEMENTDATA[[#This Row],[Investment_Amount]]*0.18</f>
        <v>54817.02</v>
      </c>
      <c r="M302">
        <f>_INVESTEMENTDATA[[#This Row],[Investment_Amount]]*0.18*25</f>
        <v>1370425.5</v>
      </c>
    </row>
    <row r="303" spans="1:13" x14ac:dyDescent="0.25">
      <c r="A303" t="s">
        <v>612</v>
      </c>
      <c r="B303" t="s">
        <v>17</v>
      </c>
      <c r="C303">
        <v>35</v>
      </c>
      <c r="D303" t="s">
        <v>18</v>
      </c>
      <c r="E303" t="s">
        <v>29</v>
      </c>
      <c r="F303" t="s">
        <v>35</v>
      </c>
      <c r="G303">
        <v>1105402</v>
      </c>
      <c r="H303">
        <f t="shared" ca="1" si="4"/>
        <v>44</v>
      </c>
      <c r="I303">
        <v>33.270000000000003</v>
      </c>
      <c r="J303">
        <v>6.26</v>
      </c>
      <c r="K303" t="s">
        <v>613</v>
      </c>
      <c r="L303">
        <f>_INVESTEMENTDATA[[#This Row],[Investment_Amount]]*0.18</f>
        <v>198972.36</v>
      </c>
      <c r="M303">
        <f>_INVESTEMENTDATA[[#This Row],[Investment_Amount]]*0.18*25</f>
        <v>4974309</v>
      </c>
    </row>
    <row r="304" spans="1:13" x14ac:dyDescent="0.25">
      <c r="A304" t="s">
        <v>614</v>
      </c>
      <c r="B304" t="s">
        <v>17</v>
      </c>
      <c r="C304">
        <v>51</v>
      </c>
      <c r="D304" t="s">
        <v>38</v>
      </c>
      <c r="E304" t="s">
        <v>13</v>
      </c>
      <c r="F304" t="s">
        <v>30</v>
      </c>
      <c r="G304">
        <v>115830</v>
      </c>
      <c r="H304">
        <f t="shared" ca="1" si="4"/>
        <v>119</v>
      </c>
      <c r="I304">
        <v>13.49</v>
      </c>
      <c r="J304">
        <v>36.35</v>
      </c>
      <c r="K304" t="s">
        <v>615</v>
      </c>
      <c r="L304">
        <f>_INVESTEMENTDATA[[#This Row],[Investment_Amount]]*0.18</f>
        <v>20849.399999999998</v>
      </c>
      <c r="M304">
        <f>_INVESTEMENTDATA[[#This Row],[Investment_Amount]]*0.18*25</f>
        <v>521234.99999999994</v>
      </c>
    </row>
    <row r="305" spans="1:13" x14ac:dyDescent="0.25">
      <c r="A305" t="s">
        <v>616</v>
      </c>
      <c r="B305" t="s">
        <v>17</v>
      </c>
      <c r="C305">
        <v>50</v>
      </c>
      <c r="D305" t="s">
        <v>46</v>
      </c>
      <c r="E305" t="s">
        <v>13</v>
      </c>
      <c r="F305" t="s">
        <v>47</v>
      </c>
      <c r="G305">
        <v>1671440</v>
      </c>
      <c r="H305">
        <f t="shared" ca="1" si="4"/>
        <v>228</v>
      </c>
      <c r="I305">
        <v>23.05</v>
      </c>
      <c r="J305">
        <v>9.17</v>
      </c>
      <c r="K305" t="s">
        <v>48</v>
      </c>
      <c r="L305">
        <f>_INVESTEMENTDATA[[#This Row],[Investment_Amount]]*0.18</f>
        <v>300859.2</v>
      </c>
      <c r="M305">
        <f>_INVESTEMENTDATA[[#This Row],[Investment_Amount]]*0.18*25</f>
        <v>7521480</v>
      </c>
    </row>
    <row r="306" spans="1:13" x14ac:dyDescent="0.25">
      <c r="A306" t="s">
        <v>617</v>
      </c>
      <c r="B306" t="s">
        <v>17</v>
      </c>
      <c r="C306">
        <v>24</v>
      </c>
      <c r="D306" t="s">
        <v>12</v>
      </c>
      <c r="E306" t="s">
        <v>13</v>
      </c>
      <c r="F306" t="s">
        <v>14</v>
      </c>
      <c r="G306">
        <v>4016939</v>
      </c>
      <c r="H306">
        <f t="shared" ca="1" si="4"/>
        <v>159</v>
      </c>
      <c r="I306">
        <v>22.24</v>
      </c>
      <c r="J306">
        <v>7.94</v>
      </c>
      <c r="K306" t="s">
        <v>618</v>
      </c>
      <c r="L306">
        <f>_INVESTEMENTDATA[[#This Row],[Investment_Amount]]*0.18</f>
        <v>723049.02</v>
      </c>
      <c r="M306">
        <f>_INVESTEMENTDATA[[#This Row],[Investment_Amount]]*0.18*25</f>
        <v>18076225.5</v>
      </c>
    </row>
    <row r="307" spans="1:13" x14ac:dyDescent="0.25">
      <c r="A307" t="s">
        <v>619</v>
      </c>
      <c r="B307" t="s">
        <v>11</v>
      </c>
      <c r="C307">
        <v>54</v>
      </c>
      <c r="D307" t="s">
        <v>46</v>
      </c>
      <c r="E307" t="s">
        <v>57</v>
      </c>
      <c r="F307" t="s">
        <v>20</v>
      </c>
      <c r="G307">
        <v>2863269</v>
      </c>
      <c r="H307">
        <f t="shared" ca="1" si="4"/>
        <v>286</v>
      </c>
      <c r="I307">
        <v>23.08</v>
      </c>
      <c r="J307">
        <v>25.06</v>
      </c>
      <c r="K307" t="s">
        <v>620</v>
      </c>
      <c r="L307">
        <f>_INVESTEMENTDATA[[#This Row],[Investment_Amount]]*0.18</f>
        <v>515388.42</v>
      </c>
      <c r="M307">
        <f>_INVESTEMENTDATA[[#This Row],[Investment_Amount]]*0.18*25</f>
        <v>12884710.5</v>
      </c>
    </row>
    <row r="308" spans="1:13" x14ac:dyDescent="0.25">
      <c r="A308" t="s">
        <v>621</v>
      </c>
      <c r="B308" t="s">
        <v>17</v>
      </c>
      <c r="C308">
        <v>56</v>
      </c>
      <c r="D308" t="s">
        <v>46</v>
      </c>
      <c r="E308" t="s">
        <v>19</v>
      </c>
      <c r="F308" t="s">
        <v>20</v>
      </c>
      <c r="G308">
        <v>4742982</v>
      </c>
      <c r="H308">
        <f t="shared" ca="1" si="4"/>
        <v>112</v>
      </c>
      <c r="I308">
        <v>14.03</v>
      </c>
      <c r="J308">
        <v>16.03</v>
      </c>
      <c r="K308" t="s">
        <v>622</v>
      </c>
      <c r="L308">
        <f>_INVESTEMENTDATA[[#This Row],[Investment_Amount]]*0.18</f>
        <v>853736.76</v>
      </c>
      <c r="M308">
        <f>_INVESTEMENTDATA[[#This Row],[Investment_Amount]]*0.18*25</f>
        <v>21343419</v>
      </c>
    </row>
    <row r="309" spans="1:13" x14ac:dyDescent="0.25">
      <c r="A309" t="s">
        <v>623</v>
      </c>
      <c r="B309" t="s">
        <v>17</v>
      </c>
      <c r="C309">
        <v>34</v>
      </c>
      <c r="D309" t="s">
        <v>28</v>
      </c>
      <c r="E309" t="s">
        <v>19</v>
      </c>
      <c r="F309" t="s">
        <v>30</v>
      </c>
      <c r="G309">
        <v>1636308</v>
      </c>
      <c r="H309">
        <f t="shared" ca="1" si="4"/>
        <v>301</v>
      </c>
      <c r="I309">
        <v>5.0999999999999996</v>
      </c>
      <c r="J309">
        <v>19.649999999999999</v>
      </c>
      <c r="K309" t="s">
        <v>624</v>
      </c>
      <c r="L309">
        <f>_INVESTEMENTDATA[[#This Row],[Investment_Amount]]*0.18</f>
        <v>294535.44</v>
      </c>
      <c r="M309">
        <f>_INVESTEMENTDATA[[#This Row],[Investment_Amount]]*0.18*25</f>
        <v>7363386</v>
      </c>
    </row>
    <row r="310" spans="1:13" x14ac:dyDescent="0.25">
      <c r="A310" t="s">
        <v>625</v>
      </c>
      <c r="B310" t="s">
        <v>11</v>
      </c>
      <c r="C310">
        <v>40</v>
      </c>
      <c r="D310" t="s">
        <v>46</v>
      </c>
      <c r="E310" t="s">
        <v>23</v>
      </c>
      <c r="F310" t="s">
        <v>14</v>
      </c>
      <c r="G310">
        <v>2710318</v>
      </c>
      <c r="H310">
        <f t="shared" ca="1" si="4"/>
        <v>323</v>
      </c>
      <c r="I310">
        <v>21.66</v>
      </c>
      <c r="J310">
        <v>-7.07</v>
      </c>
      <c r="K310" t="s">
        <v>626</v>
      </c>
      <c r="L310">
        <f>_INVESTEMENTDATA[[#This Row],[Investment_Amount]]*0.18</f>
        <v>487857.24</v>
      </c>
      <c r="M310">
        <f>_INVESTEMENTDATA[[#This Row],[Investment_Amount]]*0.18*25</f>
        <v>12196431</v>
      </c>
    </row>
    <row r="311" spans="1:13" x14ac:dyDescent="0.25">
      <c r="A311" t="s">
        <v>627</v>
      </c>
      <c r="B311" t="s">
        <v>11</v>
      </c>
      <c r="C311">
        <v>28</v>
      </c>
      <c r="D311" t="s">
        <v>38</v>
      </c>
      <c r="E311" t="s">
        <v>19</v>
      </c>
      <c r="F311" t="s">
        <v>35</v>
      </c>
      <c r="G311">
        <v>882298</v>
      </c>
      <c r="H311">
        <f t="shared" ca="1" si="4"/>
        <v>174</v>
      </c>
      <c r="I311">
        <v>31.12</v>
      </c>
      <c r="J311">
        <v>-3.44</v>
      </c>
      <c r="K311" t="s">
        <v>628</v>
      </c>
      <c r="L311">
        <f>_INVESTEMENTDATA[[#This Row],[Investment_Amount]]*0.18</f>
        <v>158813.63999999998</v>
      </c>
      <c r="M311">
        <f>_INVESTEMENTDATA[[#This Row],[Investment_Amount]]*0.18*25</f>
        <v>3970340.9999999995</v>
      </c>
    </row>
    <row r="312" spans="1:13" x14ac:dyDescent="0.25">
      <c r="A312" t="s">
        <v>629</v>
      </c>
      <c r="B312" t="s">
        <v>11</v>
      </c>
      <c r="C312">
        <v>60</v>
      </c>
      <c r="D312" t="s">
        <v>28</v>
      </c>
      <c r="E312" t="s">
        <v>19</v>
      </c>
      <c r="F312" t="s">
        <v>14</v>
      </c>
      <c r="G312">
        <v>2310441</v>
      </c>
      <c r="H312">
        <f t="shared" ca="1" si="4"/>
        <v>229</v>
      </c>
      <c r="I312">
        <v>6.72</v>
      </c>
      <c r="J312">
        <v>27.28</v>
      </c>
      <c r="K312" t="s">
        <v>630</v>
      </c>
      <c r="L312">
        <f>_INVESTEMENTDATA[[#This Row],[Investment_Amount]]*0.18</f>
        <v>415879.38</v>
      </c>
      <c r="M312">
        <f>_INVESTEMENTDATA[[#This Row],[Investment_Amount]]*0.18*25</f>
        <v>10396984.5</v>
      </c>
    </row>
    <row r="313" spans="1:13" x14ac:dyDescent="0.25">
      <c r="A313" t="s">
        <v>631</v>
      </c>
      <c r="B313" t="s">
        <v>11</v>
      </c>
      <c r="C313">
        <v>61</v>
      </c>
      <c r="D313" t="s">
        <v>12</v>
      </c>
      <c r="E313" t="s">
        <v>23</v>
      </c>
      <c r="F313" t="s">
        <v>30</v>
      </c>
      <c r="G313">
        <v>3037368</v>
      </c>
      <c r="H313">
        <f t="shared" ca="1" si="4"/>
        <v>242</v>
      </c>
      <c r="I313">
        <v>22.28</v>
      </c>
      <c r="J313">
        <v>36.35</v>
      </c>
      <c r="K313" t="s">
        <v>632</v>
      </c>
      <c r="L313">
        <f>_INVESTEMENTDATA[[#This Row],[Investment_Amount]]*0.18</f>
        <v>546726.24</v>
      </c>
      <c r="M313">
        <f>_INVESTEMENTDATA[[#This Row],[Investment_Amount]]*0.18*25</f>
        <v>13668156</v>
      </c>
    </row>
    <row r="314" spans="1:13" x14ac:dyDescent="0.25">
      <c r="A314" t="s">
        <v>633</v>
      </c>
      <c r="B314" t="s">
        <v>17</v>
      </c>
      <c r="C314">
        <v>50</v>
      </c>
      <c r="D314" t="s">
        <v>12</v>
      </c>
      <c r="E314" t="s">
        <v>57</v>
      </c>
      <c r="F314" t="s">
        <v>47</v>
      </c>
      <c r="G314">
        <v>1933934</v>
      </c>
      <c r="H314">
        <f t="shared" ca="1" si="4"/>
        <v>56</v>
      </c>
      <c r="I314">
        <v>19.55</v>
      </c>
      <c r="J314">
        <v>11.85</v>
      </c>
      <c r="K314" t="s">
        <v>634</v>
      </c>
      <c r="L314">
        <f>_INVESTEMENTDATA[[#This Row],[Investment_Amount]]*0.18</f>
        <v>348108.12</v>
      </c>
      <c r="M314">
        <f>_INVESTEMENTDATA[[#This Row],[Investment_Amount]]*0.18*25</f>
        <v>8702703</v>
      </c>
    </row>
    <row r="315" spans="1:13" x14ac:dyDescent="0.25">
      <c r="A315" t="s">
        <v>635</v>
      </c>
      <c r="B315" t="s">
        <v>11</v>
      </c>
      <c r="C315">
        <v>53</v>
      </c>
      <c r="D315" t="s">
        <v>12</v>
      </c>
      <c r="E315" t="s">
        <v>29</v>
      </c>
      <c r="F315" t="s">
        <v>47</v>
      </c>
      <c r="G315">
        <v>3014988</v>
      </c>
      <c r="H315">
        <f t="shared" ca="1" si="4"/>
        <v>131</v>
      </c>
      <c r="I315">
        <v>11.26</v>
      </c>
      <c r="J315">
        <v>38.53</v>
      </c>
      <c r="K315" t="s">
        <v>636</v>
      </c>
      <c r="L315">
        <f>_INVESTEMENTDATA[[#This Row],[Investment_Amount]]*0.18</f>
        <v>542697.84</v>
      </c>
      <c r="M315">
        <f>_INVESTEMENTDATA[[#This Row],[Investment_Amount]]*0.18*25</f>
        <v>13567446</v>
      </c>
    </row>
    <row r="316" spans="1:13" x14ac:dyDescent="0.25">
      <c r="A316" t="s">
        <v>637</v>
      </c>
      <c r="B316" t="s">
        <v>17</v>
      </c>
      <c r="C316">
        <v>45</v>
      </c>
      <c r="D316" t="s">
        <v>18</v>
      </c>
      <c r="E316" t="s">
        <v>29</v>
      </c>
      <c r="F316" t="s">
        <v>14</v>
      </c>
      <c r="G316">
        <v>1879072</v>
      </c>
      <c r="H316">
        <f t="shared" ca="1" si="4"/>
        <v>56</v>
      </c>
      <c r="I316">
        <v>12.26</v>
      </c>
      <c r="J316">
        <v>34.67</v>
      </c>
      <c r="K316" t="s">
        <v>638</v>
      </c>
      <c r="L316">
        <f>_INVESTEMENTDATA[[#This Row],[Investment_Amount]]*0.18</f>
        <v>338232.95999999996</v>
      </c>
      <c r="M316">
        <f>_INVESTEMENTDATA[[#This Row],[Investment_Amount]]*0.18*25</f>
        <v>8455824</v>
      </c>
    </row>
    <row r="317" spans="1:13" x14ac:dyDescent="0.25">
      <c r="A317" t="s">
        <v>639</v>
      </c>
      <c r="B317" t="s">
        <v>17</v>
      </c>
      <c r="C317">
        <v>52</v>
      </c>
      <c r="D317" t="s">
        <v>28</v>
      </c>
      <c r="E317" t="s">
        <v>50</v>
      </c>
      <c r="F317" t="s">
        <v>30</v>
      </c>
      <c r="G317">
        <v>879288</v>
      </c>
      <c r="H317">
        <f t="shared" ca="1" si="4"/>
        <v>248</v>
      </c>
      <c r="I317">
        <v>11.85</v>
      </c>
      <c r="J317">
        <v>3.17</v>
      </c>
      <c r="K317" t="s">
        <v>640</v>
      </c>
      <c r="L317">
        <f>_INVESTEMENTDATA[[#This Row],[Investment_Amount]]*0.18</f>
        <v>158271.84</v>
      </c>
      <c r="M317">
        <f>_INVESTEMENTDATA[[#This Row],[Investment_Amount]]*0.18*25</f>
        <v>3956796</v>
      </c>
    </row>
    <row r="318" spans="1:13" x14ac:dyDescent="0.25">
      <c r="A318" t="s">
        <v>641</v>
      </c>
      <c r="B318" t="s">
        <v>17</v>
      </c>
      <c r="C318">
        <v>33</v>
      </c>
      <c r="D318" t="s">
        <v>46</v>
      </c>
      <c r="E318" t="s">
        <v>23</v>
      </c>
      <c r="F318" t="s">
        <v>30</v>
      </c>
      <c r="G318">
        <v>1650176</v>
      </c>
      <c r="H318">
        <f t="shared" ca="1" si="4"/>
        <v>170</v>
      </c>
      <c r="I318">
        <v>21.54</v>
      </c>
      <c r="J318">
        <v>44.92</v>
      </c>
      <c r="K318" t="s">
        <v>642</v>
      </c>
      <c r="L318">
        <f>_INVESTEMENTDATA[[#This Row],[Investment_Amount]]*0.18</f>
        <v>297031.67999999999</v>
      </c>
      <c r="M318">
        <f>_INVESTEMENTDATA[[#This Row],[Investment_Amount]]*0.18*25</f>
        <v>7425792</v>
      </c>
    </row>
    <row r="319" spans="1:13" x14ac:dyDescent="0.25">
      <c r="A319" t="s">
        <v>643</v>
      </c>
      <c r="B319" t="s">
        <v>11</v>
      </c>
      <c r="C319">
        <v>52</v>
      </c>
      <c r="D319" t="s">
        <v>12</v>
      </c>
      <c r="E319" t="s">
        <v>13</v>
      </c>
      <c r="F319" t="s">
        <v>41</v>
      </c>
      <c r="G319">
        <v>1441921</v>
      </c>
      <c r="H319">
        <f t="shared" ca="1" si="4"/>
        <v>232</v>
      </c>
      <c r="I319">
        <v>32.090000000000003</v>
      </c>
      <c r="J319">
        <v>10.14</v>
      </c>
      <c r="K319" t="s">
        <v>644</v>
      </c>
      <c r="L319">
        <f>_INVESTEMENTDATA[[#This Row],[Investment_Amount]]*0.18</f>
        <v>259545.78</v>
      </c>
      <c r="M319">
        <f>_INVESTEMENTDATA[[#This Row],[Investment_Amount]]*0.18*25</f>
        <v>6488644.5</v>
      </c>
    </row>
    <row r="320" spans="1:13" x14ac:dyDescent="0.25">
      <c r="A320" t="s">
        <v>645</v>
      </c>
      <c r="B320" t="s">
        <v>11</v>
      </c>
      <c r="C320">
        <v>51</v>
      </c>
      <c r="D320" t="s">
        <v>28</v>
      </c>
      <c r="E320" t="s">
        <v>13</v>
      </c>
      <c r="F320" t="s">
        <v>30</v>
      </c>
      <c r="G320">
        <v>298538</v>
      </c>
      <c r="H320">
        <f t="shared" ca="1" si="4"/>
        <v>176</v>
      </c>
      <c r="I320">
        <v>32.840000000000003</v>
      </c>
      <c r="J320">
        <v>43.91</v>
      </c>
      <c r="K320" t="s">
        <v>184</v>
      </c>
      <c r="L320">
        <f>_INVESTEMENTDATA[[#This Row],[Investment_Amount]]*0.18</f>
        <v>53736.84</v>
      </c>
      <c r="M320">
        <f>_INVESTEMENTDATA[[#This Row],[Investment_Amount]]*0.18*25</f>
        <v>1343421</v>
      </c>
    </row>
    <row r="321" spans="1:13" x14ac:dyDescent="0.25">
      <c r="A321" t="s">
        <v>646</v>
      </c>
      <c r="B321" t="s">
        <v>17</v>
      </c>
      <c r="C321">
        <v>50</v>
      </c>
      <c r="D321" t="s">
        <v>28</v>
      </c>
      <c r="E321" t="s">
        <v>50</v>
      </c>
      <c r="F321" t="s">
        <v>20</v>
      </c>
      <c r="G321">
        <v>3070234</v>
      </c>
      <c r="H321">
        <f t="shared" ca="1" si="4"/>
        <v>27</v>
      </c>
      <c r="I321">
        <v>6.63</v>
      </c>
      <c r="J321">
        <v>26.28</v>
      </c>
      <c r="K321" t="s">
        <v>647</v>
      </c>
      <c r="L321">
        <f>_INVESTEMENTDATA[[#This Row],[Investment_Amount]]*0.18</f>
        <v>552642.12</v>
      </c>
      <c r="M321">
        <f>_INVESTEMENTDATA[[#This Row],[Investment_Amount]]*0.18*25</f>
        <v>13816053</v>
      </c>
    </row>
    <row r="322" spans="1:13" x14ac:dyDescent="0.25">
      <c r="A322" t="s">
        <v>648</v>
      </c>
      <c r="B322" t="s">
        <v>17</v>
      </c>
      <c r="C322">
        <v>37</v>
      </c>
      <c r="D322" t="s">
        <v>38</v>
      </c>
      <c r="E322" t="s">
        <v>23</v>
      </c>
      <c r="F322" t="s">
        <v>41</v>
      </c>
      <c r="G322">
        <v>3980007</v>
      </c>
      <c r="H322">
        <f t="shared" ref="H322:H385" ca="1" si="5">RANDBETWEEN(7,365)</f>
        <v>315</v>
      </c>
      <c r="I322">
        <v>34.39</v>
      </c>
      <c r="J322">
        <v>-4</v>
      </c>
      <c r="K322" t="s">
        <v>305</v>
      </c>
      <c r="L322">
        <f>_INVESTEMENTDATA[[#This Row],[Investment_Amount]]*0.18</f>
        <v>716401.26</v>
      </c>
      <c r="M322">
        <f>_INVESTEMENTDATA[[#This Row],[Investment_Amount]]*0.18*25</f>
        <v>17910031.5</v>
      </c>
    </row>
    <row r="323" spans="1:13" x14ac:dyDescent="0.25">
      <c r="A323" t="s">
        <v>649</v>
      </c>
      <c r="B323" t="s">
        <v>11</v>
      </c>
      <c r="C323">
        <v>34</v>
      </c>
      <c r="D323" t="s">
        <v>46</v>
      </c>
      <c r="E323" t="s">
        <v>13</v>
      </c>
      <c r="F323" t="s">
        <v>47</v>
      </c>
      <c r="G323">
        <v>1283408</v>
      </c>
      <c r="H323">
        <f t="shared" ca="1" si="5"/>
        <v>236</v>
      </c>
      <c r="I323">
        <v>27.09</v>
      </c>
      <c r="J323">
        <v>29.8</v>
      </c>
      <c r="K323" t="s">
        <v>650</v>
      </c>
      <c r="L323">
        <f>_INVESTEMENTDATA[[#This Row],[Investment_Amount]]*0.18</f>
        <v>231013.44</v>
      </c>
      <c r="M323">
        <f>_INVESTEMENTDATA[[#This Row],[Investment_Amount]]*0.18*25</f>
        <v>5775336</v>
      </c>
    </row>
    <row r="324" spans="1:13" x14ac:dyDescent="0.25">
      <c r="A324" t="s">
        <v>651</v>
      </c>
      <c r="B324" t="s">
        <v>17</v>
      </c>
      <c r="C324">
        <v>33</v>
      </c>
      <c r="D324" t="s">
        <v>46</v>
      </c>
      <c r="E324" t="s">
        <v>57</v>
      </c>
      <c r="F324" t="s">
        <v>14</v>
      </c>
      <c r="G324">
        <v>4275728</v>
      </c>
      <c r="H324">
        <f t="shared" ca="1" si="5"/>
        <v>256</v>
      </c>
      <c r="I324">
        <v>5.81</v>
      </c>
      <c r="J324">
        <v>14.64</v>
      </c>
      <c r="K324" t="s">
        <v>652</v>
      </c>
      <c r="L324">
        <f>_INVESTEMENTDATA[[#This Row],[Investment_Amount]]*0.18</f>
        <v>769631.03999999992</v>
      </c>
      <c r="M324">
        <f>_INVESTEMENTDATA[[#This Row],[Investment_Amount]]*0.18*25</f>
        <v>19240775.999999996</v>
      </c>
    </row>
    <row r="325" spans="1:13" x14ac:dyDescent="0.25">
      <c r="A325" t="s">
        <v>653</v>
      </c>
      <c r="B325" t="s">
        <v>11</v>
      </c>
      <c r="C325">
        <v>45</v>
      </c>
      <c r="D325" t="s">
        <v>18</v>
      </c>
      <c r="E325" t="s">
        <v>19</v>
      </c>
      <c r="F325" t="s">
        <v>41</v>
      </c>
      <c r="G325">
        <v>157432</v>
      </c>
      <c r="H325">
        <f t="shared" ca="1" si="5"/>
        <v>87</v>
      </c>
      <c r="I325">
        <v>21.13</v>
      </c>
      <c r="J325">
        <v>40.74</v>
      </c>
      <c r="K325" t="s">
        <v>654</v>
      </c>
      <c r="L325">
        <f>_INVESTEMENTDATA[[#This Row],[Investment_Amount]]*0.18</f>
        <v>28337.759999999998</v>
      </c>
      <c r="M325">
        <f>_INVESTEMENTDATA[[#This Row],[Investment_Amount]]*0.18*25</f>
        <v>708444</v>
      </c>
    </row>
    <row r="326" spans="1:13" x14ac:dyDescent="0.25">
      <c r="A326" t="s">
        <v>655</v>
      </c>
      <c r="B326" t="s">
        <v>11</v>
      </c>
      <c r="C326">
        <v>58</v>
      </c>
      <c r="D326" t="s">
        <v>38</v>
      </c>
      <c r="E326" t="s">
        <v>23</v>
      </c>
      <c r="F326" t="s">
        <v>14</v>
      </c>
      <c r="G326">
        <v>2934220</v>
      </c>
      <c r="H326">
        <f t="shared" ca="1" si="5"/>
        <v>362</v>
      </c>
      <c r="I326">
        <v>14.08</v>
      </c>
      <c r="J326">
        <v>16.38</v>
      </c>
      <c r="K326" t="s">
        <v>656</v>
      </c>
      <c r="L326">
        <f>_INVESTEMENTDATA[[#This Row],[Investment_Amount]]*0.18</f>
        <v>528159.6</v>
      </c>
      <c r="M326">
        <f>_INVESTEMENTDATA[[#This Row],[Investment_Amount]]*0.18*25</f>
        <v>13203990</v>
      </c>
    </row>
    <row r="327" spans="1:13" x14ac:dyDescent="0.25">
      <c r="A327" t="s">
        <v>657</v>
      </c>
      <c r="B327" t="s">
        <v>17</v>
      </c>
      <c r="C327">
        <v>31</v>
      </c>
      <c r="D327" t="s">
        <v>18</v>
      </c>
      <c r="E327" t="s">
        <v>23</v>
      </c>
      <c r="F327" t="s">
        <v>14</v>
      </c>
      <c r="G327">
        <v>4468757</v>
      </c>
      <c r="H327">
        <f t="shared" ca="1" si="5"/>
        <v>31</v>
      </c>
      <c r="I327">
        <v>24.35</v>
      </c>
      <c r="J327">
        <v>41.49</v>
      </c>
      <c r="K327" t="s">
        <v>658</v>
      </c>
      <c r="L327">
        <f>_INVESTEMENTDATA[[#This Row],[Investment_Amount]]*0.18</f>
        <v>804376.26</v>
      </c>
      <c r="M327">
        <f>_INVESTEMENTDATA[[#This Row],[Investment_Amount]]*0.18*25</f>
        <v>20109406.5</v>
      </c>
    </row>
    <row r="328" spans="1:13" x14ac:dyDescent="0.25">
      <c r="A328" t="s">
        <v>659</v>
      </c>
      <c r="B328" t="s">
        <v>11</v>
      </c>
      <c r="C328">
        <v>56</v>
      </c>
      <c r="D328" t="s">
        <v>46</v>
      </c>
      <c r="E328" t="s">
        <v>57</v>
      </c>
      <c r="F328" t="s">
        <v>41</v>
      </c>
      <c r="G328">
        <v>1451352</v>
      </c>
      <c r="H328">
        <f t="shared" ca="1" si="5"/>
        <v>9</v>
      </c>
      <c r="I328">
        <v>16.91</v>
      </c>
      <c r="J328">
        <v>27.77</v>
      </c>
      <c r="K328" t="s">
        <v>660</v>
      </c>
      <c r="L328">
        <f>_INVESTEMENTDATA[[#This Row],[Investment_Amount]]*0.18</f>
        <v>261243.36</v>
      </c>
      <c r="M328">
        <f>_INVESTEMENTDATA[[#This Row],[Investment_Amount]]*0.18*25</f>
        <v>6531084</v>
      </c>
    </row>
    <row r="329" spans="1:13" x14ac:dyDescent="0.25">
      <c r="A329" t="s">
        <v>661</v>
      </c>
      <c r="B329" t="s">
        <v>11</v>
      </c>
      <c r="C329">
        <v>51</v>
      </c>
      <c r="D329" t="s">
        <v>12</v>
      </c>
      <c r="E329" t="s">
        <v>50</v>
      </c>
      <c r="F329" t="s">
        <v>20</v>
      </c>
      <c r="G329">
        <v>509397</v>
      </c>
      <c r="H329">
        <f t="shared" ca="1" si="5"/>
        <v>44</v>
      </c>
      <c r="I329">
        <v>8.59</v>
      </c>
      <c r="J329">
        <v>14.43</v>
      </c>
      <c r="K329" t="s">
        <v>662</v>
      </c>
      <c r="L329">
        <f>_INVESTEMENTDATA[[#This Row],[Investment_Amount]]*0.18</f>
        <v>91691.459999999992</v>
      </c>
      <c r="M329">
        <f>_INVESTEMENTDATA[[#This Row],[Investment_Amount]]*0.18*25</f>
        <v>2292286.5</v>
      </c>
    </row>
    <row r="330" spans="1:13" x14ac:dyDescent="0.25">
      <c r="A330" t="s">
        <v>663</v>
      </c>
      <c r="B330" t="s">
        <v>17</v>
      </c>
      <c r="C330">
        <v>57</v>
      </c>
      <c r="D330" t="s">
        <v>12</v>
      </c>
      <c r="E330" t="s">
        <v>50</v>
      </c>
      <c r="F330" t="s">
        <v>47</v>
      </c>
      <c r="G330">
        <v>3302162</v>
      </c>
      <c r="H330">
        <f t="shared" ca="1" si="5"/>
        <v>16</v>
      </c>
      <c r="I330">
        <v>24.67</v>
      </c>
      <c r="J330">
        <v>8.3699999999999992</v>
      </c>
      <c r="K330" t="s">
        <v>664</v>
      </c>
      <c r="L330">
        <f>_INVESTEMENTDATA[[#This Row],[Investment_Amount]]*0.18</f>
        <v>594389.16</v>
      </c>
      <c r="M330">
        <f>_INVESTEMENTDATA[[#This Row],[Investment_Amount]]*0.18*25</f>
        <v>14859729</v>
      </c>
    </row>
    <row r="331" spans="1:13" x14ac:dyDescent="0.25">
      <c r="A331" t="s">
        <v>665</v>
      </c>
      <c r="B331" t="s">
        <v>17</v>
      </c>
      <c r="C331">
        <v>55</v>
      </c>
      <c r="D331" t="s">
        <v>38</v>
      </c>
      <c r="E331" t="s">
        <v>19</v>
      </c>
      <c r="F331" t="s">
        <v>30</v>
      </c>
      <c r="G331">
        <v>4862186</v>
      </c>
      <c r="H331">
        <f t="shared" ca="1" si="5"/>
        <v>277</v>
      </c>
      <c r="I331">
        <v>32.299999999999997</v>
      </c>
      <c r="J331">
        <v>5.47</v>
      </c>
      <c r="K331" t="s">
        <v>666</v>
      </c>
      <c r="L331">
        <f>_INVESTEMENTDATA[[#This Row],[Investment_Amount]]*0.18</f>
        <v>875193.48</v>
      </c>
      <c r="M331">
        <f>_INVESTEMENTDATA[[#This Row],[Investment_Amount]]*0.18*25</f>
        <v>21879837</v>
      </c>
    </row>
    <row r="332" spans="1:13" x14ac:dyDescent="0.25">
      <c r="A332" t="s">
        <v>667</v>
      </c>
      <c r="B332" t="s">
        <v>11</v>
      </c>
      <c r="C332">
        <v>55</v>
      </c>
      <c r="D332" t="s">
        <v>18</v>
      </c>
      <c r="E332" t="s">
        <v>13</v>
      </c>
      <c r="F332" t="s">
        <v>41</v>
      </c>
      <c r="G332">
        <v>726540</v>
      </c>
      <c r="H332">
        <f t="shared" ca="1" si="5"/>
        <v>23</v>
      </c>
      <c r="I332">
        <v>34.159999999999997</v>
      </c>
      <c r="J332">
        <v>39.700000000000003</v>
      </c>
      <c r="K332" t="s">
        <v>668</v>
      </c>
      <c r="L332">
        <f>_INVESTEMENTDATA[[#This Row],[Investment_Amount]]*0.18</f>
        <v>130777.2</v>
      </c>
      <c r="M332">
        <f>_INVESTEMENTDATA[[#This Row],[Investment_Amount]]*0.18*25</f>
        <v>3269430</v>
      </c>
    </row>
    <row r="333" spans="1:13" x14ac:dyDescent="0.25">
      <c r="A333" t="s">
        <v>669</v>
      </c>
      <c r="B333" t="s">
        <v>17</v>
      </c>
      <c r="C333">
        <v>57</v>
      </c>
      <c r="D333" t="s">
        <v>46</v>
      </c>
      <c r="E333" t="s">
        <v>29</v>
      </c>
      <c r="F333" t="s">
        <v>47</v>
      </c>
      <c r="G333">
        <v>4450403</v>
      </c>
      <c r="H333">
        <f t="shared" ca="1" si="5"/>
        <v>116</v>
      </c>
      <c r="I333">
        <v>9.59</v>
      </c>
      <c r="J333">
        <v>28.06</v>
      </c>
      <c r="K333" t="s">
        <v>670</v>
      </c>
      <c r="L333">
        <f>_INVESTEMENTDATA[[#This Row],[Investment_Amount]]*0.18</f>
        <v>801072.53999999992</v>
      </c>
      <c r="M333">
        <f>_INVESTEMENTDATA[[#This Row],[Investment_Amount]]*0.18*25</f>
        <v>20026813.499999996</v>
      </c>
    </row>
    <row r="334" spans="1:13" x14ac:dyDescent="0.25">
      <c r="A334" t="s">
        <v>671</v>
      </c>
      <c r="B334" t="s">
        <v>11</v>
      </c>
      <c r="C334">
        <v>46</v>
      </c>
      <c r="D334" t="s">
        <v>46</v>
      </c>
      <c r="E334" t="s">
        <v>23</v>
      </c>
      <c r="F334" t="s">
        <v>35</v>
      </c>
      <c r="G334">
        <v>4955257</v>
      </c>
      <c r="H334">
        <f t="shared" ca="1" si="5"/>
        <v>117</v>
      </c>
      <c r="I334">
        <v>9.58</v>
      </c>
      <c r="J334">
        <v>10.37</v>
      </c>
      <c r="K334" t="s">
        <v>672</v>
      </c>
      <c r="L334">
        <f>_INVESTEMENTDATA[[#This Row],[Investment_Amount]]*0.18</f>
        <v>891946.26</v>
      </c>
      <c r="M334">
        <f>_INVESTEMENTDATA[[#This Row],[Investment_Amount]]*0.18*25</f>
        <v>22298656.5</v>
      </c>
    </row>
    <row r="335" spans="1:13" x14ac:dyDescent="0.25">
      <c r="A335" t="s">
        <v>673</v>
      </c>
      <c r="B335" t="s">
        <v>11</v>
      </c>
      <c r="C335">
        <v>24</v>
      </c>
      <c r="D335" t="s">
        <v>18</v>
      </c>
      <c r="E335" t="s">
        <v>13</v>
      </c>
      <c r="F335" t="s">
        <v>41</v>
      </c>
      <c r="G335">
        <v>1717175</v>
      </c>
      <c r="H335">
        <f t="shared" ca="1" si="5"/>
        <v>352</v>
      </c>
      <c r="I335">
        <v>15.61</v>
      </c>
      <c r="J335">
        <v>36.39</v>
      </c>
      <c r="K335" t="s">
        <v>674</v>
      </c>
      <c r="L335">
        <f>_INVESTEMENTDATA[[#This Row],[Investment_Amount]]*0.18</f>
        <v>309091.5</v>
      </c>
      <c r="M335">
        <f>_INVESTEMENTDATA[[#This Row],[Investment_Amount]]*0.18*25</f>
        <v>7727287.5</v>
      </c>
    </row>
    <row r="336" spans="1:13" x14ac:dyDescent="0.25">
      <c r="A336" t="s">
        <v>675</v>
      </c>
      <c r="B336" t="s">
        <v>17</v>
      </c>
      <c r="C336">
        <v>38</v>
      </c>
      <c r="D336" t="s">
        <v>28</v>
      </c>
      <c r="E336" t="s">
        <v>29</v>
      </c>
      <c r="F336" t="s">
        <v>47</v>
      </c>
      <c r="G336">
        <v>4555542</v>
      </c>
      <c r="H336">
        <f t="shared" ca="1" si="5"/>
        <v>190</v>
      </c>
      <c r="I336">
        <v>29.86</v>
      </c>
      <c r="J336">
        <v>-8.4499999999999993</v>
      </c>
      <c r="K336" t="s">
        <v>676</v>
      </c>
      <c r="L336">
        <f>_INVESTEMENTDATA[[#This Row],[Investment_Amount]]*0.18</f>
        <v>819997.55999999994</v>
      </c>
      <c r="M336">
        <f>_INVESTEMENTDATA[[#This Row],[Investment_Amount]]*0.18*25</f>
        <v>20499939</v>
      </c>
    </row>
    <row r="337" spans="1:13" x14ac:dyDescent="0.25">
      <c r="A337" t="s">
        <v>677</v>
      </c>
      <c r="B337" t="s">
        <v>11</v>
      </c>
      <c r="C337">
        <v>29</v>
      </c>
      <c r="D337" t="s">
        <v>38</v>
      </c>
      <c r="E337" t="s">
        <v>23</v>
      </c>
      <c r="F337" t="s">
        <v>30</v>
      </c>
      <c r="G337">
        <v>723720</v>
      </c>
      <c r="H337">
        <f t="shared" ca="1" si="5"/>
        <v>254</v>
      </c>
      <c r="I337">
        <v>31.2</v>
      </c>
      <c r="J337">
        <v>23.32</v>
      </c>
      <c r="K337" t="s">
        <v>678</v>
      </c>
      <c r="L337">
        <f>_INVESTEMENTDATA[[#This Row],[Investment_Amount]]*0.18</f>
        <v>130269.59999999999</v>
      </c>
      <c r="M337">
        <f>_INVESTEMENTDATA[[#This Row],[Investment_Amount]]*0.18*25</f>
        <v>3256740</v>
      </c>
    </row>
    <row r="338" spans="1:13" x14ac:dyDescent="0.25">
      <c r="A338" t="s">
        <v>679</v>
      </c>
      <c r="B338" t="s">
        <v>11</v>
      </c>
      <c r="C338">
        <v>43</v>
      </c>
      <c r="D338" t="s">
        <v>46</v>
      </c>
      <c r="E338" t="s">
        <v>57</v>
      </c>
      <c r="F338" t="s">
        <v>20</v>
      </c>
      <c r="G338">
        <v>2337758</v>
      </c>
      <c r="H338">
        <f t="shared" ca="1" si="5"/>
        <v>204</v>
      </c>
      <c r="I338">
        <v>12.98</v>
      </c>
      <c r="J338">
        <v>8.57</v>
      </c>
      <c r="K338" t="s">
        <v>680</v>
      </c>
      <c r="L338">
        <f>_INVESTEMENTDATA[[#This Row],[Investment_Amount]]*0.18</f>
        <v>420796.44</v>
      </c>
      <c r="M338">
        <f>_INVESTEMENTDATA[[#This Row],[Investment_Amount]]*0.18*25</f>
        <v>10519911</v>
      </c>
    </row>
    <row r="339" spans="1:13" x14ac:dyDescent="0.25">
      <c r="A339" t="s">
        <v>681</v>
      </c>
      <c r="B339" t="s">
        <v>11</v>
      </c>
      <c r="C339">
        <v>47</v>
      </c>
      <c r="D339" t="s">
        <v>12</v>
      </c>
      <c r="E339" t="s">
        <v>29</v>
      </c>
      <c r="F339" t="s">
        <v>35</v>
      </c>
      <c r="G339">
        <v>1275945</v>
      </c>
      <c r="H339">
        <f t="shared" ca="1" si="5"/>
        <v>58</v>
      </c>
      <c r="I339">
        <v>5.28</v>
      </c>
      <c r="J339">
        <v>1.03</v>
      </c>
      <c r="K339" t="s">
        <v>682</v>
      </c>
      <c r="L339">
        <f>_INVESTEMENTDATA[[#This Row],[Investment_Amount]]*0.18</f>
        <v>229670.1</v>
      </c>
      <c r="M339">
        <f>_INVESTEMENTDATA[[#This Row],[Investment_Amount]]*0.18*25</f>
        <v>5741752.5</v>
      </c>
    </row>
    <row r="340" spans="1:13" x14ac:dyDescent="0.25">
      <c r="A340" t="s">
        <v>683</v>
      </c>
      <c r="B340" t="s">
        <v>11</v>
      </c>
      <c r="C340">
        <v>45</v>
      </c>
      <c r="D340" t="s">
        <v>12</v>
      </c>
      <c r="E340" t="s">
        <v>50</v>
      </c>
      <c r="F340" t="s">
        <v>30</v>
      </c>
      <c r="G340">
        <v>3513481</v>
      </c>
      <c r="H340">
        <f t="shared" ca="1" si="5"/>
        <v>111</v>
      </c>
      <c r="I340">
        <v>8.32</v>
      </c>
      <c r="J340">
        <v>37.82</v>
      </c>
      <c r="K340" t="s">
        <v>684</v>
      </c>
      <c r="L340">
        <f>_INVESTEMENTDATA[[#This Row],[Investment_Amount]]*0.18</f>
        <v>632426.57999999996</v>
      </c>
      <c r="M340">
        <f>_INVESTEMENTDATA[[#This Row],[Investment_Amount]]*0.18*25</f>
        <v>15810664.499999998</v>
      </c>
    </row>
    <row r="341" spans="1:13" x14ac:dyDescent="0.25">
      <c r="A341" t="s">
        <v>685</v>
      </c>
      <c r="B341" t="s">
        <v>17</v>
      </c>
      <c r="C341">
        <v>56</v>
      </c>
      <c r="D341" t="s">
        <v>46</v>
      </c>
      <c r="E341" t="s">
        <v>29</v>
      </c>
      <c r="F341" t="s">
        <v>47</v>
      </c>
      <c r="G341">
        <v>4594503</v>
      </c>
      <c r="H341">
        <f t="shared" ca="1" si="5"/>
        <v>342</v>
      </c>
      <c r="I341">
        <v>13.14</v>
      </c>
      <c r="J341">
        <v>19.62</v>
      </c>
      <c r="K341" t="s">
        <v>686</v>
      </c>
      <c r="L341">
        <f>_INVESTEMENTDATA[[#This Row],[Investment_Amount]]*0.18</f>
        <v>827010.53999999992</v>
      </c>
      <c r="M341">
        <f>_INVESTEMENTDATA[[#This Row],[Investment_Amount]]*0.18*25</f>
        <v>20675263.499999996</v>
      </c>
    </row>
    <row r="342" spans="1:13" x14ac:dyDescent="0.25">
      <c r="A342" t="s">
        <v>687</v>
      </c>
      <c r="B342" t="s">
        <v>17</v>
      </c>
      <c r="C342">
        <v>59</v>
      </c>
      <c r="D342" t="s">
        <v>38</v>
      </c>
      <c r="E342" t="s">
        <v>50</v>
      </c>
      <c r="F342" t="s">
        <v>41</v>
      </c>
      <c r="G342">
        <v>1012514</v>
      </c>
      <c r="H342">
        <f t="shared" ca="1" si="5"/>
        <v>75</v>
      </c>
      <c r="I342">
        <v>23.49</v>
      </c>
      <c r="J342">
        <v>6.7</v>
      </c>
      <c r="K342" t="s">
        <v>688</v>
      </c>
      <c r="L342">
        <f>_INVESTEMENTDATA[[#This Row],[Investment_Amount]]*0.18</f>
        <v>182252.52</v>
      </c>
      <c r="M342">
        <f>_INVESTEMENTDATA[[#This Row],[Investment_Amount]]*0.18*25</f>
        <v>4556313</v>
      </c>
    </row>
    <row r="343" spans="1:13" x14ac:dyDescent="0.25">
      <c r="A343" t="s">
        <v>689</v>
      </c>
      <c r="B343" t="s">
        <v>11</v>
      </c>
      <c r="C343">
        <v>36</v>
      </c>
      <c r="D343" t="s">
        <v>28</v>
      </c>
      <c r="E343" t="s">
        <v>50</v>
      </c>
      <c r="F343" t="s">
        <v>30</v>
      </c>
      <c r="G343">
        <v>869196</v>
      </c>
      <c r="H343">
        <f t="shared" ca="1" si="5"/>
        <v>16</v>
      </c>
      <c r="I343">
        <v>23.71</v>
      </c>
      <c r="J343">
        <v>35.85</v>
      </c>
      <c r="K343" t="s">
        <v>690</v>
      </c>
      <c r="L343">
        <f>_INVESTEMENTDATA[[#This Row],[Investment_Amount]]*0.18</f>
        <v>156455.28</v>
      </c>
      <c r="M343">
        <f>_INVESTEMENTDATA[[#This Row],[Investment_Amount]]*0.18*25</f>
        <v>3911382</v>
      </c>
    </row>
    <row r="344" spans="1:13" x14ac:dyDescent="0.25">
      <c r="A344" t="s">
        <v>691</v>
      </c>
      <c r="B344" t="s">
        <v>17</v>
      </c>
      <c r="C344">
        <v>34</v>
      </c>
      <c r="D344" t="s">
        <v>46</v>
      </c>
      <c r="E344" t="s">
        <v>29</v>
      </c>
      <c r="F344" t="s">
        <v>47</v>
      </c>
      <c r="G344">
        <v>3342471</v>
      </c>
      <c r="H344">
        <f t="shared" ca="1" si="5"/>
        <v>221</v>
      </c>
      <c r="I344">
        <v>23.81</v>
      </c>
      <c r="J344">
        <v>16.89</v>
      </c>
      <c r="K344" t="s">
        <v>692</v>
      </c>
      <c r="L344">
        <f>_INVESTEMENTDATA[[#This Row],[Investment_Amount]]*0.18</f>
        <v>601644.78</v>
      </c>
      <c r="M344">
        <f>_INVESTEMENTDATA[[#This Row],[Investment_Amount]]*0.18*25</f>
        <v>15041119.5</v>
      </c>
    </row>
    <row r="345" spans="1:13" x14ac:dyDescent="0.25">
      <c r="A345" t="s">
        <v>693</v>
      </c>
      <c r="B345" t="s">
        <v>17</v>
      </c>
      <c r="C345">
        <v>31</v>
      </c>
      <c r="D345" t="s">
        <v>28</v>
      </c>
      <c r="E345" t="s">
        <v>57</v>
      </c>
      <c r="F345" t="s">
        <v>41</v>
      </c>
      <c r="G345">
        <v>3702137</v>
      </c>
      <c r="H345">
        <f t="shared" ca="1" si="5"/>
        <v>263</v>
      </c>
      <c r="I345">
        <v>16.989999999999998</v>
      </c>
      <c r="J345">
        <v>21.34</v>
      </c>
      <c r="K345" t="s">
        <v>694</v>
      </c>
      <c r="L345">
        <f>_INVESTEMENTDATA[[#This Row],[Investment_Amount]]*0.18</f>
        <v>666384.66</v>
      </c>
      <c r="M345">
        <f>_INVESTEMENTDATA[[#This Row],[Investment_Amount]]*0.18*25</f>
        <v>16659616.5</v>
      </c>
    </row>
    <row r="346" spans="1:13" x14ac:dyDescent="0.25">
      <c r="A346" t="s">
        <v>695</v>
      </c>
      <c r="B346" t="s">
        <v>17</v>
      </c>
      <c r="C346">
        <v>51</v>
      </c>
      <c r="D346" t="s">
        <v>46</v>
      </c>
      <c r="E346" t="s">
        <v>50</v>
      </c>
      <c r="F346" t="s">
        <v>14</v>
      </c>
      <c r="G346">
        <v>3864851</v>
      </c>
      <c r="H346">
        <f t="shared" ca="1" si="5"/>
        <v>283</v>
      </c>
      <c r="I346">
        <v>31.77</v>
      </c>
      <c r="J346">
        <v>32.299999999999997</v>
      </c>
      <c r="K346" t="s">
        <v>696</v>
      </c>
      <c r="L346">
        <f>_INVESTEMENTDATA[[#This Row],[Investment_Amount]]*0.18</f>
        <v>695673.17999999993</v>
      </c>
      <c r="M346">
        <f>_INVESTEMENTDATA[[#This Row],[Investment_Amount]]*0.18*25</f>
        <v>17391829.5</v>
      </c>
    </row>
    <row r="347" spans="1:13" x14ac:dyDescent="0.25">
      <c r="A347" t="s">
        <v>697</v>
      </c>
      <c r="B347" t="s">
        <v>11</v>
      </c>
      <c r="C347">
        <v>33</v>
      </c>
      <c r="D347" t="s">
        <v>38</v>
      </c>
      <c r="E347" t="s">
        <v>13</v>
      </c>
      <c r="F347" t="s">
        <v>41</v>
      </c>
      <c r="G347">
        <v>3547505</v>
      </c>
      <c r="H347">
        <f t="shared" ca="1" si="5"/>
        <v>72</v>
      </c>
      <c r="I347">
        <v>9.4</v>
      </c>
      <c r="J347">
        <v>27.97</v>
      </c>
      <c r="K347" t="s">
        <v>698</v>
      </c>
      <c r="L347">
        <f>_INVESTEMENTDATA[[#This Row],[Investment_Amount]]*0.18</f>
        <v>638550.9</v>
      </c>
      <c r="M347">
        <f>_INVESTEMENTDATA[[#This Row],[Investment_Amount]]*0.18*25</f>
        <v>15963772.5</v>
      </c>
    </row>
    <row r="348" spans="1:13" x14ac:dyDescent="0.25">
      <c r="A348" t="s">
        <v>699</v>
      </c>
      <c r="B348" t="s">
        <v>17</v>
      </c>
      <c r="C348">
        <v>36</v>
      </c>
      <c r="D348" t="s">
        <v>38</v>
      </c>
      <c r="E348" t="s">
        <v>23</v>
      </c>
      <c r="F348" t="s">
        <v>14</v>
      </c>
      <c r="G348">
        <v>3404617</v>
      </c>
      <c r="H348">
        <f t="shared" ca="1" si="5"/>
        <v>318</v>
      </c>
      <c r="I348">
        <v>8.42</v>
      </c>
      <c r="J348">
        <v>24.03</v>
      </c>
      <c r="K348" t="s">
        <v>700</v>
      </c>
      <c r="L348">
        <f>_INVESTEMENTDATA[[#This Row],[Investment_Amount]]*0.18</f>
        <v>612831.05999999994</v>
      </c>
      <c r="M348">
        <f>_INVESTEMENTDATA[[#This Row],[Investment_Amount]]*0.18*25</f>
        <v>15320776.499999998</v>
      </c>
    </row>
    <row r="349" spans="1:13" x14ac:dyDescent="0.25">
      <c r="A349" t="s">
        <v>701</v>
      </c>
      <c r="B349" t="s">
        <v>17</v>
      </c>
      <c r="C349">
        <v>27</v>
      </c>
      <c r="D349" t="s">
        <v>18</v>
      </c>
      <c r="E349" t="s">
        <v>50</v>
      </c>
      <c r="F349" t="s">
        <v>41</v>
      </c>
      <c r="G349">
        <v>2433496</v>
      </c>
      <c r="H349">
        <f t="shared" ca="1" si="5"/>
        <v>254</v>
      </c>
      <c r="I349">
        <v>19.93</v>
      </c>
      <c r="J349">
        <v>28.48</v>
      </c>
      <c r="K349" t="s">
        <v>702</v>
      </c>
      <c r="L349">
        <f>_INVESTEMENTDATA[[#This Row],[Investment_Amount]]*0.18</f>
        <v>438029.27999999997</v>
      </c>
      <c r="M349">
        <f>_INVESTEMENTDATA[[#This Row],[Investment_Amount]]*0.18*25</f>
        <v>10950732</v>
      </c>
    </row>
    <row r="350" spans="1:13" x14ac:dyDescent="0.25">
      <c r="A350" t="s">
        <v>703</v>
      </c>
      <c r="B350" t="s">
        <v>11</v>
      </c>
      <c r="C350">
        <v>27</v>
      </c>
      <c r="D350" t="s">
        <v>46</v>
      </c>
      <c r="E350" t="s">
        <v>19</v>
      </c>
      <c r="F350" t="s">
        <v>20</v>
      </c>
      <c r="G350">
        <v>3517842</v>
      </c>
      <c r="H350">
        <f t="shared" ca="1" si="5"/>
        <v>69</v>
      </c>
      <c r="I350">
        <v>20.16</v>
      </c>
      <c r="J350">
        <v>7.36</v>
      </c>
      <c r="K350" t="s">
        <v>704</v>
      </c>
      <c r="L350">
        <f>_INVESTEMENTDATA[[#This Row],[Investment_Amount]]*0.18</f>
        <v>633211.55999999994</v>
      </c>
      <c r="M350">
        <f>_INVESTEMENTDATA[[#This Row],[Investment_Amount]]*0.18*25</f>
        <v>15830288.999999998</v>
      </c>
    </row>
    <row r="351" spans="1:13" x14ac:dyDescent="0.25">
      <c r="A351" t="s">
        <v>705</v>
      </c>
      <c r="B351" t="s">
        <v>17</v>
      </c>
      <c r="C351">
        <v>40</v>
      </c>
      <c r="D351" t="s">
        <v>12</v>
      </c>
      <c r="E351" t="s">
        <v>23</v>
      </c>
      <c r="F351" t="s">
        <v>14</v>
      </c>
      <c r="G351">
        <v>2989344</v>
      </c>
      <c r="H351">
        <f t="shared" ca="1" si="5"/>
        <v>318</v>
      </c>
      <c r="I351">
        <v>17.57</v>
      </c>
      <c r="J351">
        <v>12.5</v>
      </c>
      <c r="K351" t="s">
        <v>706</v>
      </c>
      <c r="L351">
        <f>_INVESTEMENTDATA[[#This Row],[Investment_Amount]]*0.18</f>
        <v>538081.91999999993</v>
      </c>
      <c r="M351">
        <f>_INVESTEMENTDATA[[#This Row],[Investment_Amount]]*0.18*25</f>
        <v>13452047.999999998</v>
      </c>
    </row>
    <row r="352" spans="1:13" x14ac:dyDescent="0.25">
      <c r="A352" t="s">
        <v>707</v>
      </c>
      <c r="B352" t="s">
        <v>11</v>
      </c>
      <c r="C352">
        <v>28</v>
      </c>
      <c r="D352" t="s">
        <v>18</v>
      </c>
      <c r="E352" t="s">
        <v>23</v>
      </c>
      <c r="F352" t="s">
        <v>47</v>
      </c>
      <c r="G352">
        <v>4178987</v>
      </c>
      <c r="H352">
        <f t="shared" ca="1" si="5"/>
        <v>305</v>
      </c>
      <c r="I352">
        <v>15.69</v>
      </c>
      <c r="J352">
        <v>33.58</v>
      </c>
      <c r="K352" t="s">
        <v>708</v>
      </c>
      <c r="L352">
        <f>_INVESTEMENTDATA[[#This Row],[Investment_Amount]]*0.18</f>
        <v>752217.65999999992</v>
      </c>
      <c r="M352">
        <f>_INVESTEMENTDATA[[#This Row],[Investment_Amount]]*0.18*25</f>
        <v>18805441.499999996</v>
      </c>
    </row>
    <row r="353" spans="1:13" x14ac:dyDescent="0.25">
      <c r="A353" t="s">
        <v>709</v>
      </c>
      <c r="B353" t="s">
        <v>11</v>
      </c>
      <c r="C353">
        <v>44</v>
      </c>
      <c r="D353" t="s">
        <v>38</v>
      </c>
      <c r="E353" t="s">
        <v>57</v>
      </c>
      <c r="F353" t="s">
        <v>35</v>
      </c>
      <c r="G353">
        <v>1193481</v>
      </c>
      <c r="H353">
        <f t="shared" ca="1" si="5"/>
        <v>58</v>
      </c>
      <c r="I353">
        <v>6.04</v>
      </c>
      <c r="J353">
        <v>19.48</v>
      </c>
      <c r="K353" t="s">
        <v>710</v>
      </c>
      <c r="L353">
        <f>_INVESTEMENTDATA[[#This Row],[Investment_Amount]]*0.18</f>
        <v>214826.58</v>
      </c>
      <c r="M353">
        <f>_INVESTEMENTDATA[[#This Row],[Investment_Amount]]*0.18*25</f>
        <v>5370664.5</v>
      </c>
    </row>
    <row r="354" spans="1:13" x14ac:dyDescent="0.25">
      <c r="A354" t="s">
        <v>711</v>
      </c>
      <c r="B354" t="s">
        <v>11</v>
      </c>
      <c r="C354">
        <v>46</v>
      </c>
      <c r="D354" t="s">
        <v>46</v>
      </c>
      <c r="E354" t="s">
        <v>13</v>
      </c>
      <c r="F354" t="s">
        <v>41</v>
      </c>
      <c r="G354">
        <v>1558610</v>
      </c>
      <c r="H354">
        <f t="shared" ca="1" si="5"/>
        <v>73</v>
      </c>
      <c r="I354">
        <v>5.41</v>
      </c>
      <c r="J354">
        <v>44.41</v>
      </c>
      <c r="K354" t="s">
        <v>712</v>
      </c>
      <c r="L354">
        <f>_INVESTEMENTDATA[[#This Row],[Investment_Amount]]*0.18</f>
        <v>280549.8</v>
      </c>
      <c r="M354">
        <f>_INVESTEMENTDATA[[#This Row],[Investment_Amount]]*0.18*25</f>
        <v>7013745</v>
      </c>
    </row>
    <row r="355" spans="1:13" x14ac:dyDescent="0.25">
      <c r="A355" t="s">
        <v>713</v>
      </c>
      <c r="B355" t="s">
        <v>11</v>
      </c>
      <c r="C355">
        <v>24</v>
      </c>
      <c r="D355" t="s">
        <v>46</v>
      </c>
      <c r="E355" t="s">
        <v>50</v>
      </c>
      <c r="F355" t="s">
        <v>47</v>
      </c>
      <c r="G355">
        <v>3003878</v>
      </c>
      <c r="H355">
        <f t="shared" ca="1" si="5"/>
        <v>189</v>
      </c>
      <c r="I355">
        <v>24.44</v>
      </c>
      <c r="J355">
        <v>-1.1100000000000001</v>
      </c>
      <c r="K355" t="s">
        <v>714</v>
      </c>
      <c r="L355">
        <f>_INVESTEMENTDATA[[#This Row],[Investment_Amount]]*0.18</f>
        <v>540698.04</v>
      </c>
      <c r="M355">
        <f>_INVESTEMENTDATA[[#This Row],[Investment_Amount]]*0.18*25</f>
        <v>13517451</v>
      </c>
    </row>
    <row r="356" spans="1:13" x14ac:dyDescent="0.25">
      <c r="A356" t="s">
        <v>715</v>
      </c>
      <c r="B356" t="s">
        <v>17</v>
      </c>
      <c r="C356">
        <v>22</v>
      </c>
      <c r="D356" t="s">
        <v>12</v>
      </c>
      <c r="E356" t="s">
        <v>29</v>
      </c>
      <c r="F356" t="s">
        <v>47</v>
      </c>
      <c r="G356">
        <v>506337</v>
      </c>
      <c r="H356">
        <f t="shared" ca="1" si="5"/>
        <v>305</v>
      </c>
      <c r="I356">
        <v>11.79</v>
      </c>
      <c r="J356">
        <v>32.58</v>
      </c>
      <c r="K356" t="s">
        <v>433</v>
      </c>
      <c r="L356">
        <f>_INVESTEMENTDATA[[#This Row],[Investment_Amount]]*0.18</f>
        <v>91140.66</v>
      </c>
      <c r="M356">
        <f>_INVESTEMENTDATA[[#This Row],[Investment_Amount]]*0.18*25</f>
        <v>2278516.5</v>
      </c>
    </row>
    <row r="357" spans="1:13" x14ac:dyDescent="0.25">
      <c r="A357" t="s">
        <v>716</v>
      </c>
      <c r="B357" t="s">
        <v>17</v>
      </c>
      <c r="C357">
        <v>57</v>
      </c>
      <c r="D357" t="s">
        <v>28</v>
      </c>
      <c r="E357" t="s">
        <v>57</v>
      </c>
      <c r="F357" t="s">
        <v>14</v>
      </c>
      <c r="G357">
        <v>2982519</v>
      </c>
      <c r="H357">
        <f t="shared" ca="1" si="5"/>
        <v>174</v>
      </c>
      <c r="I357">
        <v>30.84</v>
      </c>
      <c r="J357">
        <v>12.99</v>
      </c>
      <c r="K357" t="s">
        <v>717</v>
      </c>
      <c r="L357">
        <f>_INVESTEMENTDATA[[#This Row],[Investment_Amount]]*0.18</f>
        <v>536853.41999999993</v>
      </c>
      <c r="M357">
        <f>_INVESTEMENTDATA[[#This Row],[Investment_Amount]]*0.18*25</f>
        <v>13421335.499999998</v>
      </c>
    </row>
    <row r="358" spans="1:13" x14ac:dyDescent="0.25">
      <c r="A358" t="s">
        <v>718</v>
      </c>
      <c r="B358" t="s">
        <v>17</v>
      </c>
      <c r="C358">
        <v>32</v>
      </c>
      <c r="D358" t="s">
        <v>18</v>
      </c>
      <c r="E358" t="s">
        <v>23</v>
      </c>
      <c r="F358" t="s">
        <v>35</v>
      </c>
      <c r="G358">
        <v>629343</v>
      </c>
      <c r="H358">
        <f t="shared" ca="1" si="5"/>
        <v>285</v>
      </c>
      <c r="I358">
        <v>19.09</v>
      </c>
      <c r="J358">
        <v>42.13</v>
      </c>
      <c r="K358" t="s">
        <v>719</v>
      </c>
      <c r="L358">
        <f>_INVESTEMENTDATA[[#This Row],[Investment_Amount]]*0.18</f>
        <v>113281.73999999999</v>
      </c>
      <c r="M358">
        <f>_INVESTEMENTDATA[[#This Row],[Investment_Amount]]*0.18*25</f>
        <v>2832043.5</v>
      </c>
    </row>
    <row r="359" spans="1:13" x14ac:dyDescent="0.25">
      <c r="A359" t="s">
        <v>720</v>
      </c>
      <c r="B359" t="s">
        <v>11</v>
      </c>
      <c r="C359">
        <v>47</v>
      </c>
      <c r="D359" t="s">
        <v>38</v>
      </c>
      <c r="E359" t="s">
        <v>23</v>
      </c>
      <c r="F359" t="s">
        <v>41</v>
      </c>
      <c r="G359">
        <v>2515529</v>
      </c>
      <c r="H359">
        <f t="shared" ca="1" si="5"/>
        <v>354</v>
      </c>
      <c r="I359">
        <v>8.32</v>
      </c>
      <c r="J359">
        <v>16.97</v>
      </c>
      <c r="K359" t="s">
        <v>721</v>
      </c>
      <c r="L359">
        <f>_INVESTEMENTDATA[[#This Row],[Investment_Amount]]*0.18</f>
        <v>452795.22</v>
      </c>
      <c r="M359">
        <f>_INVESTEMENTDATA[[#This Row],[Investment_Amount]]*0.18*25</f>
        <v>11319880.5</v>
      </c>
    </row>
    <row r="360" spans="1:13" x14ac:dyDescent="0.25">
      <c r="A360" t="s">
        <v>722</v>
      </c>
      <c r="B360" t="s">
        <v>11</v>
      </c>
      <c r="C360">
        <v>45</v>
      </c>
      <c r="D360" t="s">
        <v>46</v>
      </c>
      <c r="E360" t="s">
        <v>57</v>
      </c>
      <c r="F360" t="s">
        <v>30</v>
      </c>
      <c r="G360">
        <v>1116056</v>
      </c>
      <c r="H360">
        <f t="shared" ca="1" si="5"/>
        <v>237</v>
      </c>
      <c r="I360">
        <v>32.14</v>
      </c>
      <c r="J360">
        <v>19.100000000000001</v>
      </c>
      <c r="K360" t="s">
        <v>723</v>
      </c>
      <c r="L360">
        <f>_INVESTEMENTDATA[[#This Row],[Investment_Amount]]*0.18</f>
        <v>200890.08</v>
      </c>
      <c r="M360">
        <f>_INVESTEMENTDATA[[#This Row],[Investment_Amount]]*0.18*25</f>
        <v>5022252</v>
      </c>
    </row>
    <row r="361" spans="1:13" x14ac:dyDescent="0.25">
      <c r="A361" t="s">
        <v>724</v>
      </c>
      <c r="B361" t="s">
        <v>17</v>
      </c>
      <c r="C361">
        <v>39</v>
      </c>
      <c r="D361" t="s">
        <v>18</v>
      </c>
      <c r="E361" t="s">
        <v>13</v>
      </c>
      <c r="F361" t="s">
        <v>41</v>
      </c>
      <c r="G361">
        <v>871456</v>
      </c>
      <c r="H361">
        <f t="shared" ca="1" si="5"/>
        <v>99</v>
      </c>
      <c r="I361">
        <v>20.51</v>
      </c>
      <c r="J361">
        <v>35.44</v>
      </c>
      <c r="K361" t="s">
        <v>725</v>
      </c>
      <c r="L361">
        <f>_INVESTEMENTDATA[[#This Row],[Investment_Amount]]*0.18</f>
        <v>156862.07999999999</v>
      </c>
      <c r="M361">
        <f>_INVESTEMENTDATA[[#This Row],[Investment_Amount]]*0.18*25</f>
        <v>3921551.9999999995</v>
      </c>
    </row>
    <row r="362" spans="1:13" x14ac:dyDescent="0.25">
      <c r="A362" t="s">
        <v>726</v>
      </c>
      <c r="B362" t="s">
        <v>17</v>
      </c>
      <c r="C362">
        <v>27</v>
      </c>
      <c r="D362" t="s">
        <v>12</v>
      </c>
      <c r="E362" t="s">
        <v>23</v>
      </c>
      <c r="F362" t="s">
        <v>30</v>
      </c>
      <c r="G362">
        <v>4088569</v>
      </c>
      <c r="H362">
        <f t="shared" ca="1" si="5"/>
        <v>250</v>
      </c>
      <c r="I362">
        <v>18.420000000000002</v>
      </c>
      <c r="J362">
        <v>3.33</v>
      </c>
      <c r="K362" t="s">
        <v>727</v>
      </c>
      <c r="L362">
        <f>_INVESTEMENTDATA[[#This Row],[Investment_Amount]]*0.18</f>
        <v>735942.41999999993</v>
      </c>
      <c r="M362">
        <f>_INVESTEMENTDATA[[#This Row],[Investment_Amount]]*0.18*25</f>
        <v>18398560.5</v>
      </c>
    </row>
    <row r="363" spans="1:13" x14ac:dyDescent="0.25">
      <c r="A363" t="s">
        <v>728</v>
      </c>
      <c r="B363" t="s">
        <v>17</v>
      </c>
      <c r="C363">
        <v>25</v>
      </c>
      <c r="D363" t="s">
        <v>46</v>
      </c>
      <c r="E363" t="s">
        <v>13</v>
      </c>
      <c r="F363" t="s">
        <v>14</v>
      </c>
      <c r="G363">
        <v>108188</v>
      </c>
      <c r="H363">
        <f t="shared" ca="1" si="5"/>
        <v>362</v>
      </c>
      <c r="I363">
        <v>6.89</v>
      </c>
      <c r="J363">
        <v>16.98</v>
      </c>
      <c r="K363" t="s">
        <v>729</v>
      </c>
      <c r="L363">
        <f>_INVESTEMENTDATA[[#This Row],[Investment_Amount]]*0.18</f>
        <v>19473.84</v>
      </c>
      <c r="M363">
        <f>_INVESTEMENTDATA[[#This Row],[Investment_Amount]]*0.18*25</f>
        <v>486846</v>
      </c>
    </row>
    <row r="364" spans="1:13" x14ac:dyDescent="0.25">
      <c r="A364" t="s">
        <v>730</v>
      </c>
      <c r="B364" t="s">
        <v>11</v>
      </c>
      <c r="C364">
        <v>45</v>
      </c>
      <c r="D364" t="s">
        <v>38</v>
      </c>
      <c r="E364" t="s">
        <v>19</v>
      </c>
      <c r="F364" t="s">
        <v>30</v>
      </c>
      <c r="G364">
        <v>2706336</v>
      </c>
      <c r="H364">
        <f t="shared" ca="1" si="5"/>
        <v>195</v>
      </c>
      <c r="I364">
        <v>34.57</v>
      </c>
      <c r="J364">
        <v>25.02</v>
      </c>
      <c r="K364" t="s">
        <v>435</v>
      </c>
      <c r="L364">
        <f>_INVESTEMENTDATA[[#This Row],[Investment_Amount]]*0.18</f>
        <v>487140.48</v>
      </c>
      <c r="M364">
        <f>_INVESTEMENTDATA[[#This Row],[Investment_Amount]]*0.18*25</f>
        <v>12178512</v>
      </c>
    </row>
    <row r="365" spans="1:13" x14ac:dyDescent="0.25">
      <c r="A365" t="s">
        <v>731</v>
      </c>
      <c r="B365" t="s">
        <v>17</v>
      </c>
      <c r="C365">
        <v>60</v>
      </c>
      <c r="D365" t="s">
        <v>28</v>
      </c>
      <c r="E365" t="s">
        <v>29</v>
      </c>
      <c r="F365" t="s">
        <v>47</v>
      </c>
      <c r="G365">
        <v>686881</v>
      </c>
      <c r="H365">
        <f t="shared" ca="1" si="5"/>
        <v>228</v>
      </c>
      <c r="I365">
        <v>12.07</v>
      </c>
      <c r="J365">
        <v>-6.48</v>
      </c>
      <c r="K365" t="s">
        <v>168</v>
      </c>
      <c r="L365">
        <f>_INVESTEMENTDATA[[#This Row],[Investment_Amount]]*0.18</f>
        <v>123638.58</v>
      </c>
      <c r="M365">
        <f>_INVESTEMENTDATA[[#This Row],[Investment_Amount]]*0.18*25</f>
        <v>3090964.5</v>
      </c>
    </row>
    <row r="366" spans="1:13" x14ac:dyDescent="0.25">
      <c r="A366" t="s">
        <v>732</v>
      </c>
      <c r="B366" t="s">
        <v>17</v>
      </c>
      <c r="C366">
        <v>47</v>
      </c>
      <c r="D366" t="s">
        <v>46</v>
      </c>
      <c r="E366" t="s">
        <v>19</v>
      </c>
      <c r="F366" t="s">
        <v>41</v>
      </c>
      <c r="G366">
        <v>1140912</v>
      </c>
      <c r="H366">
        <f t="shared" ca="1" si="5"/>
        <v>15</v>
      </c>
      <c r="I366">
        <v>12.89</v>
      </c>
      <c r="J366">
        <v>12.17</v>
      </c>
      <c r="K366" t="s">
        <v>733</v>
      </c>
      <c r="L366">
        <f>_INVESTEMENTDATA[[#This Row],[Investment_Amount]]*0.18</f>
        <v>205364.16</v>
      </c>
      <c r="M366">
        <f>_INVESTEMENTDATA[[#This Row],[Investment_Amount]]*0.18*25</f>
        <v>5134104</v>
      </c>
    </row>
    <row r="367" spans="1:13" x14ac:dyDescent="0.25">
      <c r="A367" t="s">
        <v>734</v>
      </c>
      <c r="B367" t="s">
        <v>17</v>
      </c>
      <c r="C367">
        <v>49</v>
      </c>
      <c r="D367" t="s">
        <v>18</v>
      </c>
      <c r="E367" t="s">
        <v>29</v>
      </c>
      <c r="F367" t="s">
        <v>35</v>
      </c>
      <c r="G367">
        <v>3441110</v>
      </c>
      <c r="H367">
        <f t="shared" ca="1" si="5"/>
        <v>273</v>
      </c>
      <c r="I367">
        <v>31.7</v>
      </c>
      <c r="J367">
        <v>39.5</v>
      </c>
      <c r="K367" t="s">
        <v>735</v>
      </c>
      <c r="L367">
        <f>_INVESTEMENTDATA[[#This Row],[Investment_Amount]]*0.18</f>
        <v>619399.79999999993</v>
      </c>
      <c r="M367">
        <f>_INVESTEMENTDATA[[#This Row],[Investment_Amount]]*0.18*25</f>
        <v>15484994.999999998</v>
      </c>
    </row>
    <row r="368" spans="1:13" x14ac:dyDescent="0.25">
      <c r="A368" t="s">
        <v>736</v>
      </c>
      <c r="B368" t="s">
        <v>11</v>
      </c>
      <c r="C368">
        <v>23</v>
      </c>
      <c r="D368" t="s">
        <v>18</v>
      </c>
      <c r="E368" t="s">
        <v>29</v>
      </c>
      <c r="F368" t="s">
        <v>35</v>
      </c>
      <c r="G368">
        <v>3767717</v>
      </c>
      <c r="H368">
        <f t="shared" ca="1" si="5"/>
        <v>336</v>
      </c>
      <c r="I368">
        <v>23.14</v>
      </c>
      <c r="J368">
        <v>44.95</v>
      </c>
      <c r="K368" t="s">
        <v>684</v>
      </c>
      <c r="L368">
        <f>_INVESTEMENTDATA[[#This Row],[Investment_Amount]]*0.18</f>
        <v>678189.05999999994</v>
      </c>
      <c r="M368">
        <f>_INVESTEMENTDATA[[#This Row],[Investment_Amount]]*0.18*25</f>
        <v>16954726.5</v>
      </c>
    </row>
    <row r="369" spans="1:13" x14ac:dyDescent="0.25">
      <c r="A369" t="s">
        <v>737</v>
      </c>
      <c r="B369" t="s">
        <v>17</v>
      </c>
      <c r="C369">
        <v>34</v>
      </c>
      <c r="D369" t="s">
        <v>12</v>
      </c>
      <c r="E369" t="s">
        <v>29</v>
      </c>
      <c r="F369" t="s">
        <v>35</v>
      </c>
      <c r="G369">
        <v>1941413</v>
      </c>
      <c r="H369">
        <f t="shared" ca="1" si="5"/>
        <v>166</v>
      </c>
      <c r="I369">
        <v>24.79</v>
      </c>
      <c r="J369">
        <v>7.46</v>
      </c>
      <c r="K369" t="s">
        <v>738</v>
      </c>
      <c r="L369">
        <f>_INVESTEMENTDATA[[#This Row],[Investment_Amount]]*0.18</f>
        <v>349454.33999999997</v>
      </c>
      <c r="M369">
        <f>_INVESTEMENTDATA[[#This Row],[Investment_Amount]]*0.18*25</f>
        <v>8736358.5</v>
      </c>
    </row>
    <row r="370" spans="1:13" x14ac:dyDescent="0.25">
      <c r="A370" t="s">
        <v>739</v>
      </c>
      <c r="B370" t="s">
        <v>17</v>
      </c>
      <c r="C370">
        <v>55</v>
      </c>
      <c r="D370" t="s">
        <v>12</v>
      </c>
      <c r="E370" t="s">
        <v>57</v>
      </c>
      <c r="F370" t="s">
        <v>14</v>
      </c>
      <c r="G370">
        <v>3573454</v>
      </c>
      <c r="H370">
        <f t="shared" ca="1" si="5"/>
        <v>174</v>
      </c>
      <c r="I370">
        <v>32.32</v>
      </c>
      <c r="J370">
        <v>5.61</v>
      </c>
      <c r="K370" t="s">
        <v>740</v>
      </c>
      <c r="L370">
        <f>_INVESTEMENTDATA[[#This Row],[Investment_Amount]]*0.18</f>
        <v>643221.72</v>
      </c>
      <c r="M370">
        <f>_INVESTEMENTDATA[[#This Row],[Investment_Amount]]*0.18*25</f>
        <v>16080543</v>
      </c>
    </row>
    <row r="371" spans="1:13" x14ac:dyDescent="0.25">
      <c r="A371" t="s">
        <v>741</v>
      </c>
      <c r="B371" t="s">
        <v>11</v>
      </c>
      <c r="C371">
        <v>56</v>
      </c>
      <c r="D371" t="s">
        <v>38</v>
      </c>
      <c r="E371" t="s">
        <v>57</v>
      </c>
      <c r="F371" t="s">
        <v>47</v>
      </c>
      <c r="G371">
        <v>2771545</v>
      </c>
      <c r="H371">
        <f t="shared" ca="1" si="5"/>
        <v>237</v>
      </c>
      <c r="I371">
        <v>12.15</v>
      </c>
      <c r="J371">
        <v>39.26</v>
      </c>
      <c r="K371" t="s">
        <v>742</v>
      </c>
      <c r="L371">
        <f>_INVESTEMENTDATA[[#This Row],[Investment_Amount]]*0.18</f>
        <v>498878.1</v>
      </c>
      <c r="M371">
        <f>_INVESTEMENTDATA[[#This Row],[Investment_Amount]]*0.18*25</f>
        <v>12471952.5</v>
      </c>
    </row>
    <row r="372" spans="1:13" x14ac:dyDescent="0.25">
      <c r="A372" t="s">
        <v>743</v>
      </c>
      <c r="B372" t="s">
        <v>17</v>
      </c>
      <c r="C372">
        <v>62</v>
      </c>
      <c r="D372" t="s">
        <v>38</v>
      </c>
      <c r="E372" t="s">
        <v>13</v>
      </c>
      <c r="F372" t="s">
        <v>47</v>
      </c>
      <c r="G372">
        <v>4596930</v>
      </c>
      <c r="H372">
        <f t="shared" ca="1" si="5"/>
        <v>54</v>
      </c>
      <c r="I372">
        <v>26.57</v>
      </c>
      <c r="J372">
        <v>-5.94</v>
      </c>
      <c r="K372" t="s">
        <v>744</v>
      </c>
      <c r="L372">
        <f>_INVESTEMENTDATA[[#This Row],[Investment_Amount]]*0.18</f>
        <v>827447.4</v>
      </c>
      <c r="M372">
        <f>_INVESTEMENTDATA[[#This Row],[Investment_Amount]]*0.18*25</f>
        <v>20686185</v>
      </c>
    </row>
    <row r="373" spans="1:13" x14ac:dyDescent="0.25">
      <c r="A373" t="s">
        <v>745</v>
      </c>
      <c r="B373" t="s">
        <v>11</v>
      </c>
      <c r="C373">
        <v>27</v>
      </c>
      <c r="D373" t="s">
        <v>18</v>
      </c>
      <c r="E373" t="s">
        <v>57</v>
      </c>
      <c r="F373" t="s">
        <v>47</v>
      </c>
      <c r="G373">
        <v>1448830</v>
      </c>
      <c r="H373">
        <f t="shared" ca="1" si="5"/>
        <v>35</v>
      </c>
      <c r="I373">
        <v>28.82</v>
      </c>
      <c r="J373">
        <v>21.66</v>
      </c>
      <c r="K373" t="s">
        <v>746</v>
      </c>
      <c r="L373">
        <f>_INVESTEMENTDATA[[#This Row],[Investment_Amount]]*0.18</f>
        <v>260789.4</v>
      </c>
      <c r="M373">
        <f>_INVESTEMENTDATA[[#This Row],[Investment_Amount]]*0.18*25</f>
        <v>6519735</v>
      </c>
    </row>
    <row r="374" spans="1:13" x14ac:dyDescent="0.25">
      <c r="A374" t="s">
        <v>747</v>
      </c>
      <c r="B374" t="s">
        <v>11</v>
      </c>
      <c r="C374">
        <v>38</v>
      </c>
      <c r="D374" t="s">
        <v>28</v>
      </c>
      <c r="E374" t="s">
        <v>19</v>
      </c>
      <c r="F374" t="s">
        <v>47</v>
      </c>
      <c r="G374">
        <v>75855</v>
      </c>
      <c r="H374">
        <f t="shared" ca="1" si="5"/>
        <v>109</v>
      </c>
      <c r="I374">
        <v>25.06</v>
      </c>
      <c r="J374">
        <v>23.93</v>
      </c>
      <c r="K374" t="s">
        <v>748</v>
      </c>
      <c r="L374">
        <f>_INVESTEMENTDATA[[#This Row],[Investment_Amount]]*0.18</f>
        <v>13653.9</v>
      </c>
      <c r="M374">
        <f>_INVESTEMENTDATA[[#This Row],[Investment_Amount]]*0.18*25</f>
        <v>341347.5</v>
      </c>
    </row>
    <row r="375" spans="1:13" x14ac:dyDescent="0.25">
      <c r="A375" t="s">
        <v>749</v>
      </c>
      <c r="B375" t="s">
        <v>17</v>
      </c>
      <c r="C375">
        <v>42</v>
      </c>
      <c r="D375" t="s">
        <v>18</v>
      </c>
      <c r="E375" t="s">
        <v>29</v>
      </c>
      <c r="F375" t="s">
        <v>30</v>
      </c>
      <c r="G375">
        <v>3248777</v>
      </c>
      <c r="H375">
        <f t="shared" ca="1" si="5"/>
        <v>211</v>
      </c>
      <c r="I375">
        <v>17.170000000000002</v>
      </c>
      <c r="J375">
        <v>6.57</v>
      </c>
      <c r="K375" t="s">
        <v>750</v>
      </c>
      <c r="L375">
        <f>_INVESTEMENTDATA[[#This Row],[Investment_Amount]]*0.18</f>
        <v>584779.86</v>
      </c>
      <c r="M375">
        <f>_INVESTEMENTDATA[[#This Row],[Investment_Amount]]*0.18*25</f>
        <v>14619496.5</v>
      </c>
    </row>
    <row r="376" spans="1:13" x14ac:dyDescent="0.25">
      <c r="A376" t="s">
        <v>751</v>
      </c>
      <c r="B376" t="s">
        <v>17</v>
      </c>
      <c r="C376">
        <v>45</v>
      </c>
      <c r="D376" t="s">
        <v>18</v>
      </c>
      <c r="E376" t="s">
        <v>29</v>
      </c>
      <c r="F376" t="s">
        <v>47</v>
      </c>
      <c r="G376">
        <v>3224214</v>
      </c>
      <c r="H376">
        <f t="shared" ca="1" si="5"/>
        <v>324</v>
      </c>
      <c r="I376">
        <v>31.97</v>
      </c>
      <c r="J376">
        <v>21.03</v>
      </c>
      <c r="K376" t="s">
        <v>257</v>
      </c>
      <c r="L376">
        <f>_INVESTEMENTDATA[[#This Row],[Investment_Amount]]*0.18</f>
        <v>580358.52</v>
      </c>
      <c r="M376">
        <f>_INVESTEMENTDATA[[#This Row],[Investment_Amount]]*0.18*25</f>
        <v>14508963</v>
      </c>
    </row>
    <row r="377" spans="1:13" x14ac:dyDescent="0.25">
      <c r="A377" t="s">
        <v>752</v>
      </c>
      <c r="B377" t="s">
        <v>11</v>
      </c>
      <c r="C377">
        <v>63</v>
      </c>
      <c r="D377" t="s">
        <v>18</v>
      </c>
      <c r="E377" t="s">
        <v>23</v>
      </c>
      <c r="F377" t="s">
        <v>14</v>
      </c>
      <c r="G377">
        <v>2622078</v>
      </c>
      <c r="H377">
        <f t="shared" ca="1" si="5"/>
        <v>261</v>
      </c>
      <c r="I377">
        <v>26.95</v>
      </c>
      <c r="J377">
        <v>34.07</v>
      </c>
      <c r="K377" t="s">
        <v>753</v>
      </c>
      <c r="L377">
        <f>_INVESTEMENTDATA[[#This Row],[Investment_Amount]]*0.18</f>
        <v>471974.04</v>
      </c>
      <c r="M377">
        <f>_INVESTEMENTDATA[[#This Row],[Investment_Amount]]*0.18*25</f>
        <v>11799351</v>
      </c>
    </row>
    <row r="378" spans="1:13" x14ac:dyDescent="0.25">
      <c r="A378" t="s">
        <v>754</v>
      </c>
      <c r="B378" t="s">
        <v>17</v>
      </c>
      <c r="C378">
        <v>24</v>
      </c>
      <c r="D378" t="s">
        <v>28</v>
      </c>
      <c r="E378" t="s">
        <v>19</v>
      </c>
      <c r="F378" t="s">
        <v>14</v>
      </c>
      <c r="G378">
        <v>4675994</v>
      </c>
      <c r="H378">
        <f t="shared" ca="1" si="5"/>
        <v>120</v>
      </c>
      <c r="I378">
        <v>31.42</v>
      </c>
      <c r="J378">
        <v>11.08</v>
      </c>
      <c r="K378" t="s">
        <v>755</v>
      </c>
      <c r="L378">
        <f>_INVESTEMENTDATA[[#This Row],[Investment_Amount]]*0.18</f>
        <v>841678.91999999993</v>
      </c>
      <c r="M378">
        <f>_INVESTEMENTDATA[[#This Row],[Investment_Amount]]*0.18*25</f>
        <v>21041973</v>
      </c>
    </row>
    <row r="379" spans="1:13" x14ac:dyDescent="0.25">
      <c r="A379" t="s">
        <v>756</v>
      </c>
      <c r="B379" t="s">
        <v>11</v>
      </c>
      <c r="C379">
        <v>42</v>
      </c>
      <c r="D379" t="s">
        <v>18</v>
      </c>
      <c r="E379" t="s">
        <v>57</v>
      </c>
      <c r="F379" t="s">
        <v>35</v>
      </c>
      <c r="G379">
        <v>2204170</v>
      </c>
      <c r="H379">
        <f t="shared" ca="1" si="5"/>
        <v>316</v>
      </c>
      <c r="I379">
        <v>31.91</v>
      </c>
      <c r="J379">
        <v>26</v>
      </c>
      <c r="K379" t="s">
        <v>555</v>
      </c>
      <c r="L379">
        <f>_INVESTEMENTDATA[[#This Row],[Investment_Amount]]*0.18</f>
        <v>396750.6</v>
      </c>
      <c r="M379">
        <f>_INVESTEMENTDATA[[#This Row],[Investment_Amount]]*0.18*25</f>
        <v>9918765</v>
      </c>
    </row>
    <row r="380" spans="1:13" x14ac:dyDescent="0.25">
      <c r="A380" t="s">
        <v>757</v>
      </c>
      <c r="B380" t="s">
        <v>11</v>
      </c>
      <c r="C380">
        <v>57</v>
      </c>
      <c r="D380" t="s">
        <v>28</v>
      </c>
      <c r="E380" t="s">
        <v>23</v>
      </c>
      <c r="F380" t="s">
        <v>41</v>
      </c>
      <c r="G380">
        <v>3885459</v>
      </c>
      <c r="H380">
        <f t="shared" ca="1" si="5"/>
        <v>329</v>
      </c>
      <c r="I380">
        <v>9.3699999999999992</v>
      </c>
      <c r="J380">
        <v>0.83</v>
      </c>
      <c r="K380" t="s">
        <v>758</v>
      </c>
      <c r="L380">
        <f>_INVESTEMENTDATA[[#This Row],[Investment_Amount]]*0.18</f>
        <v>699382.62</v>
      </c>
      <c r="M380">
        <f>_INVESTEMENTDATA[[#This Row],[Investment_Amount]]*0.18*25</f>
        <v>17484565.5</v>
      </c>
    </row>
    <row r="381" spans="1:13" x14ac:dyDescent="0.25">
      <c r="A381" t="s">
        <v>759</v>
      </c>
      <c r="B381" t="s">
        <v>11</v>
      </c>
      <c r="C381">
        <v>52</v>
      </c>
      <c r="D381" t="s">
        <v>18</v>
      </c>
      <c r="E381" t="s">
        <v>23</v>
      </c>
      <c r="F381" t="s">
        <v>35</v>
      </c>
      <c r="G381">
        <v>4551738</v>
      </c>
      <c r="H381">
        <f t="shared" ca="1" si="5"/>
        <v>274</v>
      </c>
      <c r="I381">
        <v>30.84</v>
      </c>
      <c r="J381">
        <v>29.79</v>
      </c>
      <c r="K381" t="s">
        <v>760</v>
      </c>
      <c r="L381">
        <f>_INVESTEMENTDATA[[#This Row],[Investment_Amount]]*0.18</f>
        <v>819312.84</v>
      </c>
      <c r="M381">
        <f>_INVESTEMENTDATA[[#This Row],[Investment_Amount]]*0.18*25</f>
        <v>20482821</v>
      </c>
    </row>
    <row r="382" spans="1:13" x14ac:dyDescent="0.25">
      <c r="A382" t="s">
        <v>761</v>
      </c>
      <c r="B382" t="s">
        <v>11</v>
      </c>
      <c r="C382">
        <v>21</v>
      </c>
      <c r="D382" t="s">
        <v>12</v>
      </c>
      <c r="E382" t="s">
        <v>29</v>
      </c>
      <c r="F382" t="s">
        <v>30</v>
      </c>
      <c r="G382">
        <v>280943</v>
      </c>
      <c r="H382">
        <f t="shared" ca="1" si="5"/>
        <v>135</v>
      </c>
      <c r="I382">
        <v>20.260000000000002</v>
      </c>
      <c r="J382">
        <v>-4.41</v>
      </c>
      <c r="K382" t="s">
        <v>762</v>
      </c>
      <c r="L382">
        <f>_INVESTEMENTDATA[[#This Row],[Investment_Amount]]*0.18</f>
        <v>50569.74</v>
      </c>
      <c r="M382">
        <f>_INVESTEMENTDATA[[#This Row],[Investment_Amount]]*0.18*25</f>
        <v>1264243.5</v>
      </c>
    </row>
    <row r="383" spans="1:13" x14ac:dyDescent="0.25">
      <c r="A383" t="s">
        <v>763</v>
      </c>
      <c r="B383" t="s">
        <v>17</v>
      </c>
      <c r="C383">
        <v>61</v>
      </c>
      <c r="D383" t="s">
        <v>28</v>
      </c>
      <c r="E383" t="s">
        <v>19</v>
      </c>
      <c r="F383" t="s">
        <v>20</v>
      </c>
      <c r="G383">
        <v>3401455</v>
      </c>
      <c r="H383">
        <f t="shared" ca="1" si="5"/>
        <v>330</v>
      </c>
      <c r="I383">
        <v>18.11</v>
      </c>
      <c r="J383">
        <v>25</v>
      </c>
      <c r="K383" t="s">
        <v>764</v>
      </c>
      <c r="L383">
        <f>_INVESTEMENTDATA[[#This Row],[Investment_Amount]]*0.18</f>
        <v>612261.9</v>
      </c>
      <c r="M383">
        <f>_INVESTEMENTDATA[[#This Row],[Investment_Amount]]*0.18*25</f>
        <v>15306547.5</v>
      </c>
    </row>
    <row r="384" spans="1:13" x14ac:dyDescent="0.25">
      <c r="A384" t="s">
        <v>765</v>
      </c>
      <c r="B384" t="s">
        <v>11</v>
      </c>
      <c r="C384">
        <v>34</v>
      </c>
      <c r="D384" t="s">
        <v>12</v>
      </c>
      <c r="E384" t="s">
        <v>13</v>
      </c>
      <c r="F384" t="s">
        <v>47</v>
      </c>
      <c r="G384">
        <v>2357894</v>
      </c>
      <c r="H384">
        <f t="shared" ca="1" si="5"/>
        <v>166</v>
      </c>
      <c r="I384">
        <v>22.87</v>
      </c>
      <c r="J384">
        <v>42.19</v>
      </c>
      <c r="K384" t="s">
        <v>766</v>
      </c>
      <c r="L384">
        <f>_INVESTEMENTDATA[[#This Row],[Investment_Amount]]*0.18</f>
        <v>424420.92</v>
      </c>
      <c r="M384">
        <f>_INVESTEMENTDATA[[#This Row],[Investment_Amount]]*0.18*25</f>
        <v>10610523</v>
      </c>
    </row>
    <row r="385" spans="1:13" x14ac:dyDescent="0.25">
      <c r="A385" t="s">
        <v>767</v>
      </c>
      <c r="B385" t="s">
        <v>11</v>
      </c>
      <c r="C385">
        <v>46</v>
      </c>
      <c r="D385" t="s">
        <v>46</v>
      </c>
      <c r="E385" t="s">
        <v>19</v>
      </c>
      <c r="F385" t="s">
        <v>41</v>
      </c>
      <c r="G385">
        <v>1408149</v>
      </c>
      <c r="H385">
        <f t="shared" ca="1" si="5"/>
        <v>215</v>
      </c>
      <c r="I385">
        <v>9.86</v>
      </c>
      <c r="J385">
        <v>10.62</v>
      </c>
      <c r="K385" t="s">
        <v>768</v>
      </c>
      <c r="L385">
        <f>_INVESTEMENTDATA[[#This Row],[Investment_Amount]]*0.18</f>
        <v>253466.81999999998</v>
      </c>
      <c r="M385">
        <f>_INVESTEMENTDATA[[#This Row],[Investment_Amount]]*0.18*25</f>
        <v>6336670.4999999991</v>
      </c>
    </row>
    <row r="386" spans="1:13" x14ac:dyDescent="0.25">
      <c r="A386" t="s">
        <v>769</v>
      </c>
      <c r="B386" t="s">
        <v>11</v>
      </c>
      <c r="C386">
        <v>23</v>
      </c>
      <c r="D386" t="s">
        <v>28</v>
      </c>
      <c r="E386" t="s">
        <v>23</v>
      </c>
      <c r="F386" t="s">
        <v>41</v>
      </c>
      <c r="G386">
        <v>2013525</v>
      </c>
      <c r="H386">
        <f t="shared" ref="H386:H449" ca="1" si="6">RANDBETWEEN(7,365)</f>
        <v>204</v>
      </c>
      <c r="I386">
        <v>33.86</v>
      </c>
      <c r="J386">
        <v>-9.4499999999999993</v>
      </c>
      <c r="K386" t="s">
        <v>609</v>
      </c>
      <c r="L386">
        <f>_INVESTEMENTDATA[[#This Row],[Investment_Amount]]*0.18</f>
        <v>362434.5</v>
      </c>
      <c r="M386">
        <f>_INVESTEMENTDATA[[#This Row],[Investment_Amount]]*0.18*25</f>
        <v>9060862.5</v>
      </c>
    </row>
    <row r="387" spans="1:13" x14ac:dyDescent="0.25">
      <c r="A387" t="s">
        <v>770</v>
      </c>
      <c r="B387" t="s">
        <v>11</v>
      </c>
      <c r="C387">
        <v>59</v>
      </c>
      <c r="D387" t="s">
        <v>46</v>
      </c>
      <c r="E387" t="s">
        <v>19</v>
      </c>
      <c r="F387" t="s">
        <v>47</v>
      </c>
      <c r="G387">
        <v>2146298</v>
      </c>
      <c r="H387">
        <f t="shared" ca="1" si="6"/>
        <v>99</v>
      </c>
      <c r="I387">
        <v>5.24</v>
      </c>
      <c r="J387">
        <v>12.94</v>
      </c>
      <c r="K387" t="s">
        <v>771</v>
      </c>
      <c r="L387">
        <f>_INVESTEMENTDATA[[#This Row],[Investment_Amount]]*0.18</f>
        <v>386333.64</v>
      </c>
      <c r="M387">
        <f>_INVESTEMENTDATA[[#This Row],[Investment_Amount]]*0.18*25</f>
        <v>9658341</v>
      </c>
    </row>
    <row r="388" spans="1:13" x14ac:dyDescent="0.25">
      <c r="A388" t="s">
        <v>772</v>
      </c>
      <c r="B388" t="s">
        <v>11</v>
      </c>
      <c r="C388">
        <v>29</v>
      </c>
      <c r="D388" t="s">
        <v>18</v>
      </c>
      <c r="E388" t="s">
        <v>50</v>
      </c>
      <c r="F388" t="s">
        <v>41</v>
      </c>
      <c r="G388">
        <v>2799061</v>
      </c>
      <c r="H388">
        <f t="shared" ca="1" si="6"/>
        <v>248</v>
      </c>
      <c r="I388">
        <v>14.41</v>
      </c>
      <c r="J388">
        <v>10.41</v>
      </c>
      <c r="K388" t="s">
        <v>773</v>
      </c>
      <c r="L388">
        <f>_INVESTEMENTDATA[[#This Row],[Investment_Amount]]*0.18</f>
        <v>503830.98</v>
      </c>
      <c r="M388">
        <f>_INVESTEMENTDATA[[#This Row],[Investment_Amount]]*0.18*25</f>
        <v>12595774.5</v>
      </c>
    </row>
    <row r="389" spans="1:13" x14ac:dyDescent="0.25">
      <c r="A389" t="s">
        <v>774</v>
      </c>
      <c r="B389" t="s">
        <v>17</v>
      </c>
      <c r="C389">
        <v>58</v>
      </c>
      <c r="D389" t="s">
        <v>46</v>
      </c>
      <c r="E389" t="s">
        <v>57</v>
      </c>
      <c r="F389" t="s">
        <v>41</v>
      </c>
      <c r="G389">
        <v>1195769</v>
      </c>
      <c r="H389">
        <f t="shared" ca="1" si="6"/>
        <v>222</v>
      </c>
      <c r="I389">
        <v>18.27</v>
      </c>
      <c r="J389">
        <v>21.65</v>
      </c>
      <c r="K389" t="s">
        <v>775</v>
      </c>
      <c r="L389">
        <f>_INVESTEMENTDATA[[#This Row],[Investment_Amount]]*0.18</f>
        <v>215238.41999999998</v>
      </c>
      <c r="M389">
        <f>_INVESTEMENTDATA[[#This Row],[Investment_Amount]]*0.18*25</f>
        <v>5380960.5</v>
      </c>
    </row>
    <row r="390" spans="1:13" x14ac:dyDescent="0.25">
      <c r="A390" t="s">
        <v>776</v>
      </c>
      <c r="B390" t="s">
        <v>11</v>
      </c>
      <c r="C390">
        <v>42</v>
      </c>
      <c r="D390" t="s">
        <v>12</v>
      </c>
      <c r="E390" t="s">
        <v>23</v>
      </c>
      <c r="F390" t="s">
        <v>35</v>
      </c>
      <c r="G390">
        <v>1830432</v>
      </c>
      <c r="H390">
        <f t="shared" ca="1" si="6"/>
        <v>177</v>
      </c>
      <c r="I390">
        <v>30.35</v>
      </c>
      <c r="J390">
        <v>7.65</v>
      </c>
      <c r="K390" t="s">
        <v>777</v>
      </c>
      <c r="L390">
        <f>_INVESTEMENTDATA[[#This Row],[Investment_Amount]]*0.18</f>
        <v>329477.76000000001</v>
      </c>
      <c r="M390">
        <f>_INVESTEMENTDATA[[#This Row],[Investment_Amount]]*0.18*25</f>
        <v>8236944</v>
      </c>
    </row>
    <row r="391" spans="1:13" x14ac:dyDescent="0.25">
      <c r="A391" t="s">
        <v>778</v>
      </c>
      <c r="B391" t="s">
        <v>11</v>
      </c>
      <c r="C391">
        <v>61</v>
      </c>
      <c r="D391" t="s">
        <v>38</v>
      </c>
      <c r="E391" t="s">
        <v>13</v>
      </c>
      <c r="F391" t="s">
        <v>47</v>
      </c>
      <c r="G391">
        <v>4099922</v>
      </c>
      <c r="H391">
        <f t="shared" ca="1" si="6"/>
        <v>326</v>
      </c>
      <c r="I391">
        <v>27.07</v>
      </c>
      <c r="J391">
        <v>13.3</v>
      </c>
      <c r="K391" t="s">
        <v>605</v>
      </c>
      <c r="L391">
        <f>_INVESTEMENTDATA[[#This Row],[Investment_Amount]]*0.18</f>
        <v>737985.96</v>
      </c>
      <c r="M391">
        <f>_INVESTEMENTDATA[[#This Row],[Investment_Amount]]*0.18*25</f>
        <v>18449649</v>
      </c>
    </row>
    <row r="392" spans="1:13" x14ac:dyDescent="0.25">
      <c r="A392" t="s">
        <v>779</v>
      </c>
      <c r="B392" t="s">
        <v>17</v>
      </c>
      <c r="C392">
        <v>62</v>
      </c>
      <c r="D392" t="s">
        <v>46</v>
      </c>
      <c r="E392" t="s">
        <v>19</v>
      </c>
      <c r="F392" t="s">
        <v>20</v>
      </c>
      <c r="G392">
        <v>4428808</v>
      </c>
      <c r="H392">
        <f t="shared" ca="1" si="6"/>
        <v>31</v>
      </c>
      <c r="I392">
        <v>12.28</v>
      </c>
      <c r="J392">
        <v>18.02</v>
      </c>
      <c r="K392" t="s">
        <v>780</v>
      </c>
      <c r="L392">
        <f>_INVESTEMENTDATA[[#This Row],[Investment_Amount]]*0.18</f>
        <v>797185.44</v>
      </c>
      <c r="M392">
        <f>_INVESTEMENTDATA[[#This Row],[Investment_Amount]]*0.18*25</f>
        <v>19929636</v>
      </c>
    </row>
    <row r="393" spans="1:13" x14ac:dyDescent="0.25">
      <c r="A393" t="s">
        <v>781</v>
      </c>
      <c r="B393" t="s">
        <v>11</v>
      </c>
      <c r="C393">
        <v>54</v>
      </c>
      <c r="D393" t="s">
        <v>12</v>
      </c>
      <c r="E393" t="s">
        <v>50</v>
      </c>
      <c r="F393" t="s">
        <v>47</v>
      </c>
      <c r="G393">
        <v>2552990</v>
      </c>
      <c r="H393">
        <f t="shared" ca="1" si="6"/>
        <v>91</v>
      </c>
      <c r="I393">
        <v>7.13</v>
      </c>
      <c r="J393">
        <v>38.19</v>
      </c>
      <c r="K393" t="s">
        <v>782</v>
      </c>
      <c r="L393">
        <f>_INVESTEMENTDATA[[#This Row],[Investment_Amount]]*0.18</f>
        <v>459538.2</v>
      </c>
      <c r="M393">
        <f>_INVESTEMENTDATA[[#This Row],[Investment_Amount]]*0.18*25</f>
        <v>11488455</v>
      </c>
    </row>
    <row r="394" spans="1:13" x14ac:dyDescent="0.25">
      <c r="A394" t="s">
        <v>783</v>
      </c>
      <c r="B394" t="s">
        <v>11</v>
      </c>
      <c r="C394">
        <v>43</v>
      </c>
      <c r="D394" t="s">
        <v>12</v>
      </c>
      <c r="E394" t="s">
        <v>13</v>
      </c>
      <c r="F394" t="s">
        <v>14</v>
      </c>
      <c r="G394">
        <v>177094</v>
      </c>
      <c r="H394">
        <f t="shared" ca="1" si="6"/>
        <v>58</v>
      </c>
      <c r="I394">
        <v>9.3800000000000008</v>
      </c>
      <c r="J394">
        <v>31.24</v>
      </c>
      <c r="K394" t="s">
        <v>784</v>
      </c>
      <c r="L394">
        <f>_INVESTEMENTDATA[[#This Row],[Investment_Amount]]*0.18</f>
        <v>31876.92</v>
      </c>
      <c r="M394">
        <f>_INVESTEMENTDATA[[#This Row],[Investment_Amount]]*0.18*25</f>
        <v>796923</v>
      </c>
    </row>
    <row r="395" spans="1:13" x14ac:dyDescent="0.25">
      <c r="A395" t="s">
        <v>785</v>
      </c>
      <c r="B395" t="s">
        <v>17</v>
      </c>
      <c r="C395">
        <v>43</v>
      </c>
      <c r="D395" t="s">
        <v>46</v>
      </c>
      <c r="E395" t="s">
        <v>57</v>
      </c>
      <c r="F395" t="s">
        <v>30</v>
      </c>
      <c r="G395">
        <v>3863414</v>
      </c>
      <c r="H395">
        <f t="shared" ca="1" si="6"/>
        <v>299</v>
      </c>
      <c r="I395">
        <v>32.04</v>
      </c>
      <c r="J395">
        <v>25.74</v>
      </c>
      <c r="K395" t="s">
        <v>786</v>
      </c>
      <c r="L395">
        <f>_INVESTEMENTDATA[[#This Row],[Investment_Amount]]*0.18</f>
        <v>695414.52</v>
      </c>
      <c r="M395">
        <f>_INVESTEMENTDATA[[#This Row],[Investment_Amount]]*0.18*25</f>
        <v>17385363</v>
      </c>
    </row>
    <row r="396" spans="1:13" x14ac:dyDescent="0.25">
      <c r="A396" t="s">
        <v>787</v>
      </c>
      <c r="B396" t="s">
        <v>17</v>
      </c>
      <c r="C396">
        <v>28</v>
      </c>
      <c r="D396" t="s">
        <v>28</v>
      </c>
      <c r="E396" t="s">
        <v>57</v>
      </c>
      <c r="F396" t="s">
        <v>47</v>
      </c>
      <c r="G396">
        <v>4693454</v>
      </c>
      <c r="H396">
        <f t="shared" ca="1" si="6"/>
        <v>186</v>
      </c>
      <c r="I396">
        <v>12.48</v>
      </c>
      <c r="J396">
        <v>0.33</v>
      </c>
      <c r="K396" t="s">
        <v>788</v>
      </c>
      <c r="L396">
        <f>_INVESTEMENTDATA[[#This Row],[Investment_Amount]]*0.18</f>
        <v>844821.72</v>
      </c>
      <c r="M396">
        <f>_INVESTEMENTDATA[[#This Row],[Investment_Amount]]*0.18*25</f>
        <v>21120543</v>
      </c>
    </row>
    <row r="397" spans="1:13" x14ac:dyDescent="0.25">
      <c r="A397" t="s">
        <v>789</v>
      </c>
      <c r="B397" t="s">
        <v>11</v>
      </c>
      <c r="C397">
        <v>39</v>
      </c>
      <c r="D397" t="s">
        <v>18</v>
      </c>
      <c r="E397" t="s">
        <v>13</v>
      </c>
      <c r="F397" t="s">
        <v>35</v>
      </c>
      <c r="G397">
        <v>4041370</v>
      </c>
      <c r="H397">
        <f t="shared" ca="1" si="6"/>
        <v>175</v>
      </c>
      <c r="I397">
        <v>21.7</v>
      </c>
      <c r="J397">
        <v>21.21</v>
      </c>
      <c r="K397" t="s">
        <v>790</v>
      </c>
      <c r="L397">
        <f>_INVESTEMENTDATA[[#This Row],[Investment_Amount]]*0.18</f>
        <v>727446.6</v>
      </c>
      <c r="M397">
        <f>_INVESTEMENTDATA[[#This Row],[Investment_Amount]]*0.18*25</f>
        <v>18186165</v>
      </c>
    </row>
    <row r="398" spans="1:13" x14ac:dyDescent="0.25">
      <c r="A398" t="s">
        <v>791</v>
      </c>
      <c r="B398" t="s">
        <v>11</v>
      </c>
      <c r="C398">
        <v>34</v>
      </c>
      <c r="D398" t="s">
        <v>28</v>
      </c>
      <c r="E398" t="s">
        <v>29</v>
      </c>
      <c r="F398" t="s">
        <v>20</v>
      </c>
      <c r="G398">
        <v>1550067</v>
      </c>
      <c r="H398">
        <f t="shared" ca="1" si="6"/>
        <v>208</v>
      </c>
      <c r="I398">
        <v>26.06</v>
      </c>
      <c r="J398">
        <v>5.13</v>
      </c>
      <c r="K398" t="s">
        <v>792</v>
      </c>
      <c r="L398">
        <f>_INVESTEMENTDATA[[#This Row],[Investment_Amount]]*0.18</f>
        <v>279012.06</v>
      </c>
      <c r="M398">
        <f>_INVESTEMENTDATA[[#This Row],[Investment_Amount]]*0.18*25</f>
        <v>6975301.5</v>
      </c>
    </row>
    <row r="399" spans="1:13" x14ac:dyDescent="0.25">
      <c r="A399" t="s">
        <v>793</v>
      </c>
      <c r="B399" t="s">
        <v>11</v>
      </c>
      <c r="C399">
        <v>22</v>
      </c>
      <c r="D399" t="s">
        <v>38</v>
      </c>
      <c r="E399" t="s">
        <v>29</v>
      </c>
      <c r="F399" t="s">
        <v>35</v>
      </c>
      <c r="G399">
        <v>496281</v>
      </c>
      <c r="H399">
        <f t="shared" ca="1" si="6"/>
        <v>110</v>
      </c>
      <c r="I399">
        <v>30.39</v>
      </c>
      <c r="J399">
        <v>37.08</v>
      </c>
      <c r="K399" t="s">
        <v>794</v>
      </c>
      <c r="L399">
        <f>_INVESTEMENTDATA[[#This Row],[Investment_Amount]]*0.18</f>
        <v>89330.58</v>
      </c>
      <c r="M399">
        <f>_INVESTEMENTDATA[[#This Row],[Investment_Amount]]*0.18*25</f>
        <v>2233264.5</v>
      </c>
    </row>
    <row r="400" spans="1:13" x14ac:dyDescent="0.25">
      <c r="A400" t="s">
        <v>795</v>
      </c>
      <c r="B400" t="s">
        <v>11</v>
      </c>
      <c r="C400">
        <v>59</v>
      </c>
      <c r="D400" t="s">
        <v>12</v>
      </c>
      <c r="E400" t="s">
        <v>13</v>
      </c>
      <c r="F400" t="s">
        <v>35</v>
      </c>
      <c r="G400">
        <v>2096975</v>
      </c>
      <c r="H400">
        <f t="shared" ca="1" si="6"/>
        <v>253</v>
      </c>
      <c r="I400">
        <v>14.1</v>
      </c>
      <c r="J400">
        <v>28.96</v>
      </c>
      <c r="K400" t="s">
        <v>354</v>
      </c>
      <c r="L400">
        <f>_INVESTEMENTDATA[[#This Row],[Investment_Amount]]*0.18</f>
        <v>377455.5</v>
      </c>
      <c r="M400">
        <f>_INVESTEMENTDATA[[#This Row],[Investment_Amount]]*0.18*25</f>
        <v>9436387.5</v>
      </c>
    </row>
    <row r="401" spans="1:13" x14ac:dyDescent="0.25">
      <c r="A401" t="s">
        <v>796</v>
      </c>
      <c r="B401" t="s">
        <v>17</v>
      </c>
      <c r="C401">
        <v>29</v>
      </c>
      <c r="D401" t="s">
        <v>18</v>
      </c>
      <c r="E401" t="s">
        <v>50</v>
      </c>
      <c r="F401" t="s">
        <v>47</v>
      </c>
      <c r="G401">
        <v>1191908</v>
      </c>
      <c r="H401">
        <f t="shared" ca="1" si="6"/>
        <v>284</v>
      </c>
      <c r="I401">
        <v>8.41</v>
      </c>
      <c r="J401">
        <v>22.73</v>
      </c>
      <c r="K401" t="s">
        <v>797</v>
      </c>
      <c r="L401">
        <f>_INVESTEMENTDATA[[#This Row],[Investment_Amount]]*0.18</f>
        <v>214543.44</v>
      </c>
      <c r="M401">
        <f>_INVESTEMENTDATA[[#This Row],[Investment_Amount]]*0.18*25</f>
        <v>5363586</v>
      </c>
    </row>
    <row r="402" spans="1:13" x14ac:dyDescent="0.25">
      <c r="A402" t="s">
        <v>798</v>
      </c>
      <c r="B402" t="s">
        <v>17</v>
      </c>
      <c r="C402">
        <v>54</v>
      </c>
      <c r="D402" t="s">
        <v>12</v>
      </c>
      <c r="E402" t="s">
        <v>29</v>
      </c>
      <c r="F402" t="s">
        <v>35</v>
      </c>
      <c r="G402">
        <v>567392</v>
      </c>
      <c r="H402">
        <f t="shared" ca="1" si="6"/>
        <v>215</v>
      </c>
      <c r="I402">
        <v>9.1199999999999992</v>
      </c>
      <c r="J402">
        <v>-0.73</v>
      </c>
      <c r="K402" t="s">
        <v>326</v>
      </c>
      <c r="L402">
        <f>_INVESTEMENTDATA[[#This Row],[Investment_Amount]]*0.18</f>
        <v>102130.56</v>
      </c>
      <c r="M402">
        <f>_INVESTEMENTDATA[[#This Row],[Investment_Amount]]*0.18*25</f>
        <v>2553264</v>
      </c>
    </row>
    <row r="403" spans="1:13" x14ac:dyDescent="0.25">
      <c r="A403" t="s">
        <v>799</v>
      </c>
      <c r="B403" t="s">
        <v>11</v>
      </c>
      <c r="C403">
        <v>52</v>
      </c>
      <c r="D403" t="s">
        <v>18</v>
      </c>
      <c r="E403" t="s">
        <v>50</v>
      </c>
      <c r="F403" t="s">
        <v>41</v>
      </c>
      <c r="G403">
        <v>2615188</v>
      </c>
      <c r="H403">
        <f t="shared" ca="1" si="6"/>
        <v>239</v>
      </c>
      <c r="I403">
        <v>14.16</v>
      </c>
      <c r="J403">
        <v>23.99</v>
      </c>
      <c r="K403" t="s">
        <v>800</v>
      </c>
      <c r="L403">
        <f>_INVESTEMENTDATA[[#This Row],[Investment_Amount]]*0.18</f>
        <v>470733.83999999997</v>
      </c>
      <c r="M403">
        <f>_INVESTEMENTDATA[[#This Row],[Investment_Amount]]*0.18*25</f>
        <v>11768346</v>
      </c>
    </row>
    <row r="404" spans="1:13" x14ac:dyDescent="0.25">
      <c r="A404" t="s">
        <v>801</v>
      </c>
      <c r="B404" t="s">
        <v>17</v>
      </c>
      <c r="C404">
        <v>23</v>
      </c>
      <c r="D404" t="s">
        <v>46</v>
      </c>
      <c r="E404" t="s">
        <v>57</v>
      </c>
      <c r="F404" t="s">
        <v>47</v>
      </c>
      <c r="G404">
        <v>1454481</v>
      </c>
      <c r="H404">
        <f t="shared" ca="1" si="6"/>
        <v>112</v>
      </c>
      <c r="I404">
        <v>31.09</v>
      </c>
      <c r="J404">
        <v>21.92</v>
      </c>
      <c r="K404" t="s">
        <v>802</v>
      </c>
      <c r="L404">
        <f>_INVESTEMENTDATA[[#This Row],[Investment_Amount]]*0.18</f>
        <v>261806.58</v>
      </c>
      <c r="M404">
        <f>_INVESTEMENTDATA[[#This Row],[Investment_Amount]]*0.18*25</f>
        <v>6545164.5</v>
      </c>
    </row>
    <row r="405" spans="1:13" x14ac:dyDescent="0.25">
      <c r="A405" t="s">
        <v>803</v>
      </c>
      <c r="B405" t="s">
        <v>17</v>
      </c>
      <c r="C405">
        <v>27</v>
      </c>
      <c r="D405" t="s">
        <v>38</v>
      </c>
      <c r="E405" t="s">
        <v>50</v>
      </c>
      <c r="F405" t="s">
        <v>14</v>
      </c>
      <c r="G405">
        <v>1804138</v>
      </c>
      <c r="H405">
        <f t="shared" ca="1" si="6"/>
        <v>79</v>
      </c>
      <c r="I405">
        <v>24.36</v>
      </c>
      <c r="J405">
        <v>21.12</v>
      </c>
      <c r="K405" t="s">
        <v>804</v>
      </c>
      <c r="L405">
        <f>_INVESTEMENTDATA[[#This Row],[Investment_Amount]]*0.18</f>
        <v>324744.83999999997</v>
      </c>
      <c r="M405">
        <f>_INVESTEMENTDATA[[#This Row],[Investment_Amount]]*0.18*25</f>
        <v>8118620.9999999991</v>
      </c>
    </row>
    <row r="406" spans="1:13" x14ac:dyDescent="0.25">
      <c r="A406" t="s">
        <v>805</v>
      </c>
      <c r="B406" t="s">
        <v>17</v>
      </c>
      <c r="C406">
        <v>25</v>
      </c>
      <c r="D406" t="s">
        <v>38</v>
      </c>
      <c r="E406" t="s">
        <v>23</v>
      </c>
      <c r="F406" t="s">
        <v>30</v>
      </c>
      <c r="G406">
        <v>3098118</v>
      </c>
      <c r="H406">
        <f t="shared" ca="1" si="6"/>
        <v>191</v>
      </c>
      <c r="I406">
        <v>32.869999999999997</v>
      </c>
      <c r="J406">
        <v>1.42</v>
      </c>
      <c r="K406" t="s">
        <v>806</v>
      </c>
      <c r="L406">
        <f>_INVESTEMENTDATA[[#This Row],[Investment_Amount]]*0.18</f>
        <v>557661.24</v>
      </c>
      <c r="M406">
        <f>_INVESTEMENTDATA[[#This Row],[Investment_Amount]]*0.18*25</f>
        <v>13941531</v>
      </c>
    </row>
    <row r="407" spans="1:13" x14ac:dyDescent="0.25">
      <c r="A407" t="s">
        <v>807</v>
      </c>
      <c r="B407" t="s">
        <v>11</v>
      </c>
      <c r="C407">
        <v>40</v>
      </c>
      <c r="D407" t="s">
        <v>18</v>
      </c>
      <c r="E407" t="s">
        <v>19</v>
      </c>
      <c r="F407" t="s">
        <v>41</v>
      </c>
      <c r="G407">
        <v>4321178</v>
      </c>
      <c r="H407">
        <f t="shared" ca="1" si="6"/>
        <v>89</v>
      </c>
      <c r="I407">
        <v>32.130000000000003</v>
      </c>
      <c r="J407">
        <v>-6.89</v>
      </c>
      <c r="K407" t="s">
        <v>808</v>
      </c>
      <c r="L407">
        <f>_INVESTEMENTDATA[[#This Row],[Investment_Amount]]*0.18</f>
        <v>777812.03999999992</v>
      </c>
      <c r="M407">
        <f>_INVESTEMENTDATA[[#This Row],[Investment_Amount]]*0.18*25</f>
        <v>19445300.999999996</v>
      </c>
    </row>
    <row r="408" spans="1:13" x14ac:dyDescent="0.25">
      <c r="A408" t="s">
        <v>809</v>
      </c>
      <c r="B408" t="s">
        <v>11</v>
      </c>
      <c r="C408">
        <v>30</v>
      </c>
      <c r="D408" t="s">
        <v>46</v>
      </c>
      <c r="E408" t="s">
        <v>23</v>
      </c>
      <c r="F408" t="s">
        <v>20</v>
      </c>
      <c r="G408">
        <v>4236657</v>
      </c>
      <c r="H408">
        <f t="shared" ca="1" si="6"/>
        <v>310</v>
      </c>
      <c r="I408">
        <v>29.79</v>
      </c>
      <c r="J408">
        <v>43.21</v>
      </c>
      <c r="K408" t="s">
        <v>810</v>
      </c>
      <c r="L408">
        <f>_INVESTEMENTDATA[[#This Row],[Investment_Amount]]*0.18</f>
        <v>762598.26</v>
      </c>
      <c r="M408">
        <f>_INVESTEMENTDATA[[#This Row],[Investment_Amount]]*0.18*25</f>
        <v>19064956.5</v>
      </c>
    </row>
    <row r="409" spans="1:13" x14ac:dyDescent="0.25">
      <c r="A409" t="s">
        <v>811</v>
      </c>
      <c r="B409" t="s">
        <v>17</v>
      </c>
      <c r="C409">
        <v>54</v>
      </c>
      <c r="D409" t="s">
        <v>12</v>
      </c>
      <c r="E409" t="s">
        <v>23</v>
      </c>
      <c r="F409" t="s">
        <v>14</v>
      </c>
      <c r="G409">
        <v>2558276</v>
      </c>
      <c r="H409">
        <f t="shared" ca="1" si="6"/>
        <v>161</v>
      </c>
      <c r="I409">
        <v>16.46</v>
      </c>
      <c r="J409">
        <v>26.56</v>
      </c>
      <c r="K409" t="s">
        <v>812</v>
      </c>
      <c r="L409">
        <f>_INVESTEMENTDATA[[#This Row],[Investment_Amount]]*0.18</f>
        <v>460489.68</v>
      </c>
      <c r="M409">
        <f>_INVESTEMENTDATA[[#This Row],[Investment_Amount]]*0.18*25</f>
        <v>11512242</v>
      </c>
    </row>
    <row r="410" spans="1:13" x14ac:dyDescent="0.25">
      <c r="A410" t="s">
        <v>813</v>
      </c>
      <c r="B410" t="s">
        <v>17</v>
      </c>
      <c r="C410">
        <v>39</v>
      </c>
      <c r="D410" t="s">
        <v>28</v>
      </c>
      <c r="E410" t="s">
        <v>23</v>
      </c>
      <c r="F410" t="s">
        <v>47</v>
      </c>
      <c r="G410">
        <v>3365493</v>
      </c>
      <c r="H410">
        <f t="shared" ca="1" si="6"/>
        <v>186</v>
      </c>
      <c r="I410">
        <v>12</v>
      </c>
      <c r="J410">
        <v>32.75</v>
      </c>
      <c r="K410" t="s">
        <v>814</v>
      </c>
      <c r="L410">
        <f>_INVESTEMENTDATA[[#This Row],[Investment_Amount]]*0.18</f>
        <v>605788.74</v>
      </c>
      <c r="M410">
        <f>_INVESTEMENTDATA[[#This Row],[Investment_Amount]]*0.18*25</f>
        <v>15144718.5</v>
      </c>
    </row>
    <row r="411" spans="1:13" x14ac:dyDescent="0.25">
      <c r="A411" t="s">
        <v>815</v>
      </c>
      <c r="B411" t="s">
        <v>17</v>
      </c>
      <c r="C411">
        <v>46</v>
      </c>
      <c r="D411" t="s">
        <v>38</v>
      </c>
      <c r="E411" t="s">
        <v>57</v>
      </c>
      <c r="F411" t="s">
        <v>41</v>
      </c>
      <c r="G411">
        <v>2192658</v>
      </c>
      <c r="H411">
        <f t="shared" ca="1" si="6"/>
        <v>281</v>
      </c>
      <c r="I411">
        <v>22.86</v>
      </c>
      <c r="J411">
        <v>-8.24</v>
      </c>
      <c r="K411" t="s">
        <v>816</v>
      </c>
      <c r="L411">
        <f>_INVESTEMENTDATA[[#This Row],[Investment_Amount]]*0.18</f>
        <v>394678.44</v>
      </c>
      <c r="M411">
        <f>_INVESTEMENTDATA[[#This Row],[Investment_Amount]]*0.18*25</f>
        <v>9866961</v>
      </c>
    </row>
    <row r="412" spans="1:13" x14ac:dyDescent="0.25">
      <c r="A412" t="s">
        <v>817</v>
      </c>
      <c r="B412" t="s">
        <v>11</v>
      </c>
      <c r="C412">
        <v>51</v>
      </c>
      <c r="D412" t="s">
        <v>28</v>
      </c>
      <c r="E412" t="s">
        <v>19</v>
      </c>
      <c r="F412" t="s">
        <v>47</v>
      </c>
      <c r="G412">
        <v>4386827</v>
      </c>
      <c r="H412">
        <f t="shared" ca="1" si="6"/>
        <v>7</v>
      </c>
      <c r="I412">
        <v>14.4</v>
      </c>
      <c r="J412">
        <v>37.53</v>
      </c>
      <c r="K412" t="s">
        <v>806</v>
      </c>
      <c r="L412">
        <f>_INVESTEMENTDATA[[#This Row],[Investment_Amount]]*0.18</f>
        <v>789628.86</v>
      </c>
      <c r="M412">
        <f>_INVESTEMENTDATA[[#This Row],[Investment_Amount]]*0.18*25</f>
        <v>19740721.5</v>
      </c>
    </row>
    <row r="413" spans="1:13" x14ac:dyDescent="0.25">
      <c r="A413" t="s">
        <v>818</v>
      </c>
      <c r="B413" t="s">
        <v>11</v>
      </c>
      <c r="C413">
        <v>39</v>
      </c>
      <c r="D413" t="s">
        <v>46</v>
      </c>
      <c r="E413" t="s">
        <v>19</v>
      </c>
      <c r="F413" t="s">
        <v>14</v>
      </c>
      <c r="G413">
        <v>3295779</v>
      </c>
      <c r="H413">
        <f t="shared" ca="1" si="6"/>
        <v>201</v>
      </c>
      <c r="I413">
        <v>27.96</v>
      </c>
      <c r="J413">
        <v>33.15</v>
      </c>
      <c r="K413" t="s">
        <v>819</v>
      </c>
      <c r="L413">
        <f>_INVESTEMENTDATA[[#This Row],[Investment_Amount]]*0.18</f>
        <v>593240.22</v>
      </c>
      <c r="M413">
        <f>_INVESTEMENTDATA[[#This Row],[Investment_Amount]]*0.18*25</f>
        <v>14831005.5</v>
      </c>
    </row>
    <row r="414" spans="1:13" x14ac:dyDescent="0.25">
      <c r="A414" t="s">
        <v>820</v>
      </c>
      <c r="B414" t="s">
        <v>17</v>
      </c>
      <c r="C414">
        <v>54</v>
      </c>
      <c r="D414" t="s">
        <v>38</v>
      </c>
      <c r="E414" t="s">
        <v>50</v>
      </c>
      <c r="F414" t="s">
        <v>41</v>
      </c>
      <c r="G414">
        <v>237661</v>
      </c>
      <c r="H414">
        <f t="shared" ca="1" si="6"/>
        <v>22</v>
      </c>
      <c r="I414">
        <v>20.5</v>
      </c>
      <c r="J414">
        <v>36.79</v>
      </c>
      <c r="K414" t="s">
        <v>821</v>
      </c>
      <c r="L414">
        <f>_INVESTEMENTDATA[[#This Row],[Investment_Amount]]*0.18</f>
        <v>42778.979999999996</v>
      </c>
      <c r="M414">
        <f>_INVESTEMENTDATA[[#This Row],[Investment_Amount]]*0.18*25</f>
        <v>1069474.5</v>
      </c>
    </row>
    <row r="415" spans="1:13" x14ac:dyDescent="0.25">
      <c r="A415" t="s">
        <v>822</v>
      </c>
      <c r="B415" t="s">
        <v>11</v>
      </c>
      <c r="C415">
        <v>54</v>
      </c>
      <c r="D415" t="s">
        <v>46</v>
      </c>
      <c r="E415" t="s">
        <v>50</v>
      </c>
      <c r="F415" t="s">
        <v>41</v>
      </c>
      <c r="G415">
        <v>2976983</v>
      </c>
      <c r="H415">
        <f t="shared" ca="1" si="6"/>
        <v>93</v>
      </c>
      <c r="I415">
        <v>17.59</v>
      </c>
      <c r="J415">
        <v>25.69</v>
      </c>
      <c r="K415" t="s">
        <v>823</v>
      </c>
      <c r="L415">
        <f>_INVESTEMENTDATA[[#This Row],[Investment_Amount]]*0.18</f>
        <v>535856.93999999994</v>
      </c>
      <c r="M415">
        <f>_INVESTEMENTDATA[[#This Row],[Investment_Amount]]*0.18*25</f>
        <v>13396423.499999998</v>
      </c>
    </row>
    <row r="416" spans="1:13" x14ac:dyDescent="0.25">
      <c r="A416" t="s">
        <v>824</v>
      </c>
      <c r="B416" t="s">
        <v>11</v>
      </c>
      <c r="C416">
        <v>52</v>
      </c>
      <c r="D416" t="s">
        <v>46</v>
      </c>
      <c r="E416" t="s">
        <v>23</v>
      </c>
      <c r="F416" t="s">
        <v>30</v>
      </c>
      <c r="G416">
        <v>2731462</v>
      </c>
      <c r="H416">
        <f t="shared" ca="1" si="6"/>
        <v>146</v>
      </c>
      <c r="I416">
        <v>33.03</v>
      </c>
      <c r="J416">
        <v>8.36</v>
      </c>
      <c r="K416" t="s">
        <v>825</v>
      </c>
      <c r="L416">
        <f>_INVESTEMENTDATA[[#This Row],[Investment_Amount]]*0.18</f>
        <v>491663.16</v>
      </c>
      <c r="M416">
        <f>_INVESTEMENTDATA[[#This Row],[Investment_Amount]]*0.18*25</f>
        <v>12291579</v>
      </c>
    </row>
    <row r="417" spans="1:13" x14ac:dyDescent="0.25">
      <c r="A417" t="s">
        <v>826</v>
      </c>
      <c r="B417" t="s">
        <v>11</v>
      </c>
      <c r="C417">
        <v>42</v>
      </c>
      <c r="D417" t="s">
        <v>28</v>
      </c>
      <c r="E417" t="s">
        <v>23</v>
      </c>
      <c r="F417" t="s">
        <v>20</v>
      </c>
      <c r="G417">
        <v>829978</v>
      </c>
      <c r="H417">
        <f t="shared" ca="1" si="6"/>
        <v>292</v>
      </c>
      <c r="I417">
        <v>34.43</v>
      </c>
      <c r="J417">
        <v>17.25</v>
      </c>
      <c r="K417" t="s">
        <v>827</v>
      </c>
      <c r="L417">
        <f>_INVESTEMENTDATA[[#This Row],[Investment_Amount]]*0.18</f>
        <v>149396.04</v>
      </c>
      <c r="M417">
        <f>_INVESTEMENTDATA[[#This Row],[Investment_Amount]]*0.18*25</f>
        <v>3734901</v>
      </c>
    </row>
    <row r="418" spans="1:13" x14ac:dyDescent="0.25">
      <c r="A418" t="s">
        <v>828</v>
      </c>
      <c r="B418" t="s">
        <v>11</v>
      </c>
      <c r="C418">
        <v>53</v>
      </c>
      <c r="D418" t="s">
        <v>12</v>
      </c>
      <c r="E418" t="s">
        <v>50</v>
      </c>
      <c r="F418" t="s">
        <v>41</v>
      </c>
      <c r="G418">
        <v>3545017</v>
      </c>
      <c r="H418">
        <f t="shared" ca="1" si="6"/>
        <v>32</v>
      </c>
      <c r="I418">
        <v>30.16</v>
      </c>
      <c r="J418">
        <v>10.48</v>
      </c>
      <c r="K418" t="s">
        <v>829</v>
      </c>
      <c r="L418">
        <f>_INVESTEMENTDATA[[#This Row],[Investment_Amount]]*0.18</f>
        <v>638103.05999999994</v>
      </c>
      <c r="M418">
        <f>_INVESTEMENTDATA[[#This Row],[Investment_Amount]]*0.18*25</f>
        <v>15952576.499999998</v>
      </c>
    </row>
    <row r="419" spans="1:13" x14ac:dyDescent="0.25">
      <c r="A419" t="s">
        <v>830</v>
      </c>
      <c r="B419" t="s">
        <v>17</v>
      </c>
      <c r="C419">
        <v>65</v>
      </c>
      <c r="D419" t="s">
        <v>38</v>
      </c>
      <c r="E419" t="s">
        <v>23</v>
      </c>
      <c r="F419" t="s">
        <v>47</v>
      </c>
      <c r="G419">
        <v>1879311</v>
      </c>
      <c r="H419">
        <f t="shared" ca="1" si="6"/>
        <v>227</v>
      </c>
      <c r="I419">
        <v>10.01</v>
      </c>
      <c r="J419">
        <v>43.89</v>
      </c>
      <c r="K419" t="s">
        <v>831</v>
      </c>
      <c r="L419">
        <f>_INVESTEMENTDATA[[#This Row],[Investment_Amount]]*0.18</f>
        <v>338275.98</v>
      </c>
      <c r="M419">
        <f>_INVESTEMENTDATA[[#This Row],[Investment_Amount]]*0.18*25</f>
        <v>8456899.5</v>
      </c>
    </row>
    <row r="420" spans="1:13" x14ac:dyDescent="0.25">
      <c r="A420" t="s">
        <v>832</v>
      </c>
      <c r="B420" t="s">
        <v>11</v>
      </c>
      <c r="C420">
        <v>33</v>
      </c>
      <c r="D420" t="s">
        <v>28</v>
      </c>
      <c r="E420" t="s">
        <v>29</v>
      </c>
      <c r="F420" t="s">
        <v>41</v>
      </c>
      <c r="G420">
        <v>1621981</v>
      </c>
      <c r="H420">
        <f t="shared" ca="1" si="6"/>
        <v>72</v>
      </c>
      <c r="I420">
        <v>6.74</v>
      </c>
      <c r="J420">
        <v>19.579999999999998</v>
      </c>
      <c r="K420" t="s">
        <v>833</v>
      </c>
      <c r="L420">
        <f>_INVESTEMENTDATA[[#This Row],[Investment_Amount]]*0.18</f>
        <v>291956.58</v>
      </c>
      <c r="M420">
        <f>_INVESTEMENTDATA[[#This Row],[Investment_Amount]]*0.18*25</f>
        <v>7298914.5</v>
      </c>
    </row>
    <row r="421" spans="1:13" x14ac:dyDescent="0.25">
      <c r="A421" t="s">
        <v>834</v>
      </c>
      <c r="B421" t="s">
        <v>17</v>
      </c>
      <c r="C421">
        <v>53</v>
      </c>
      <c r="D421" t="s">
        <v>12</v>
      </c>
      <c r="E421" t="s">
        <v>13</v>
      </c>
      <c r="F421" t="s">
        <v>35</v>
      </c>
      <c r="G421">
        <v>2817853</v>
      </c>
      <c r="H421">
        <f t="shared" ca="1" si="6"/>
        <v>299</v>
      </c>
      <c r="I421">
        <v>27.26</v>
      </c>
      <c r="J421">
        <v>34.590000000000003</v>
      </c>
      <c r="K421" t="s">
        <v>835</v>
      </c>
      <c r="L421">
        <f>_INVESTEMENTDATA[[#This Row],[Investment_Amount]]*0.18</f>
        <v>507213.54</v>
      </c>
      <c r="M421">
        <f>_INVESTEMENTDATA[[#This Row],[Investment_Amount]]*0.18*25</f>
        <v>12680338.5</v>
      </c>
    </row>
    <row r="422" spans="1:13" x14ac:dyDescent="0.25">
      <c r="A422" t="s">
        <v>836</v>
      </c>
      <c r="B422" t="s">
        <v>17</v>
      </c>
      <c r="C422">
        <v>38</v>
      </c>
      <c r="D422" t="s">
        <v>46</v>
      </c>
      <c r="E422" t="s">
        <v>29</v>
      </c>
      <c r="F422" t="s">
        <v>30</v>
      </c>
      <c r="G422">
        <v>4404107</v>
      </c>
      <c r="H422">
        <f t="shared" ca="1" si="6"/>
        <v>188</v>
      </c>
      <c r="I422">
        <v>26.04</v>
      </c>
      <c r="J422">
        <v>11.59</v>
      </c>
      <c r="K422" t="s">
        <v>837</v>
      </c>
      <c r="L422">
        <f>_INVESTEMENTDATA[[#This Row],[Investment_Amount]]*0.18</f>
        <v>792739.26</v>
      </c>
      <c r="M422">
        <f>_INVESTEMENTDATA[[#This Row],[Investment_Amount]]*0.18*25</f>
        <v>19818481.5</v>
      </c>
    </row>
    <row r="423" spans="1:13" x14ac:dyDescent="0.25">
      <c r="A423" t="s">
        <v>838</v>
      </c>
      <c r="B423" t="s">
        <v>17</v>
      </c>
      <c r="C423">
        <v>25</v>
      </c>
      <c r="D423" t="s">
        <v>18</v>
      </c>
      <c r="E423" t="s">
        <v>57</v>
      </c>
      <c r="F423" t="s">
        <v>47</v>
      </c>
      <c r="G423">
        <v>1674429</v>
      </c>
      <c r="H423">
        <f t="shared" ca="1" si="6"/>
        <v>283</v>
      </c>
      <c r="I423">
        <v>14.19</v>
      </c>
      <c r="J423">
        <v>42.1</v>
      </c>
      <c r="K423" t="s">
        <v>247</v>
      </c>
      <c r="L423">
        <f>_INVESTEMENTDATA[[#This Row],[Investment_Amount]]*0.18</f>
        <v>301397.21999999997</v>
      </c>
      <c r="M423">
        <f>_INVESTEMENTDATA[[#This Row],[Investment_Amount]]*0.18*25</f>
        <v>7534930.4999999991</v>
      </c>
    </row>
    <row r="424" spans="1:13" x14ac:dyDescent="0.25">
      <c r="A424" t="s">
        <v>839</v>
      </c>
      <c r="B424" t="s">
        <v>17</v>
      </c>
      <c r="C424">
        <v>33</v>
      </c>
      <c r="D424" t="s">
        <v>18</v>
      </c>
      <c r="E424" t="s">
        <v>50</v>
      </c>
      <c r="F424" t="s">
        <v>20</v>
      </c>
      <c r="G424">
        <v>56032</v>
      </c>
      <c r="H424">
        <f t="shared" ca="1" si="6"/>
        <v>20</v>
      </c>
      <c r="I424">
        <v>28.1</v>
      </c>
      <c r="J424">
        <v>43.69</v>
      </c>
      <c r="K424" t="s">
        <v>725</v>
      </c>
      <c r="L424">
        <f>_INVESTEMENTDATA[[#This Row],[Investment_Amount]]*0.18</f>
        <v>10085.76</v>
      </c>
      <c r="M424">
        <f>_INVESTEMENTDATA[[#This Row],[Investment_Amount]]*0.18*25</f>
        <v>252144</v>
      </c>
    </row>
    <row r="425" spans="1:13" x14ac:dyDescent="0.25">
      <c r="A425" t="s">
        <v>840</v>
      </c>
      <c r="B425" t="s">
        <v>17</v>
      </c>
      <c r="C425">
        <v>42</v>
      </c>
      <c r="D425" t="s">
        <v>46</v>
      </c>
      <c r="E425" t="s">
        <v>50</v>
      </c>
      <c r="F425" t="s">
        <v>47</v>
      </c>
      <c r="G425">
        <v>2998416</v>
      </c>
      <c r="H425">
        <f t="shared" ca="1" si="6"/>
        <v>297</v>
      </c>
      <c r="I425">
        <v>17.86</v>
      </c>
      <c r="J425">
        <v>40.340000000000003</v>
      </c>
      <c r="K425" t="s">
        <v>841</v>
      </c>
      <c r="L425">
        <f>_INVESTEMENTDATA[[#This Row],[Investment_Amount]]*0.18</f>
        <v>539714.88</v>
      </c>
      <c r="M425">
        <f>_INVESTEMENTDATA[[#This Row],[Investment_Amount]]*0.18*25</f>
        <v>13492872</v>
      </c>
    </row>
    <row r="426" spans="1:13" x14ac:dyDescent="0.25">
      <c r="A426" t="s">
        <v>842</v>
      </c>
      <c r="B426" t="s">
        <v>11</v>
      </c>
      <c r="C426">
        <v>27</v>
      </c>
      <c r="D426" t="s">
        <v>12</v>
      </c>
      <c r="E426" t="s">
        <v>57</v>
      </c>
      <c r="F426" t="s">
        <v>20</v>
      </c>
      <c r="G426">
        <v>1956860</v>
      </c>
      <c r="H426">
        <f t="shared" ca="1" si="6"/>
        <v>316</v>
      </c>
      <c r="I426">
        <v>17.3</v>
      </c>
      <c r="J426">
        <v>10.39</v>
      </c>
      <c r="K426" t="s">
        <v>182</v>
      </c>
      <c r="L426">
        <f>_INVESTEMENTDATA[[#This Row],[Investment_Amount]]*0.18</f>
        <v>352234.8</v>
      </c>
      <c r="M426">
        <f>_INVESTEMENTDATA[[#This Row],[Investment_Amount]]*0.18*25</f>
        <v>8805870</v>
      </c>
    </row>
    <row r="427" spans="1:13" x14ac:dyDescent="0.25">
      <c r="A427" t="s">
        <v>843</v>
      </c>
      <c r="B427" t="s">
        <v>17</v>
      </c>
      <c r="C427">
        <v>34</v>
      </c>
      <c r="D427" t="s">
        <v>18</v>
      </c>
      <c r="E427" t="s">
        <v>13</v>
      </c>
      <c r="F427" t="s">
        <v>41</v>
      </c>
      <c r="G427">
        <v>1707058</v>
      </c>
      <c r="H427">
        <f t="shared" ca="1" si="6"/>
        <v>61</v>
      </c>
      <c r="I427">
        <v>14.91</v>
      </c>
      <c r="J427">
        <v>-5.66</v>
      </c>
      <c r="K427" t="s">
        <v>844</v>
      </c>
      <c r="L427">
        <f>_INVESTEMENTDATA[[#This Row],[Investment_Amount]]*0.18</f>
        <v>307270.44</v>
      </c>
      <c r="M427">
        <f>_INVESTEMENTDATA[[#This Row],[Investment_Amount]]*0.18*25</f>
        <v>7681761</v>
      </c>
    </row>
    <row r="428" spans="1:13" x14ac:dyDescent="0.25">
      <c r="A428" t="s">
        <v>845</v>
      </c>
      <c r="B428" t="s">
        <v>11</v>
      </c>
      <c r="C428">
        <v>54</v>
      </c>
      <c r="D428" t="s">
        <v>28</v>
      </c>
      <c r="E428" t="s">
        <v>57</v>
      </c>
      <c r="F428" t="s">
        <v>41</v>
      </c>
      <c r="G428">
        <v>3733978</v>
      </c>
      <c r="H428">
        <f t="shared" ca="1" si="6"/>
        <v>51</v>
      </c>
      <c r="I428">
        <v>6.52</v>
      </c>
      <c r="J428">
        <v>-6.93</v>
      </c>
      <c r="K428" t="s">
        <v>846</v>
      </c>
      <c r="L428">
        <f>_INVESTEMENTDATA[[#This Row],[Investment_Amount]]*0.18</f>
        <v>672116.03999999992</v>
      </c>
      <c r="M428">
        <f>_INVESTEMENTDATA[[#This Row],[Investment_Amount]]*0.18*25</f>
        <v>16802900.999999996</v>
      </c>
    </row>
    <row r="429" spans="1:13" x14ac:dyDescent="0.25">
      <c r="A429" t="s">
        <v>847</v>
      </c>
      <c r="B429" t="s">
        <v>11</v>
      </c>
      <c r="C429">
        <v>47</v>
      </c>
      <c r="D429" t="s">
        <v>18</v>
      </c>
      <c r="E429" t="s">
        <v>29</v>
      </c>
      <c r="F429" t="s">
        <v>41</v>
      </c>
      <c r="G429">
        <v>2547385</v>
      </c>
      <c r="H429">
        <f t="shared" ca="1" si="6"/>
        <v>106</v>
      </c>
      <c r="I429">
        <v>24.73</v>
      </c>
      <c r="J429">
        <v>6.66</v>
      </c>
      <c r="K429" t="s">
        <v>848</v>
      </c>
      <c r="L429">
        <f>_INVESTEMENTDATA[[#This Row],[Investment_Amount]]*0.18</f>
        <v>458529.3</v>
      </c>
      <c r="M429">
        <f>_INVESTEMENTDATA[[#This Row],[Investment_Amount]]*0.18*25</f>
        <v>11463232.5</v>
      </c>
    </row>
    <row r="430" spans="1:13" x14ac:dyDescent="0.25">
      <c r="A430" t="s">
        <v>849</v>
      </c>
      <c r="B430" t="s">
        <v>17</v>
      </c>
      <c r="C430">
        <v>26</v>
      </c>
      <c r="D430" t="s">
        <v>46</v>
      </c>
      <c r="E430" t="s">
        <v>23</v>
      </c>
      <c r="F430" t="s">
        <v>20</v>
      </c>
      <c r="G430">
        <v>231613</v>
      </c>
      <c r="H430">
        <f t="shared" ca="1" si="6"/>
        <v>101</v>
      </c>
      <c r="I430">
        <v>10.92</v>
      </c>
      <c r="J430">
        <v>35.24</v>
      </c>
      <c r="K430" t="s">
        <v>850</v>
      </c>
      <c r="L430">
        <f>_INVESTEMENTDATA[[#This Row],[Investment_Amount]]*0.18</f>
        <v>41690.339999999997</v>
      </c>
      <c r="M430">
        <f>_INVESTEMENTDATA[[#This Row],[Investment_Amount]]*0.18*25</f>
        <v>1042258.4999999999</v>
      </c>
    </row>
    <row r="431" spans="1:13" x14ac:dyDescent="0.25">
      <c r="A431" t="s">
        <v>851</v>
      </c>
      <c r="B431" t="s">
        <v>17</v>
      </c>
      <c r="C431">
        <v>60</v>
      </c>
      <c r="D431" t="s">
        <v>38</v>
      </c>
      <c r="E431" t="s">
        <v>50</v>
      </c>
      <c r="F431" t="s">
        <v>30</v>
      </c>
      <c r="G431">
        <v>2122436</v>
      </c>
      <c r="H431">
        <f t="shared" ca="1" si="6"/>
        <v>248</v>
      </c>
      <c r="I431">
        <v>20.23</v>
      </c>
      <c r="J431">
        <v>39.25</v>
      </c>
      <c r="K431" t="s">
        <v>852</v>
      </c>
      <c r="L431">
        <f>_INVESTEMENTDATA[[#This Row],[Investment_Amount]]*0.18</f>
        <v>382038.48</v>
      </c>
      <c r="M431">
        <f>_INVESTEMENTDATA[[#This Row],[Investment_Amount]]*0.18*25</f>
        <v>9550962</v>
      </c>
    </row>
    <row r="432" spans="1:13" x14ac:dyDescent="0.25">
      <c r="A432" t="s">
        <v>853</v>
      </c>
      <c r="B432" t="s">
        <v>11</v>
      </c>
      <c r="C432">
        <v>53</v>
      </c>
      <c r="D432" t="s">
        <v>12</v>
      </c>
      <c r="E432" t="s">
        <v>57</v>
      </c>
      <c r="F432" t="s">
        <v>14</v>
      </c>
      <c r="G432">
        <v>4894450</v>
      </c>
      <c r="H432">
        <f t="shared" ca="1" si="6"/>
        <v>249</v>
      </c>
      <c r="I432">
        <v>14.71</v>
      </c>
      <c r="J432">
        <v>24.35</v>
      </c>
      <c r="K432" t="s">
        <v>854</v>
      </c>
      <c r="L432">
        <f>_INVESTEMENTDATA[[#This Row],[Investment_Amount]]*0.18</f>
        <v>881001</v>
      </c>
      <c r="M432">
        <f>_INVESTEMENTDATA[[#This Row],[Investment_Amount]]*0.18*25</f>
        <v>22025025</v>
      </c>
    </row>
    <row r="433" spans="1:13" x14ac:dyDescent="0.25">
      <c r="A433" t="s">
        <v>855</v>
      </c>
      <c r="B433" t="s">
        <v>17</v>
      </c>
      <c r="C433">
        <v>41</v>
      </c>
      <c r="D433" t="s">
        <v>12</v>
      </c>
      <c r="E433" t="s">
        <v>29</v>
      </c>
      <c r="F433" t="s">
        <v>20</v>
      </c>
      <c r="G433">
        <v>2507490</v>
      </c>
      <c r="H433">
        <f t="shared" ca="1" si="6"/>
        <v>360</v>
      </c>
      <c r="I433">
        <v>18.13</v>
      </c>
      <c r="J433">
        <v>16.29</v>
      </c>
      <c r="K433" t="s">
        <v>856</v>
      </c>
      <c r="L433">
        <f>_INVESTEMENTDATA[[#This Row],[Investment_Amount]]*0.18</f>
        <v>451348.2</v>
      </c>
      <c r="M433">
        <f>_INVESTEMENTDATA[[#This Row],[Investment_Amount]]*0.18*25</f>
        <v>11283705</v>
      </c>
    </row>
    <row r="434" spans="1:13" x14ac:dyDescent="0.25">
      <c r="A434" t="s">
        <v>857</v>
      </c>
      <c r="B434" t="s">
        <v>17</v>
      </c>
      <c r="C434">
        <v>48</v>
      </c>
      <c r="D434" t="s">
        <v>38</v>
      </c>
      <c r="E434" t="s">
        <v>13</v>
      </c>
      <c r="F434" t="s">
        <v>20</v>
      </c>
      <c r="G434">
        <v>459801</v>
      </c>
      <c r="H434">
        <f t="shared" ca="1" si="6"/>
        <v>66</v>
      </c>
      <c r="I434">
        <v>24.91</v>
      </c>
      <c r="J434">
        <v>28.09</v>
      </c>
      <c r="K434" t="s">
        <v>244</v>
      </c>
      <c r="L434">
        <f>_INVESTEMENTDATA[[#This Row],[Investment_Amount]]*0.18</f>
        <v>82764.179999999993</v>
      </c>
      <c r="M434">
        <f>_INVESTEMENTDATA[[#This Row],[Investment_Amount]]*0.18*25</f>
        <v>2069104.4999999998</v>
      </c>
    </row>
    <row r="435" spans="1:13" x14ac:dyDescent="0.25">
      <c r="A435" t="s">
        <v>858</v>
      </c>
      <c r="B435" t="s">
        <v>11</v>
      </c>
      <c r="C435">
        <v>63</v>
      </c>
      <c r="D435" t="s">
        <v>18</v>
      </c>
      <c r="E435" t="s">
        <v>29</v>
      </c>
      <c r="F435" t="s">
        <v>41</v>
      </c>
      <c r="G435">
        <v>3273914</v>
      </c>
      <c r="H435">
        <f t="shared" ca="1" si="6"/>
        <v>265</v>
      </c>
      <c r="I435">
        <v>7.02</v>
      </c>
      <c r="J435">
        <v>4.93</v>
      </c>
      <c r="K435" t="s">
        <v>859</v>
      </c>
      <c r="L435">
        <f>_INVESTEMENTDATA[[#This Row],[Investment_Amount]]*0.18</f>
        <v>589304.52</v>
      </c>
      <c r="M435">
        <f>_INVESTEMENTDATA[[#This Row],[Investment_Amount]]*0.18*25</f>
        <v>14732613</v>
      </c>
    </row>
    <row r="436" spans="1:13" x14ac:dyDescent="0.25">
      <c r="A436" t="s">
        <v>860</v>
      </c>
      <c r="B436" t="s">
        <v>17</v>
      </c>
      <c r="C436">
        <v>41</v>
      </c>
      <c r="D436" t="s">
        <v>46</v>
      </c>
      <c r="E436" t="s">
        <v>50</v>
      </c>
      <c r="F436" t="s">
        <v>20</v>
      </c>
      <c r="G436">
        <v>633933</v>
      </c>
      <c r="H436">
        <f t="shared" ca="1" si="6"/>
        <v>264</v>
      </c>
      <c r="I436">
        <v>19.71</v>
      </c>
      <c r="J436">
        <v>12.31</v>
      </c>
      <c r="K436" t="s">
        <v>537</v>
      </c>
      <c r="L436">
        <f>_INVESTEMENTDATA[[#This Row],[Investment_Amount]]*0.18</f>
        <v>114107.94</v>
      </c>
      <c r="M436">
        <f>_INVESTEMENTDATA[[#This Row],[Investment_Amount]]*0.18*25</f>
        <v>2852698.5</v>
      </c>
    </row>
    <row r="437" spans="1:13" x14ac:dyDescent="0.25">
      <c r="A437" t="s">
        <v>861</v>
      </c>
      <c r="B437" t="s">
        <v>11</v>
      </c>
      <c r="C437">
        <v>36</v>
      </c>
      <c r="D437" t="s">
        <v>12</v>
      </c>
      <c r="E437" t="s">
        <v>50</v>
      </c>
      <c r="F437" t="s">
        <v>41</v>
      </c>
      <c r="G437">
        <v>2736159</v>
      </c>
      <c r="H437">
        <f t="shared" ca="1" si="6"/>
        <v>61</v>
      </c>
      <c r="I437">
        <v>13</v>
      </c>
      <c r="J437">
        <v>43.2</v>
      </c>
      <c r="K437" t="s">
        <v>862</v>
      </c>
      <c r="L437">
        <f>_INVESTEMENTDATA[[#This Row],[Investment_Amount]]*0.18</f>
        <v>492508.62</v>
      </c>
      <c r="M437">
        <f>_INVESTEMENTDATA[[#This Row],[Investment_Amount]]*0.18*25</f>
        <v>12312715.5</v>
      </c>
    </row>
    <row r="438" spans="1:13" x14ac:dyDescent="0.25">
      <c r="A438" t="s">
        <v>863</v>
      </c>
      <c r="B438" t="s">
        <v>17</v>
      </c>
      <c r="C438">
        <v>24</v>
      </c>
      <c r="D438" t="s">
        <v>12</v>
      </c>
      <c r="E438" t="s">
        <v>29</v>
      </c>
      <c r="F438" t="s">
        <v>30</v>
      </c>
      <c r="G438">
        <v>2763799</v>
      </c>
      <c r="H438">
        <f t="shared" ca="1" si="6"/>
        <v>87</v>
      </c>
      <c r="I438">
        <v>25.8</v>
      </c>
      <c r="J438">
        <v>26.46</v>
      </c>
      <c r="K438" t="s">
        <v>864</v>
      </c>
      <c r="L438">
        <f>_INVESTEMENTDATA[[#This Row],[Investment_Amount]]*0.18</f>
        <v>497483.82</v>
      </c>
      <c r="M438">
        <f>_INVESTEMENTDATA[[#This Row],[Investment_Amount]]*0.18*25</f>
        <v>12437095.5</v>
      </c>
    </row>
    <row r="439" spans="1:13" x14ac:dyDescent="0.25">
      <c r="A439" t="s">
        <v>865</v>
      </c>
      <c r="B439" t="s">
        <v>11</v>
      </c>
      <c r="C439">
        <v>60</v>
      </c>
      <c r="D439" t="s">
        <v>18</v>
      </c>
      <c r="E439" t="s">
        <v>13</v>
      </c>
      <c r="F439" t="s">
        <v>30</v>
      </c>
      <c r="G439">
        <v>1042316</v>
      </c>
      <c r="H439">
        <f t="shared" ca="1" si="6"/>
        <v>107</v>
      </c>
      <c r="I439">
        <v>29.49</v>
      </c>
      <c r="J439">
        <v>5.56</v>
      </c>
      <c r="K439" t="s">
        <v>866</v>
      </c>
      <c r="L439">
        <f>_INVESTEMENTDATA[[#This Row],[Investment_Amount]]*0.18</f>
        <v>187616.88</v>
      </c>
      <c r="M439">
        <f>_INVESTEMENTDATA[[#This Row],[Investment_Amount]]*0.18*25</f>
        <v>4690422</v>
      </c>
    </row>
    <row r="440" spans="1:13" x14ac:dyDescent="0.25">
      <c r="A440" t="s">
        <v>867</v>
      </c>
      <c r="B440" t="s">
        <v>11</v>
      </c>
      <c r="C440">
        <v>35</v>
      </c>
      <c r="D440" t="s">
        <v>38</v>
      </c>
      <c r="E440" t="s">
        <v>19</v>
      </c>
      <c r="F440" t="s">
        <v>14</v>
      </c>
      <c r="G440">
        <v>3866600</v>
      </c>
      <c r="H440">
        <f t="shared" ca="1" si="6"/>
        <v>284</v>
      </c>
      <c r="I440">
        <v>17.89</v>
      </c>
      <c r="J440">
        <v>25.55</v>
      </c>
      <c r="K440" t="s">
        <v>868</v>
      </c>
      <c r="L440">
        <f>_INVESTEMENTDATA[[#This Row],[Investment_Amount]]*0.18</f>
        <v>695988</v>
      </c>
      <c r="M440">
        <f>_INVESTEMENTDATA[[#This Row],[Investment_Amount]]*0.18*25</f>
        <v>17399700</v>
      </c>
    </row>
    <row r="441" spans="1:13" x14ac:dyDescent="0.25">
      <c r="A441" t="s">
        <v>869</v>
      </c>
      <c r="B441" t="s">
        <v>17</v>
      </c>
      <c r="C441">
        <v>53</v>
      </c>
      <c r="D441" t="s">
        <v>38</v>
      </c>
      <c r="E441" t="s">
        <v>57</v>
      </c>
      <c r="F441" t="s">
        <v>35</v>
      </c>
      <c r="G441">
        <v>277267</v>
      </c>
      <c r="H441">
        <f t="shared" ca="1" si="6"/>
        <v>319</v>
      </c>
      <c r="I441">
        <v>34.619999999999997</v>
      </c>
      <c r="J441">
        <v>-1.1299999999999999</v>
      </c>
      <c r="K441" t="s">
        <v>870</v>
      </c>
      <c r="L441">
        <f>_INVESTEMENTDATA[[#This Row],[Investment_Amount]]*0.18</f>
        <v>49908.06</v>
      </c>
      <c r="M441">
        <f>_INVESTEMENTDATA[[#This Row],[Investment_Amount]]*0.18*25</f>
        <v>1247701.5</v>
      </c>
    </row>
    <row r="442" spans="1:13" x14ac:dyDescent="0.25">
      <c r="A442" t="s">
        <v>871</v>
      </c>
      <c r="B442" t="s">
        <v>11</v>
      </c>
      <c r="C442">
        <v>60</v>
      </c>
      <c r="D442" t="s">
        <v>12</v>
      </c>
      <c r="E442" t="s">
        <v>13</v>
      </c>
      <c r="F442" t="s">
        <v>30</v>
      </c>
      <c r="G442">
        <v>3855640</v>
      </c>
      <c r="H442">
        <f t="shared" ca="1" si="6"/>
        <v>27</v>
      </c>
      <c r="I442">
        <v>17.079999999999998</v>
      </c>
      <c r="J442">
        <v>20.38</v>
      </c>
      <c r="K442" t="s">
        <v>872</v>
      </c>
      <c r="L442">
        <f>_INVESTEMENTDATA[[#This Row],[Investment_Amount]]*0.18</f>
        <v>694015.2</v>
      </c>
      <c r="M442">
        <f>_INVESTEMENTDATA[[#This Row],[Investment_Amount]]*0.18*25</f>
        <v>17350380</v>
      </c>
    </row>
    <row r="443" spans="1:13" x14ac:dyDescent="0.25">
      <c r="A443" t="s">
        <v>873</v>
      </c>
      <c r="B443" t="s">
        <v>17</v>
      </c>
      <c r="C443">
        <v>52</v>
      </c>
      <c r="D443" t="s">
        <v>12</v>
      </c>
      <c r="E443" t="s">
        <v>57</v>
      </c>
      <c r="F443" t="s">
        <v>14</v>
      </c>
      <c r="G443">
        <v>2766967</v>
      </c>
      <c r="H443">
        <f t="shared" ca="1" si="6"/>
        <v>24</v>
      </c>
      <c r="I443">
        <v>23.11</v>
      </c>
      <c r="J443">
        <v>21.37</v>
      </c>
      <c r="K443" t="s">
        <v>874</v>
      </c>
      <c r="L443">
        <f>_INVESTEMENTDATA[[#This Row],[Investment_Amount]]*0.18</f>
        <v>498054.06</v>
      </c>
      <c r="M443">
        <f>_INVESTEMENTDATA[[#This Row],[Investment_Amount]]*0.18*25</f>
        <v>12451351.5</v>
      </c>
    </row>
    <row r="444" spans="1:13" x14ac:dyDescent="0.25">
      <c r="A444" t="s">
        <v>875</v>
      </c>
      <c r="B444" t="s">
        <v>11</v>
      </c>
      <c r="C444">
        <v>58</v>
      </c>
      <c r="D444" t="s">
        <v>28</v>
      </c>
      <c r="E444" t="s">
        <v>57</v>
      </c>
      <c r="F444" t="s">
        <v>14</v>
      </c>
      <c r="G444">
        <v>2232369</v>
      </c>
      <c r="H444">
        <f t="shared" ca="1" si="6"/>
        <v>129</v>
      </c>
      <c r="I444">
        <v>29.42</v>
      </c>
      <c r="J444">
        <v>42.07</v>
      </c>
      <c r="K444" t="s">
        <v>876</v>
      </c>
      <c r="L444">
        <f>_INVESTEMENTDATA[[#This Row],[Investment_Amount]]*0.18</f>
        <v>401826.42</v>
      </c>
      <c r="M444">
        <f>_INVESTEMENTDATA[[#This Row],[Investment_Amount]]*0.18*25</f>
        <v>10045660.5</v>
      </c>
    </row>
    <row r="445" spans="1:13" x14ac:dyDescent="0.25">
      <c r="A445" t="s">
        <v>877</v>
      </c>
      <c r="B445" t="s">
        <v>17</v>
      </c>
      <c r="C445">
        <v>64</v>
      </c>
      <c r="D445" t="s">
        <v>38</v>
      </c>
      <c r="E445" t="s">
        <v>19</v>
      </c>
      <c r="F445" t="s">
        <v>14</v>
      </c>
      <c r="G445">
        <v>4534450</v>
      </c>
      <c r="H445">
        <f t="shared" ca="1" si="6"/>
        <v>104</v>
      </c>
      <c r="I445">
        <v>19.420000000000002</v>
      </c>
      <c r="J445">
        <v>36.17</v>
      </c>
      <c r="K445" t="s">
        <v>166</v>
      </c>
      <c r="L445">
        <f>_INVESTEMENTDATA[[#This Row],[Investment_Amount]]*0.18</f>
        <v>816201</v>
      </c>
      <c r="M445">
        <f>_INVESTEMENTDATA[[#This Row],[Investment_Amount]]*0.18*25</f>
        <v>20405025</v>
      </c>
    </row>
    <row r="446" spans="1:13" x14ac:dyDescent="0.25">
      <c r="A446" t="s">
        <v>878</v>
      </c>
      <c r="B446" t="s">
        <v>11</v>
      </c>
      <c r="C446">
        <v>41</v>
      </c>
      <c r="D446" t="s">
        <v>46</v>
      </c>
      <c r="E446" t="s">
        <v>13</v>
      </c>
      <c r="F446" t="s">
        <v>47</v>
      </c>
      <c r="G446">
        <v>3131575</v>
      </c>
      <c r="H446">
        <f t="shared" ca="1" si="6"/>
        <v>142</v>
      </c>
      <c r="I446">
        <v>9.85</v>
      </c>
      <c r="J446">
        <v>15.39</v>
      </c>
      <c r="K446" t="s">
        <v>879</v>
      </c>
      <c r="L446">
        <f>_INVESTEMENTDATA[[#This Row],[Investment_Amount]]*0.18</f>
        <v>563683.5</v>
      </c>
      <c r="M446">
        <f>_INVESTEMENTDATA[[#This Row],[Investment_Amount]]*0.18*25</f>
        <v>14092087.5</v>
      </c>
    </row>
    <row r="447" spans="1:13" x14ac:dyDescent="0.25">
      <c r="A447" t="s">
        <v>880</v>
      </c>
      <c r="B447" t="s">
        <v>17</v>
      </c>
      <c r="C447">
        <v>59</v>
      </c>
      <c r="D447" t="s">
        <v>18</v>
      </c>
      <c r="E447" t="s">
        <v>19</v>
      </c>
      <c r="F447" t="s">
        <v>35</v>
      </c>
      <c r="G447">
        <v>2720547</v>
      </c>
      <c r="H447">
        <f t="shared" ca="1" si="6"/>
        <v>332</v>
      </c>
      <c r="I447">
        <v>31.77</v>
      </c>
      <c r="J447">
        <v>-1.5</v>
      </c>
      <c r="K447" t="s">
        <v>881</v>
      </c>
      <c r="L447">
        <f>_INVESTEMENTDATA[[#This Row],[Investment_Amount]]*0.18</f>
        <v>489698.45999999996</v>
      </c>
      <c r="M447">
        <f>_INVESTEMENTDATA[[#This Row],[Investment_Amount]]*0.18*25</f>
        <v>12242461.5</v>
      </c>
    </row>
    <row r="448" spans="1:13" x14ac:dyDescent="0.25">
      <c r="A448" t="s">
        <v>882</v>
      </c>
      <c r="B448" t="s">
        <v>17</v>
      </c>
      <c r="C448">
        <v>64</v>
      </c>
      <c r="D448" t="s">
        <v>28</v>
      </c>
      <c r="E448" t="s">
        <v>57</v>
      </c>
      <c r="F448" t="s">
        <v>30</v>
      </c>
      <c r="G448">
        <v>546705</v>
      </c>
      <c r="H448">
        <f t="shared" ca="1" si="6"/>
        <v>188</v>
      </c>
      <c r="I448">
        <v>15.55</v>
      </c>
      <c r="J448">
        <v>31.51</v>
      </c>
      <c r="K448" t="s">
        <v>883</v>
      </c>
      <c r="L448">
        <f>_INVESTEMENTDATA[[#This Row],[Investment_Amount]]*0.18</f>
        <v>98406.9</v>
      </c>
      <c r="M448">
        <f>_INVESTEMENTDATA[[#This Row],[Investment_Amount]]*0.18*25</f>
        <v>2460172.5</v>
      </c>
    </row>
    <row r="449" spans="1:13" x14ac:dyDescent="0.25">
      <c r="A449" t="s">
        <v>884</v>
      </c>
      <c r="B449" t="s">
        <v>11</v>
      </c>
      <c r="C449">
        <v>37</v>
      </c>
      <c r="D449" t="s">
        <v>12</v>
      </c>
      <c r="E449" t="s">
        <v>19</v>
      </c>
      <c r="F449" t="s">
        <v>47</v>
      </c>
      <c r="G449">
        <v>4242337</v>
      </c>
      <c r="H449">
        <f t="shared" ca="1" si="6"/>
        <v>122</v>
      </c>
      <c r="I449">
        <v>27.39</v>
      </c>
      <c r="J449">
        <v>6.16</v>
      </c>
      <c r="K449" t="s">
        <v>885</v>
      </c>
      <c r="L449">
        <f>_INVESTEMENTDATA[[#This Row],[Investment_Amount]]*0.18</f>
        <v>763620.65999999992</v>
      </c>
      <c r="M449">
        <f>_INVESTEMENTDATA[[#This Row],[Investment_Amount]]*0.18*25</f>
        <v>19090516.499999996</v>
      </c>
    </row>
    <row r="450" spans="1:13" x14ac:dyDescent="0.25">
      <c r="A450" t="s">
        <v>886</v>
      </c>
      <c r="B450" t="s">
        <v>11</v>
      </c>
      <c r="C450">
        <v>30</v>
      </c>
      <c r="D450" t="s">
        <v>38</v>
      </c>
      <c r="E450" t="s">
        <v>23</v>
      </c>
      <c r="F450" t="s">
        <v>20</v>
      </c>
      <c r="G450">
        <v>4379024</v>
      </c>
      <c r="H450">
        <f t="shared" ref="H450:H513" ca="1" si="7">RANDBETWEEN(7,365)</f>
        <v>182</v>
      </c>
      <c r="I450">
        <v>5.91</v>
      </c>
      <c r="J450">
        <v>5.86</v>
      </c>
      <c r="K450" t="s">
        <v>887</v>
      </c>
      <c r="L450">
        <f>_INVESTEMENTDATA[[#This Row],[Investment_Amount]]*0.18</f>
        <v>788224.32</v>
      </c>
      <c r="M450">
        <f>_INVESTEMENTDATA[[#This Row],[Investment_Amount]]*0.18*25</f>
        <v>19705608</v>
      </c>
    </row>
    <row r="451" spans="1:13" x14ac:dyDescent="0.25">
      <c r="A451" t="s">
        <v>888</v>
      </c>
      <c r="B451" t="s">
        <v>17</v>
      </c>
      <c r="C451">
        <v>53</v>
      </c>
      <c r="D451" t="s">
        <v>12</v>
      </c>
      <c r="E451" t="s">
        <v>50</v>
      </c>
      <c r="F451" t="s">
        <v>47</v>
      </c>
      <c r="G451">
        <v>2343358</v>
      </c>
      <c r="H451">
        <f t="shared" ca="1" si="7"/>
        <v>89</v>
      </c>
      <c r="I451">
        <v>15.03</v>
      </c>
      <c r="J451">
        <v>25.9</v>
      </c>
      <c r="K451" t="s">
        <v>889</v>
      </c>
      <c r="L451">
        <f>_INVESTEMENTDATA[[#This Row],[Investment_Amount]]*0.18</f>
        <v>421804.44</v>
      </c>
      <c r="M451">
        <f>_INVESTEMENTDATA[[#This Row],[Investment_Amount]]*0.18*25</f>
        <v>10545111</v>
      </c>
    </row>
    <row r="452" spans="1:13" x14ac:dyDescent="0.25">
      <c r="A452" t="s">
        <v>890</v>
      </c>
      <c r="B452" t="s">
        <v>17</v>
      </c>
      <c r="C452">
        <v>63</v>
      </c>
      <c r="D452" t="s">
        <v>28</v>
      </c>
      <c r="E452" t="s">
        <v>23</v>
      </c>
      <c r="F452" t="s">
        <v>41</v>
      </c>
      <c r="G452">
        <v>2395112</v>
      </c>
      <c r="H452">
        <f t="shared" ca="1" si="7"/>
        <v>320</v>
      </c>
      <c r="I452">
        <v>32.020000000000003</v>
      </c>
      <c r="J452">
        <v>1.6</v>
      </c>
      <c r="K452" t="s">
        <v>891</v>
      </c>
      <c r="L452">
        <f>_INVESTEMENTDATA[[#This Row],[Investment_Amount]]*0.18</f>
        <v>431120.16</v>
      </c>
      <c r="M452">
        <f>_INVESTEMENTDATA[[#This Row],[Investment_Amount]]*0.18*25</f>
        <v>10778004</v>
      </c>
    </row>
    <row r="453" spans="1:13" x14ac:dyDescent="0.25">
      <c r="A453" t="s">
        <v>892</v>
      </c>
      <c r="B453" t="s">
        <v>11</v>
      </c>
      <c r="C453">
        <v>44</v>
      </c>
      <c r="D453" t="s">
        <v>12</v>
      </c>
      <c r="E453" t="s">
        <v>13</v>
      </c>
      <c r="F453" t="s">
        <v>14</v>
      </c>
      <c r="G453">
        <v>4031968</v>
      </c>
      <c r="H453">
        <f t="shared" ca="1" si="7"/>
        <v>338</v>
      </c>
      <c r="I453">
        <v>22.77</v>
      </c>
      <c r="J453">
        <v>41.58</v>
      </c>
      <c r="K453" t="s">
        <v>893</v>
      </c>
      <c r="L453">
        <f>_INVESTEMENTDATA[[#This Row],[Investment_Amount]]*0.18</f>
        <v>725754.24</v>
      </c>
      <c r="M453">
        <f>_INVESTEMENTDATA[[#This Row],[Investment_Amount]]*0.18*25</f>
        <v>18143856</v>
      </c>
    </row>
    <row r="454" spans="1:13" x14ac:dyDescent="0.25">
      <c r="A454" t="s">
        <v>894</v>
      </c>
      <c r="B454" t="s">
        <v>11</v>
      </c>
      <c r="C454">
        <v>44</v>
      </c>
      <c r="D454" t="s">
        <v>12</v>
      </c>
      <c r="E454" t="s">
        <v>29</v>
      </c>
      <c r="F454" t="s">
        <v>20</v>
      </c>
      <c r="G454">
        <v>682376</v>
      </c>
      <c r="H454">
        <f t="shared" ca="1" si="7"/>
        <v>99</v>
      </c>
      <c r="I454">
        <v>16.899999999999999</v>
      </c>
      <c r="J454">
        <v>29.99</v>
      </c>
      <c r="K454" t="s">
        <v>895</v>
      </c>
      <c r="L454">
        <f>_INVESTEMENTDATA[[#This Row],[Investment_Amount]]*0.18</f>
        <v>122827.68</v>
      </c>
      <c r="M454">
        <f>_INVESTEMENTDATA[[#This Row],[Investment_Amount]]*0.18*25</f>
        <v>3070692</v>
      </c>
    </row>
    <row r="455" spans="1:13" x14ac:dyDescent="0.25">
      <c r="A455" t="s">
        <v>896</v>
      </c>
      <c r="B455" t="s">
        <v>11</v>
      </c>
      <c r="C455">
        <v>47</v>
      </c>
      <c r="D455" t="s">
        <v>18</v>
      </c>
      <c r="E455" t="s">
        <v>29</v>
      </c>
      <c r="F455" t="s">
        <v>35</v>
      </c>
      <c r="G455">
        <v>4847536</v>
      </c>
      <c r="H455">
        <f t="shared" ca="1" si="7"/>
        <v>74</v>
      </c>
      <c r="I455">
        <v>14.87</v>
      </c>
      <c r="J455">
        <v>20.09</v>
      </c>
      <c r="K455" t="s">
        <v>897</v>
      </c>
      <c r="L455">
        <f>_INVESTEMENTDATA[[#This Row],[Investment_Amount]]*0.18</f>
        <v>872556.48</v>
      </c>
      <c r="M455">
        <f>_INVESTEMENTDATA[[#This Row],[Investment_Amount]]*0.18*25</f>
        <v>21813912</v>
      </c>
    </row>
    <row r="456" spans="1:13" x14ac:dyDescent="0.25">
      <c r="A456" t="s">
        <v>898</v>
      </c>
      <c r="B456" t="s">
        <v>11</v>
      </c>
      <c r="C456">
        <v>61</v>
      </c>
      <c r="D456" t="s">
        <v>46</v>
      </c>
      <c r="E456" t="s">
        <v>50</v>
      </c>
      <c r="F456" t="s">
        <v>30</v>
      </c>
      <c r="G456">
        <v>2641784</v>
      </c>
      <c r="H456">
        <f t="shared" ca="1" si="7"/>
        <v>126</v>
      </c>
      <c r="I456">
        <v>8.34</v>
      </c>
      <c r="J456">
        <v>41.14</v>
      </c>
      <c r="K456" t="s">
        <v>899</v>
      </c>
      <c r="L456">
        <f>_INVESTEMENTDATA[[#This Row],[Investment_Amount]]*0.18</f>
        <v>475521.12</v>
      </c>
      <c r="M456">
        <f>_INVESTEMENTDATA[[#This Row],[Investment_Amount]]*0.18*25</f>
        <v>11888028</v>
      </c>
    </row>
    <row r="457" spans="1:13" x14ac:dyDescent="0.25">
      <c r="A457" t="s">
        <v>900</v>
      </c>
      <c r="B457" t="s">
        <v>17</v>
      </c>
      <c r="C457">
        <v>54</v>
      </c>
      <c r="D457" t="s">
        <v>38</v>
      </c>
      <c r="E457" t="s">
        <v>29</v>
      </c>
      <c r="F457" t="s">
        <v>30</v>
      </c>
      <c r="G457">
        <v>2048635</v>
      </c>
      <c r="H457">
        <f t="shared" ca="1" si="7"/>
        <v>329</v>
      </c>
      <c r="I457">
        <v>17.93</v>
      </c>
      <c r="J457">
        <v>12.47</v>
      </c>
      <c r="K457" t="s">
        <v>283</v>
      </c>
      <c r="L457">
        <f>_INVESTEMENTDATA[[#This Row],[Investment_Amount]]*0.18</f>
        <v>368754.3</v>
      </c>
      <c r="M457">
        <f>_INVESTEMENTDATA[[#This Row],[Investment_Amount]]*0.18*25</f>
        <v>9218857.5</v>
      </c>
    </row>
    <row r="458" spans="1:13" x14ac:dyDescent="0.25">
      <c r="A458" t="s">
        <v>901</v>
      </c>
      <c r="B458" t="s">
        <v>17</v>
      </c>
      <c r="C458">
        <v>25</v>
      </c>
      <c r="D458" t="s">
        <v>38</v>
      </c>
      <c r="E458" t="s">
        <v>19</v>
      </c>
      <c r="F458" t="s">
        <v>20</v>
      </c>
      <c r="G458">
        <v>921492</v>
      </c>
      <c r="H458">
        <f t="shared" ca="1" si="7"/>
        <v>15</v>
      </c>
      <c r="I458">
        <v>6.28</v>
      </c>
      <c r="J458">
        <v>18.32</v>
      </c>
      <c r="K458" t="s">
        <v>902</v>
      </c>
      <c r="L458">
        <f>_INVESTEMENTDATA[[#This Row],[Investment_Amount]]*0.18</f>
        <v>165868.56</v>
      </c>
      <c r="M458">
        <f>_INVESTEMENTDATA[[#This Row],[Investment_Amount]]*0.18*25</f>
        <v>4146714</v>
      </c>
    </row>
    <row r="459" spans="1:13" x14ac:dyDescent="0.25">
      <c r="A459" t="s">
        <v>903</v>
      </c>
      <c r="B459" t="s">
        <v>17</v>
      </c>
      <c r="C459">
        <v>33</v>
      </c>
      <c r="D459" t="s">
        <v>46</v>
      </c>
      <c r="E459" t="s">
        <v>50</v>
      </c>
      <c r="F459" t="s">
        <v>30</v>
      </c>
      <c r="G459">
        <v>4286266</v>
      </c>
      <c r="H459">
        <f t="shared" ca="1" si="7"/>
        <v>359</v>
      </c>
      <c r="I459">
        <v>32.57</v>
      </c>
      <c r="J459">
        <v>28.72</v>
      </c>
      <c r="K459" t="s">
        <v>904</v>
      </c>
      <c r="L459">
        <f>_INVESTEMENTDATA[[#This Row],[Investment_Amount]]*0.18</f>
        <v>771527.88</v>
      </c>
      <c r="M459">
        <f>_INVESTEMENTDATA[[#This Row],[Investment_Amount]]*0.18*25</f>
        <v>19288197</v>
      </c>
    </row>
    <row r="460" spans="1:13" x14ac:dyDescent="0.25">
      <c r="A460" t="s">
        <v>905</v>
      </c>
      <c r="B460" t="s">
        <v>11</v>
      </c>
      <c r="C460">
        <v>50</v>
      </c>
      <c r="D460" t="s">
        <v>38</v>
      </c>
      <c r="E460" t="s">
        <v>29</v>
      </c>
      <c r="F460" t="s">
        <v>47</v>
      </c>
      <c r="G460">
        <v>4928607</v>
      </c>
      <c r="H460">
        <f t="shared" ca="1" si="7"/>
        <v>356</v>
      </c>
      <c r="I460">
        <v>9.4700000000000006</v>
      </c>
      <c r="J460">
        <v>44.93</v>
      </c>
      <c r="K460" t="s">
        <v>906</v>
      </c>
      <c r="L460">
        <f>_INVESTEMENTDATA[[#This Row],[Investment_Amount]]*0.18</f>
        <v>887149.26</v>
      </c>
      <c r="M460">
        <f>_INVESTEMENTDATA[[#This Row],[Investment_Amount]]*0.18*25</f>
        <v>22178731.5</v>
      </c>
    </row>
    <row r="461" spans="1:13" x14ac:dyDescent="0.25">
      <c r="A461" t="s">
        <v>907</v>
      </c>
      <c r="B461" t="s">
        <v>17</v>
      </c>
      <c r="C461">
        <v>24</v>
      </c>
      <c r="D461" t="s">
        <v>28</v>
      </c>
      <c r="E461" t="s">
        <v>23</v>
      </c>
      <c r="F461" t="s">
        <v>35</v>
      </c>
      <c r="G461">
        <v>4627814</v>
      </c>
      <c r="H461">
        <f t="shared" ca="1" si="7"/>
        <v>78</v>
      </c>
      <c r="I461">
        <v>8.56</v>
      </c>
      <c r="J461">
        <v>5.32</v>
      </c>
      <c r="K461" t="s">
        <v>908</v>
      </c>
      <c r="L461">
        <f>_INVESTEMENTDATA[[#This Row],[Investment_Amount]]*0.18</f>
        <v>833006.52</v>
      </c>
      <c r="M461">
        <f>_INVESTEMENTDATA[[#This Row],[Investment_Amount]]*0.18*25</f>
        <v>20825163</v>
      </c>
    </row>
    <row r="462" spans="1:13" x14ac:dyDescent="0.25">
      <c r="A462" t="s">
        <v>909</v>
      </c>
      <c r="B462" t="s">
        <v>11</v>
      </c>
      <c r="C462">
        <v>25</v>
      </c>
      <c r="D462" t="s">
        <v>12</v>
      </c>
      <c r="E462" t="s">
        <v>13</v>
      </c>
      <c r="F462" t="s">
        <v>30</v>
      </c>
      <c r="G462">
        <v>204632</v>
      </c>
      <c r="H462">
        <f t="shared" ca="1" si="7"/>
        <v>170</v>
      </c>
      <c r="I462">
        <v>7.62</v>
      </c>
      <c r="J462">
        <v>5.9</v>
      </c>
      <c r="K462" t="s">
        <v>910</v>
      </c>
      <c r="L462">
        <f>_INVESTEMENTDATA[[#This Row],[Investment_Amount]]*0.18</f>
        <v>36833.760000000002</v>
      </c>
      <c r="M462">
        <f>_INVESTEMENTDATA[[#This Row],[Investment_Amount]]*0.18*25</f>
        <v>920844</v>
      </c>
    </row>
    <row r="463" spans="1:13" x14ac:dyDescent="0.25">
      <c r="A463" t="s">
        <v>911</v>
      </c>
      <c r="B463" t="s">
        <v>11</v>
      </c>
      <c r="C463">
        <v>56</v>
      </c>
      <c r="D463" t="s">
        <v>38</v>
      </c>
      <c r="E463" t="s">
        <v>57</v>
      </c>
      <c r="F463" t="s">
        <v>41</v>
      </c>
      <c r="G463">
        <v>2974151</v>
      </c>
      <c r="H463">
        <f t="shared" ca="1" si="7"/>
        <v>191</v>
      </c>
      <c r="I463">
        <v>10.28</v>
      </c>
      <c r="J463">
        <v>27.23</v>
      </c>
      <c r="K463" t="s">
        <v>912</v>
      </c>
      <c r="L463">
        <f>_INVESTEMENTDATA[[#This Row],[Investment_Amount]]*0.18</f>
        <v>535347.17999999993</v>
      </c>
      <c r="M463">
        <f>_INVESTEMENTDATA[[#This Row],[Investment_Amount]]*0.18*25</f>
        <v>13383679.499999998</v>
      </c>
    </row>
    <row r="464" spans="1:13" x14ac:dyDescent="0.25">
      <c r="A464" t="s">
        <v>913</v>
      </c>
      <c r="B464" t="s">
        <v>17</v>
      </c>
      <c r="C464">
        <v>55</v>
      </c>
      <c r="D464" t="s">
        <v>46</v>
      </c>
      <c r="E464" t="s">
        <v>23</v>
      </c>
      <c r="F464" t="s">
        <v>41</v>
      </c>
      <c r="G464">
        <v>1802914</v>
      </c>
      <c r="H464">
        <f t="shared" ca="1" si="7"/>
        <v>291</v>
      </c>
      <c r="I464">
        <v>25.93</v>
      </c>
      <c r="J464">
        <v>11.93</v>
      </c>
      <c r="K464" t="s">
        <v>914</v>
      </c>
      <c r="L464">
        <f>_INVESTEMENTDATA[[#This Row],[Investment_Amount]]*0.18</f>
        <v>324524.51999999996</v>
      </c>
      <c r="M464">
        <f>_INVESTEMENTDATA[[#This Row],[Investment_Amount]]*0.18*25</f>
        <v>8113112.9999999991</v>
      </c>
    </row>
    <row r="465" spans="1:13" x14ac:dyDescent="0.25">
      <c r="A465" t="s">
        <v>915</v>
      </c>
      <c r="B465" t="s">
        <v>11</v>
      </c>
      <c r="C465">
        <v>40</v>
      </c>
      <c r="D465" t="s">
        <v>12</v>
      </c>
      <c r="E465" t="s">
        <v>19</v>
      </c>
      <c r="F465" t="s">
        <v>14</v>
      </c>
      <c r="G465">
        <v>808165</v>
      </c>
      <c r="H465">
        <f t="shared" ca="1" si="7"/>
        <v>60</v>
      </c>
      <c r="I465">
        <v>13.99</v>
      </c>
      <c r="J465">
        <v>-5.15</v>
      </c>
      <c r="K465" t="s">
        <v>916</v>
      </c>
      <c r="L465">
        <f>_INVESTEMENTDATA[[#This Row],[Investment_Amount]]*0.18</f>
        <v>145469.69999999998</v>
      </c>
      <c r="M465">
        <f>_INVESTEMENTDATA[[#This Row],[Investment_Amount]]*0.18*25</f>
        <v>3636742.4999999995</v>
      </c>
    </row>
    <row r="466" spans="1:13" x14ac:dyDescent="0.25">
      <c r="A466" t="s">
        <v>917</v>
      </c>
      <c r="B466" t="s">
        <v>17</v>
      </c>
      <c r="C466">
        <v>60</v>
      </c>
      <c r="D466" t="s">
        <v>28</v>
      </c>
      <c r="E466" t="s">
        <v>29</v>
      </c>
      <c r="F466" t="s">
        <v>30</v>
      </c>
      <c r="G466">
        <v>3206026</v>
      </c>
      <c r="H466">
        <f t="shared" ca="1" si="7"/>
        <v>191</v>
      </c>
      <c r="I466">
        <v>19.739999999999998</v>
      </c>
      <c r="J466">
        <v>1.97</v>
      </c>
      <c r="K466" t="s">
        <v>918</v>
      </c>
      <c r="L466">
        <f>_INVESTEMENTDATA[[#This Row],[Investment_Amount]]*0.18</f>
        <v>577084.67999999993</v>
      </c>
      <c r="M466">
        <f>_INVESTEMENTDATA[[#This Row],[Investment_Amount]]*0.18*25</f>
        <v>14427116.999999998</v>
      </c>
    </row>
    <row r="467" spans="1:13" x14ac:dyDescent="0.25">
      <c r="A467" t="s">
        <v>919</v>
      </c>
      <c r="B467" t="s">
        <v>17</v>
      </c>
      <c r="C467">
        <v>41</v>
      </c>
      <c r="D467" t="s">
        <v>46</v>
      </c>
      <c r="E467" t="s">
        <v>57</v>
      </c>
      <c r="F467" t="s">
        <v>20</v>
      </c>
      <c r="G467">
        <v>4938652</v>
      </c>
      <c r="H467">
        <f t="shared" ca="1" si="7"/>
        <v>53</v>
      </c>
      <c r="I467">
        <v>23.71</v>
      </c>
      <c r="J467">
        <v>3.04</v>
      </c>
      <c r="K467" t="s">
        <v>920</v>
      </c>
      <c r="L467">
        <f>_INVESTEMENTDATA[[#This Row],[Investment_Amount]]*0.18</f>
        <v>888957.36</v>
      </c>
      <c r="M467">
        <f>_INVESTEMENTDATA[[#This Row],[Investment_Amount]]*0.18*25</f>
        <v>22223934</v>
      </c>
    </row>
    <row r="468" spans="1:13" x14ac:dyDescent="0.25">
      <c r="A468" t="s">
        <v>921</v>
      </c>
      <c r="B468" t="s">
        <v>11</v>
      </c>
      <c r="C468">
        <v>26</v>
      </c>
      <c r="D468" t="s">
        <v>46</v>
      </c>
      <c r="E468" t="s">
        <v>23</v>
      </c>
      <c r="F468" t="s">
        <v>30</v>
      </c>
      <c r="G468">
        <v>2349472</v>
      </c>
      <c r="H468">
        <f t="shared" ca="1" si="7"/>
        <v>30</v>
      </c>
      <c r="I468">
        <v>19.96</v>
      </c>
      <c r="J468">
        <v>36.36</v>
      </c>
      <c r="K468" t="s">
        <v>922</v>
      </c>
      <c r="L468">
        <f>_INVESTEMENTDATA[[#This Row],[Investment_Amount]]*0.18</f>
        <v>422904.95999999996</v>
      </c>
      <c r="M468">
        <f>_INVESTEMENTDATA[[#This Row],[Investment_Amount]]*0.18*25</f>
        <v>10572624</v>
      </c>
    </row>
    <row r="469" spans="1:13" x14ac:dyDescent="0.25">
      <c r="A469" t="s">
        <v>923</v>
      </c>
      <c r="B469" t="s">
        <v>17</v>
      </c>
      <c r="C469">
        <v>33</v>
      </c>
      <c r="D469" t="s">
        <v>12</v>
      </c>
      <c r="E469" t="s">
        <v>29</v>
      </c>
      <c r="F469" t="s">
        <v>35</v>
      </c>
      <c r="G469">
        <v>4269660</v>
      </c>
      <c r="H469">
        <f t="shared" ca="1" si="7"/>
        <v>128</v>
      </c>
      <c r="I469">
        <v>7.21</v>
      </c>
      <c r="J469">
        <v>2.59</v>
      </c>
      <c r="K469" t="s">
        <v>924</v>
      </c>
      <c r="L469">
        <f>_INVESTEMENTDATA[[#This Row],[Investment_Amount]]*0.18</f>
        <v>768538.79999999993</v>
      </c>
      <c r="M469">
        <f>_INVESTEMENTDATA[[#This Row],[Investment_Amount]]*0.18*25</f>
        <v>19213470</v>
      </c>
    </row>
    <row r="470" spans="1:13" x14ac:dyDescent="0.25">
      <c r="A470" t="s">
        <v>925</v>
      </c>
      <c r="B470" t="s">
        <v>17</v>
      </c>
      <c r="C470">
        <v>22</v>
      </c>
      <c r="D470" t="s">
        <v>12</v>
      </c>
      <c r="E470" t="s">
        <v>13</v>
      </c>
      <c r="F470" t="s">
        <v>35</v>
      </c>
      <c r="G470">
        <v>4159437</v>
      </c>
      <c r="H470">
        <f t="shared" ca="1" si="7"/>
        <v>14</v>
      </c>
      <c r="I470">
        <v>22.33</v>
      </c>
      <c r="J470">
        <v>29.16</v>
      </c>
      <c r="K470" t="s">
        <v>926</v>
      </c>
      <c r="L470">
        <f>_INVESTEMENTDATA[[#This Row],[Investment_Amount]]*0.18</f>
        <v>748698.65999999992</v>
      </c>
      <c r="M470">
        <f>_INVESTEMENTDATA[[#This Row],[Investment_Amount]]*0.18*25</f>
        <v>18717466.499999996</v>
      </c>
    </row>
    <row r="471" spans="1:13" x14ac:dyDescent="0.25">
      <c r="A471" t="s">
        <v>927</v>
      </c>
      <c r="B471" t="s">
        <v>17</v>
      </c>
      <c r="C471">
        <v>59</v>
      </c>
      <c r="D471" t="s">
        <v>28</v>
      </c>
      <c r="E471" t="s">
        <v>23</v>
      </c>
      <c r="F471" t="s">
        <v>30</v>
      </c>
      <c r="G471">
        <v>4528640</v>
      </c>
      <c r="H471">
        <f t="shared" ca="1" si="7"/>
        <v>14</v>
      </c>
      <c r="I471">
        <v>20.94</v>
      </c>
      <c r="J471">
        <v>16.47</v>
      </c>
      <c r="K471" t="s">
        <v>618</v>
      </c>
      <c r="L471">
        <f>_INVESTEMENTDATA[[#This Row],[Investment_Amount]]*0.18</f>
        <v>815155.19999999995</v>
      </c>
      <c r="M471">
        <f>_INVESTEMENTDATA[[#This Row],[Investment_Amount]]*0.18*25</f>
        <v>20378880</v>
      </c>
    </row>
    <row r="472" spans="1:13" x14ac:dyDescent="0.25">
      <c r="A472" t="s">
        <v>928</v>
      </c>
      <c r="B472" t="s">
        <v>11</v>
      </c>
      <c r="C472">
        <v>63</v>
      </c>
      <c r="D472" t="s">
        <v>38</v>
      </c>
      <c r="E472" t="s">
        <v>57</v>
      </c>
      <c r="F472" t="s">
        <v>47</v>
      </c>
      <c r="G472">
        <v>3270605</v>
      </c>
      <c r="H472">
        <f t="shared" ca="1" si="7"/>
        <v>149</v>
      </c>
      <c r="I472">
        <v>23.93</v>
      </c>
      <c r="J472">
        <v>-2.27</v>
      </c>
      <c r="K472" t="s">
        <v>929</v>
      </c>
      <c r="L472">
        <f>_INVESTEMENTDATA[[#This Row],[Investment_Amount]]*0.18</f>
        <v>588708.9</v>
      </c>
      <c r="M472">
        <f>_INVESTEMENTDATA[[#This Row],[Investment_Amount]]*0.18*25</f>
        <v>14717722.5</v>
      </c>
    </row>
    <row r="473" spans="1:13" x14ac:dyDescent="0.25">
      <c r="A473" t="s">
        <v>930</v>
      </c>
      <c r="B473" t="s">
        <v>17</v>
      </c>
      <c r="C473">
        <v>27</v>
      </c>
      <c r="D473" t="s">
        <v>28</v>
      </c>
      <c r="E473" t="s">
        <v>50</v>
      </c>
      <c r="F473" t="s">
        <v>47</v>
      </c>
      <c r="G473">
        <v>3979757</v>
      </c>
      <c r="H473">
        <f t="shared" ca="1" si="7"/>
        <v>75</v>
      </c>
      <c r="I473">
        <v>11.46</v>
      </c>
      <c r="J473">
        <v>20.77</v>
      </c>
      <c r="K473" t="s">
        <v>931</v>
      </c>
      <c r="L473">
        <f>_INVESTEMENTDATA[[#This Row],[Investment_Amount]]*0.18</f>
        <v>716356.26</v>
      </c>
      <c r="M473">
        <f>_INVESTEMENTDATA[[#This Row],[Investment_Amount]]*0.18*25</f>
        <v>17908906.5</v>
      </c>
    </row>
    <row r="474" spans="1:13" x14ac:dyDescent="0.25">
      <c r="A474" t="s">
        <v>932</v>
      </c>
      <c r="B474" t="s">
        <v>17</v>
      </c>
      <c r="C474">
        <v>23</v>
      </c>
      <c r="D474" t="s">
        <v>46</v>
      </c>
      <c r="E474" t="s">
        <v>29</v>
      </c>
      <c r="F474" t="s">
        <v>41</v>
      </c>
      <c r="G474">
        <v>3568943</v>
      </c>
      <c r="H474">
        <f t="shared" ca="1" si="7"/>
        <v>312</v>
      </c>
      <c r="I474">
        <v>15.08</v>
      </c>
      <c r="J474">
        <v>17.88</v>
      </c>
      <c r="K474" t="s">
        <v>933</v>
      </c>
      <c r="L474">
        <f>_INVESTEMENTDATA[[#This Row],[Investment_Amount]]*0.18</f>
        <v>642409.74</v>
      </c>
      <c r="M474">
        <f>_INVESTEMENTDATA[[#This Row],[Investment_Amount]]*0.18*25</f>
        <v>16060243.5</v>
      </c>
    </row>
    <row r="475" spans="1:13" x14ac:dyDescent="0.25">
      <c r="A475" t="s">
        <v>934</v>
      </c>
      <c r="B475" t="s">
        <v>11</v>
      </c>
      <c r="C475">
        <v>30</v>
      </c>
      <c r="D475" t="s">
        <v>38</v>
      </c>
      <c r="E475" t="s">
        <v>57</v>
      </c>
      <c r="F475" t="s">
        <v>14</v>
      </c>
      <c r="G475">
        <v>637323</v>
      </c>
      <c r="H475">
        <f t="shared" ca="1" si="7"/>
        <v>141</v>
      </c>
      <c r="I475">
        <v>21.92</v>
      </c>
      <c r="J475">
        <v>-6.78</v>
      </c>
      <c r="K475" t="s">
        <v>935</v>
      </c>
      <c r="L475">
        <f>_INVESTEMENTDATA[[#This Row],[Investment_Amount]]*0.18</f>
        <v>114718.14</v>
      </c>
      <c r="M475">
        <f>_INVESTEMENTDATA[[#This Row],[Investment_Amount]]*0.18*25</f>
        <v>2867953.5</v>
      </c>
    </row>
    <row r="476" spans="1:13" x14ac:dyDescent="0.25">
      <c r="A476" t="s">
        <v>936</v>
      </c>
      <c r="B476" t="s">
        <v>11</v>
      </c>
      <c r="C476">
        <v>28</v>
      </c>
      <c r="D476" t="s">
        <v>38</v>
      </c>
      <c r="E476" t="s">
        <v>23</v>
      </c>
      <c r="F476" t="s">
        <v>20</v>
      </c>
      <c r="G476">
        <v>2247831</v>
      </c>
      <c r="H476">
        <f t="shared" ca="1" si="7"/>
        <v>323</v>
      </c>
      <c r="I476">
        <v>34.26</v>
      </c>
      <c r="J476">
        <v>15.48</v>
      </c>
      <c r="K476" t="s">
        <v>937</v>
      </c>
      <c r="L476">
        <f>_INVESTEMENTDATA[[#This Row],[Investment_Amount]]*0.18</f>
        <v>404609.57999999996</v>
      </c>
      <c r="M476">
        <f>_INVESTEMENTDATA[[#This Row],[Investment_Amount]]*0.18*25</f>
        <v>10115239.499999998</v>
      </c>
    </row>
    <row r="477" spans="1:13" x14ac:dyDescent="0.25">
      <c r="A477" t="s">
        <v>938</v>
      </c>
      <c r="B477" t="s">
        <v>11</v>
      </c>
      <c r="C477">
        <v>49</v>
      </c>
      <c r="D477" t="s">
        <v>28</v>
      </c>
      <c r="E477" t="s">
        <v>13</v>
      </c>
      <c r="F477" t="s">
        <v>41</v>
      </c>
      <c r="G477">
        <v>636721</v>
      </c>
      <c r="H477">
        <f t="shared" ca="1" si="7"/>
        <v>93</v>
      </c>
      <c r="I477">
        <v>18.75</v>
      </c>
      <c r="J477">
        <v>29.29</v>
      </c>
      <c r="K477" t="s">
        <v>503</v>
      </c>
      <c r="L477">
        <f>_INVESTEMENTDATA[[#This Row],[Investment_Amount]]*0.18</f>
        <v>114609.78</v>
      </c>
      <c r="M477">
        <f>_INVESTEMENTDATA[[#This Row],[Investment_Amount]]*0.18*25</f>
        <v>2865244.5</v>
      </c>
    </row>
    <row r="478" spans="1:13" x14ac:dyDescent="0.25">
      <c r="A478" t="s">
        <v>939</v>
      </c>
      <c r="B478" t="s">
        <v>17</v>
      </c>
      <c r="C478">
        <v>52</v>
      </c>
      <c r="D478" t="s">
        <v>46</v>
      </c>
      <c r="E478" t="s">
        <v>50</v>
      </c>
      <c r="F478" t="s">
        <v>20</v>
      </c>
      <c r="G478">
        <v>4183596</v>
      </c>
      <c r="H478">
        <f t="shared" ca="1" si="7"/>
        <v>361</v>
      </c>
      <c r="I478">
        <v>12.15</v>
      </c>
      <c r="J478">
        <v>15.91</v>
      </c>
      <c r="K478" t="s">
        <v>940</v>
      </c>
      <c r="L478">
        <f>_INVESTEMENTDATA[[#This Row],[Investment_Amount]]*0.18</f>
        <v>753047.28</v>
      </c>
      <c r="M478">
        <f>_INVESTEMENTDATA[[#This Row],[Investment_Amount]]*0.18*25</f>
        <v>18826182</v>
      </c>
    </row>
    <row r="479" spans="1:13" x14ac:dyDescent="0.25">
      <c r="A479" t="s">
        <v>941</v>
      </c>
      <c r="B479" t="s">
        <v>11</v>
      </c>
      <c r="C479">
        <v>51</v>
      </c>
      <c r="D479" t="s">
        <v>38</v>
      </c>
      <c r="E479" t="s">
        <v>19</v>
      </c>
      <c r="F479" t="s">
        <v>41</v>
      </c>
      <c r="G479">
        <v>1185697</v>
      </c>
      <c r="H479">
        <f t="shared" ca="1" si="7"/>
        <v>281</v>
      </c>
      <c r="I479">
        <v>20.11</v>
      </c>
      <c r="J479">
        <v>36.6</v>
      </c>
      <c r="K479" t="s">
        <v>942</v>
      </c>
      <c r="L479">
        <f>_INVESTEMENTDATA[[#This Row],[Investment_Amount]]*0.18</f>
        <v>213425.46</v>
      </c>
      <c r="M479">
        <f>_INVESTEMENTDATA[[#This Row],[Investment_Amount]]*0.18*25</f>
        <v>5335636.5</v>
      </c>
    </row>
    <row r="480" spans="1:13" x14ac:dyDescent="0.25">
      <c r="A480" t="s">
        <v>943</v>
      </c>
      <c r="B480" t="s">
        <v>11</v>
      </c>
      <c r="C480">
        <v>63</v>
      </c>
      <c r="D480" t="s">
        <v>18</v>
      </c>
      <c r="E480" t="s">
        <v>50</v>
      </c>
      <c r="F480" t="s">
        <v>35</v>
      </c>
      <c r="G480">
        <v>3562372</v>
      </c>
      <c r="H480">
        <f t="shared" ca="1" si="7"/>
        <v>70</v>
      </c>
      <c r="I480">
        <v>33.950000000000003</v>
      </c>
      <c r="J480">
        <v>-1.89</v>
      </c>
      <c r="K480" t="s">
        <v>944</v>
      </c>
      <c r="L480">
        <f>_INVESTEMENTDATA[[#This Row],[Investment_Amount]]*0.18</f>
        <v>641226.96</v>
      </c>
      <c r="M480">
        <f>_INVESTEMENTDATA[[#This Row],[Investment_Amount]]*0.18*25</f>
        <v>16030674</v>
      </c>
    </row>
    <row r="481" spans="1:13" x14ac:dyDescent="0.25">
      <c r="A481" t="s">
        <v>945</v>
      </c>
      <c r="B481" t="s">
        <v>17</v>
      </c>
      <c r="C481">
        <v>58</v>
      </c>
      <c r="D481" t="s">
        <v>18</v>
      </c>
      <c r="E481" t="s">
        <v>50</v>
      </c>
      <c r="F481" t="s">
        <v>14</v>
      </c>
      <c r="G481">
        <v>4202753</v>
      </c>
      <c r="H481">
        <f t="shared" ca="1" si="7"/>
        <v>317</v>
      </c>
      <c r="I481">
        <v>7.84</v>
      </c>
      <c r="J481">
        <v>-7.56</v>
      </c>
      <c r="K481" t="s">
        <v>946</v>
      </c>
      <c r="L481">
        <f>_INVESTEMENTDATA[[#This Row],[Investment_Amount]]*0.18</f>
        <v>756495.53999999992</v>
      </c>
      <c r="M481">
        <f>_INVESTEMENTDATA[[#This Row],[Investment_Amount]]*0.18*25</f>
        <v>18912388.499999996</v>
      </c>
    </row>
    <row r="482" spans="1:13" x14ac:dyDescent="0.25">
      <c r="A482" t="s">
        <v>947</v>
      </c>
      <c r="B482" t="s">
        <v>17</v>
      </c>
      <c r="C482">
        <v>51</v>
      </c>
      <c r="D482" t="s">
        <v>28</v>
      </c>
      <c r="E482" t="s">
        <v>29</v>
      </c>
      <c r="F482" t="s">
        <v>47</v>
      </c>
      <c r="G482">
        <v>2095006</v>
      </c>
      <c r="H482">
        <f t="shared" ca="1" si="7"/>
        <v>120</v>
      </c>
      <c r="I482">
        <v>14.46</v>
      </c>
      <c r="J482">
        <v>-1.38</v>
      </c>
      <c r="K482" t="s">
        <v>948</v>
      </c>
      <c r="L482">
        <f>_INVESTEMENTDATA[[#This Row],[Investment_Amount]]*0.18</f>
        <v>377101.07999999996</v>
      </c>
      <c r="M482">
        <f>_INVESTEMENTDATA[[#This Row],[Investment_Amount]]*0.18*25</f>
        <v>9427526.9999999981</v>
      </c>
    </row>
    <row r="483" spans="1:13" x14ac:dyDescent="0.25">
      <c r="A483" t="s">
        <v>949</v>
      </c>
      <c r="B483" t="s">
        <v>17</v>
      </c>
      <c r="C483">
        <v>25</v>
      </c>
      <c r="D483" t="s">
        <v>28</v>
      </c>
      <c r="E483" t="s">
        <v>13</v>
      </c>
      <c r="F483" t="s">
        <v>35</v>
      </c>
      <c r="G483">
        <v>3578639</v>
      </c>
      <c r="H483">
        <f t="shared" ca="1" si="7"/>
        <v>333</v>
      </c>
      <c r="I483">
        <v>28.71</v>
      </c>
      <c r="J483">
        <v>44.62</v>
      </c>
      <c r="K483" t="s">
        <v>950</v>
      </c>
      <c r="L483">
        <f>_INVESTEMENTDATA[[#This Row],[Investment_Amount]]*0.18</f>
        <v>644155.02</v>
      </c>
      <c r="M483">
        <f>_INVESTEMENTDATA[[#This Row],[Investment_Amount]]*0.18*25</f>
        <v>16103875.5</v>
      </c>
    </row>
    <row r="484" spans="1:13" x14ac:dyDescent="0.25">
      <c r="A484" t="s">
        <v>951</v>
      </c>
      <c r="B484" t="s">
        <v>11</v>
      </c>
      <c r="C484">
        <v>63</v>
      </c>
      <c r="D484" t="s">
        <v>28</v>
      </c>
      <c r="E484" t="s">
        <v>13</v>
      </c>
      <c r="F484" t="s">
        <v>35</v>
      </c>
      <c r="G484">
        <v>1127606</v>
      </c>
      <c r="H484">
        <f t="shared" ca="1" si="7"/>
        <v>214</v>
      </c>
      <c r="I484">
        <v>8.89</v>
      </c>
      <c r="J484">
        <v>2.08</v>
      </c>
      <c r="K484" t="s">
        <v>952</v>
      </c>
      <c r="L484">
        <f>_INVESTEMENTDATA[[#This Row],[Investment_Amount]]*0.18</f>
        <v>202969.08</v>
      </c>
      <c r="M484">
        <f>_INVESTEMENTDATA[[#This Row],[Investment_Amount]]*0.18*25</f>
        <v>5074227</v>
      </c>
    </row>
    <row r="485" spans="1:13" x14ac:dyDescent="0.25">
      <c r="A485" t="s">
        <v>953</v>
      </c>
      <c r="B485" t="s">
        <v>17</v>
      </c>
      <c r="C485">
        <v>26</v>
      </c>
      <c r="D485" t="s">
        <v>38</v>
      </c>
      <c r="E485" t="s">
        <v>19</v>
      </c>
      <c r="F485" t="s">
        <v>47</v>
      </c>
      <c r="G485">
        <v>2244682</v>
      </c>
      <c r="H485">
        <f t="shared" ca="1" si="7"/>
        <v>154</v>
      </c>
      <c r="I485">
        <v>14.45</v>
      </c>
      <c r="J485">
        <v>-8.19</v>
      </c>
      <c r="K485" t="s">
        <v>954</v>
      </c>
      <c r="L485">
        <f>_INVESTEMENTDATA[[#This Row],[Investment_Amount]]*0.18</f>
        <v>404042.76</v>
      </c>
      <c r="M485">
        <f>_INVESTEMENTDATA[[#This Row],[Investment_Amount]]*0.18*25</f>
        <v>10101069</v>
      </c>
    </row>
    <row r="486" spans="1:13" x14ac:dyDescent="0.25">
      <c r="A486" t="s">
        <v>955</v>
      </c>
      <c r="B486" t="s">
        <v>11</v>
      </c>
      <c r="C486">
        <v>34</v>
      </c>
      <c r="D486" t="s">
        <v>18</v>
      </c>
      <c r="E486" t="s">
        <v>23</v>
      </c>
      <c r="F486" t="s">
        <v>41</v>
      </c>
      <c r="G486">
        <v>4250353</v>
      </c>
      <c r="H486">
        <f t="shared" ca="1" si="7"/>
        <v>341</v>
      </c>
      <c r="I486">
        <v>9.35</v>
      </c>
      <c r="J486">
        <v>29.55</v>
      </c>
      <c r="K486" t="s">
        <v>956</v>
      </c>
      <c r="L486">
        <f>_INVESTEMENTDATA[[#This Row],[Investment_Amount]]*0.18</f>
        <v>765063.53999999992</v>
      </c>
      <c r="M486">
        <f>_INVESTEMENTDATA[[#This Row],[Investment_Amount]]*0.18*25</f>
        <v>19126588.499999996</v>
      </c>
    </row>
    <row r="487" spans="1:13" x14ac:dyDescent="0.25">
      <c r="A487" t="s">
        <v>957</v>
      </c>
      <c r="B487" t="s">
        <v>17</v>
      </c>
      <c r="C487">
        <v>24</v>
      </c>
      <c r="D487" t="s">
        <v>12</v>
      </c>
      <c r="E487" t="s">
        <v>23</v>
      </c>
      <c r="F487" t="s">
        <v>20</v>
      </c>
      <c r="G487">
        <v>3587485</v>
      </c>
      <c r="H487">
        <f t="shared" ca="1" si="7"/>
        <v>73</v>
      </c>
      <c r="I487">
        <v>11.31</v>
      </c>
      <c r="J487">
        <v>41</v>
      </c>
      <c r="K487" t="s">
        <v>958</v>
      </c>
      <c r="L487">
        <f>_INVESTEMENTDATA[[#This Row],[Investment_Amount]]*0.18</f>
        <v>645747.29999999993</v>
      </c>
      <c r="M487">
        <f>_INVESTEMENTDATA[[#This Row],[Investment_Amount]]*0.18*25</f>
        <v>16143682.499999998</v>
      </c>
    </row>
    <row r="488" spans="1:13" x14ac:dyDescent="0.25">
      <c r="A488" t="s">
        <v>959</v>
      </c>
      <c r="B488" t="s">
        <v>17</v>
      </c>
      <c r="C488">
        <v>41</v>
      </c>
      <c r="D488" t="s">
        <v>38</v>
      </c>
      <c r="E488" t="s">
        <v>13</v>
      </c>
      <c r="F488" t="s">
        <v>30</v>
      </c>
      <c r="G488">
        <v>1304052</v>
      </c>
      <c r="H488">
        <f t="shared" ca="1" si="7"/>
        <v>63</v>
      </c>
      <c r="I488">
        <v>23.29</v>
      </c>
      <c r="J488">
        <v>-1.93</v>
      </c>
      <c r="K488" t="s">
        <v>960</v>
      </c>
      <c r="L488">
        <f>_INVESTEMENTDATA[[#This Row],[Investment_Amount]]*0.18</f>
        <v>234729.36</v>
      </c>
      <c r="M488">
        <f>_INVESTEMENTDATA[[#This Row],[Investment_Amount]]*0.18*25</f>
        <v>5868234</v>
      </c>
    </row>
    <row r="489" spans="1:13" x14ac:dyDescent="0.25">
      <c r="A489" t="s">
        <v>961</v>
      </c>
      <c r="B489" t="s">
        <v>11</v>
      </c>
      <c r="C489">
        <v>61</v>
      </c>
      <c r="D489" t="s">
        <v>18</v>
      </c>
      <c r="E489" t="s">
        <v>50</v>
      </c>
      <c r="F489" t="s">
        <v>41</v>
      </c>
      <c r="G489">
        <v>923680</v>
      </c>
      <c r="H489">
        <f t="shared" ca="1" si="7"/>
        <v>284</v>
      </c>
      <c r="I489">
        <v>31.16</v>
      </c>
      <c r="J489">
        <v>37.01</v>
      </c>
      <c r="K489" t="s">
        <v>962</v>
      </c>
      <c r="L489">
        <f>_INVESTEMENTDATA[[#This Row],[Investment_Amount]]*0.18</f>
        <v>166262.39999999999</v>
      </c>
      <c r="M489">
        <f>_INVESTEMENTDATA[[#This Row],[Investment_Amount]]*0.18*25</f>
        <v>4156560</v>
      </c>
    </row>
    <row r="490" spans="1:13" x14ac:dyDescent="0.25">
      <c r="A490" t="s">
        <v>963</v>
      </c>
      <c r="B490" t="s">
        <v>17</v>
      </c>
      <c r="C490">
        <v>49</v>
      </c>
      <c r="D490" t="s">
        <v>12</v>
      </c>
      <c r="E490" t="s">
        <v>23</v>
      </c>
      <c r="F490" t="s">
        <v>20</v>
      </c>
      <c r="G490">
        <v>3617916</v>
      </c>
      <c r="H490">
        <f t="shared" ca="1" si="7"/>
        <v>35</v>
      </c>
      <c r="I490">
        <v>17</v>
      </c>
      <c r="J490">
        <v>5.97</v>
      </c>
      <c r="K490" t="s">
        <v>964</v>
      </c>
      <c r="L490">
        <f>_INVESTEMENTDATA[[#This Row],[Investment_Amount]]*0.18</f>
        <v>651224.88</v>
      </c>
      <c r="M490">
        <f>_INVESTEMENTDATA[[#This Row],[Investment_Amount]]*0.18*25</f>
        <v>16280622</v>
      </c>
    </row>
    <row r="491" spans="1:13" x14ac:dyDescent="0.25">
      <c r="A491" t="s">
        <v>965</v>
      </c>
      <c r="B491" t="s">
        <v>17</v>
      </c>
      <c r="C491">
        <v>27</v>
      </c>
      <c r="D491" t="s">
        <v>38</v>
      </c>
      <c r="E491" t="s">
        <v>13</v>
      </c>
      <c r="F491" t="s">
        <v>14</v>
      </c>
      <c r="G491">
        <v>4780418</v>
      </c>
      <c r="H491">
        <f t="shared" ca="1" si="7"/>
        <v>135</v>
      </c>
      <c r="I491">
        <v>24.91</v>
      </c>
      <c r="J491">
        <v>-6.65</v>
      </c>
      <c r="K491" t="s">
        <v>374</v>
      </c>
      <c r="L491">
        <f>_INVESTEMENTDATA[[#This Row],[Investment_Amount]]*0.18</f>
        <v>860475.24</v>
      </c>
      <c r="M491">
        <f>_INVESTEMENTDATA[[#This Row],[Investment_Amount]]*0.18*25</f>
        <v>21511881</v>
      </c>
    </row>
    <row r="492" spans="1:13" x14ac:dyDescent="0.25">
      <c r="A492" t="s">
        <v>966</v>
      </c>
      <c r="B492" t="s">
        <v>17</v>
      </c>
      <c r="C492">
        <v>53</v>
      </c>
      <c r="D492" t="s">
        <v>18</v>
      </c>
      <c r="E492" t="s">
        <v>23</v>
      </c>
      <c r="F492" t="s">
        <v>20</v>
      </c>
      <c r="G492">
        <v>3316019</v>
      </c>
      <c r="H492">
        <f t="shared" ca="1" si="7"/>
        <v>173</v>
      </c>
      <c r="I492">
        <v>7.83</v>
      </c>
      <c r="J492">
        <v>-9.75</v>
      </c>
      <c r="K492" t="s">
        <v>967</v>
      </c>
      <c r="L492">
        <f>_INVESTEMENTDATA[[#This Row],[Investment_Amount]]*0.18</f>
        <v>596883.41999999993</v>
      </c>
      <c r="M492">
        <f>_INVESTEMENTDATA[[#This Row],[Investment_Amount]]*0.18*25</f>
        <v>14922085.499999998</v>
      </c>
    </row>
    <row r="493" spans="1:13" x14ac:dyDescent="0.25">
      <c r="A493" t="s">
        <v>968</v>
      </c>
      <c r="B493" t="s">
        <v>11</v>
      </c>
      <c r="C493">
        <v>61</v>
      </c>
      <c r="D493" t="s">
        <v>38</v>
      </c>
      <c r="E493" t="s">
        <v>29</v>
      </c>
      <c r="F493" t="s">
        <v>30</v>
      </c>
      <c r="G493">
        <v>3391202</v>
      </c>
      <c r="H493">
        <f t="shared" ca="1" si="7"/>
        <v>79</v>
      </c>
      <c r="I493">
        <v>29.66</v>
      </c>
      <c r="J493">
        <v>29.67</v>
      </c>
      <c r="K493" t="s">
        <v>969</v>
      </c>
      <c r="L493">
        <f>_INVESTEMENTDATA[[#This Row],[Investment_Amount]]*0.18</f>
        <v>610416.36</v>
      </c>
      <c r="M493">
        <f>_INVESTEMENTDATA[[#This Row],[Investment_Amount]]*0.18*25</f>
        <v>15260409</v>
      </c>
    </row>
    <row r="494" spans="1:13" x14ac:dyDescent="0.25">
      <c r="A494" t="s">
        <v>970</v>
      </c>
      <c r="B494" t="s">
        <v>11</v>
      </c>
      <c r="C494">
        <v>56</v>
      </c>
      <c r="D494" t="s">
        <v>18</v>
      </c>
      <c r="E494" t="s">
        <v>19</v>
      </c>
      <c r="F494" t="s">
        <v>47</v>
      </c>
      <c r="G494">
        <v>204814</v>
      </c>
      <c r="H494">
        <f t="shared" ca="1" si="7"/>
        <v>122</v>
      </c>
      <c r="I494">
        <v>26.47</v>
      </c>
      <c r="J494">
        <v>-7.51</v>
      </c>
      <c r="K494" t="s">
        <v>971</v>
      </c>
      <c r="L494">
        <f>_INVESTEMENTDATA[[#This Row],[Investment_Amount]]*0.18</f>
        <v>36866.519999999997</v>
      </c>
      <c r="M494">
        <f>_INVESTEMENTDATA[[#This Row],[Investment_Amount]]*0.18*25</f>
        <v>921662.99999999988</v>
      </c>
    </row>
    <row r="495" spans="1:13" x14ac:dyDescent="0.25">
      <c r="A495" t="s">
        <v>972</v>
      </c>
      <c r="B495" t="s">
        <v>17</v>
      </c>
      <c r="C495">
        <v>36</v>
      </c>
      <c r="D495" t="s">
        <v>12</v>
      </c>
      <c r="E495" t="s">
        <v>23</v>
      </c>
      <c r="F495" t="s">
        <v>41</v>
      </c>
      <c r="G495">
        <v>1847047</v>
      </c>
      <c r="H495">
        <f t="shared" ca="1" si="7"/>
        <v>68</v>
      </c>
      <c r="I495">
        <v>5.34</v>
      </c>
      <c r="J495">
        <v>3.91</v>
      </c>
      <c r="K495" t="s">
        <v>973</v>
      </c>
      <c r="L495">
        <f>_INVESTEMENTDATA[[#This Row],[Investment_Amount]]*0.18</f>
        <v>332468.45999999996</v>
      </c>
      <c r="M495">
        <f>_INVESTEMENTDATA[[#This Row],[Investment_Amount]]*0.18*25</f>
        <v>8311711.4999999991</v>
      </c>
    </row>
    <row r="496" spans="1:13" x14ac:dyDescent="0.25">
      <c r="A496" t="s">
        <v>974</v>
      </c>
      <c r="B496" t="s">
        <v>11</v>
      </c>
      <c r="C496">
        <v>49</v>
      </c>
      <c r="D496" t="s">
        <v>28</v>
      </c>
      <c r="E496" t="s">
        <v>19</v>
      </c>
      <c r="F496" t="s">
        <v>30</v>
      </c>
      <c r="G496">
        <v>963644</v>
      </c>
      <c r="H496">
        <f t="shared" ca="1" si="7"/>
        <v>92</v>
      </c>
      <c r="I496">
        <v>34.11</v>
      </c>
      <c r="J496">
        <v>12.92</v>
      </c>
      <c r="K496" t="s">
        <v>975</v>
      </c>
      <c r="L496">
        <f>_INVESTEMENTDATA[[#This Row],[Investment_Amount]]*0.18</f>
        <v>173455.91999999998</v>
      </c>
      <c r="M496">
        <f>_INVESTEMENTDATA[[#This Row],[Investment_Amount]]*0.18*25</f>
        <v>4336398</v>
      </c>
    </row>
    <row r="497" spans="1:13" x14ac:dyDescent="0.25">
      <c r="A497" t="s">
        <v>976</v>
      </c>
      <c r="B497" t="s">
        <v>17</v>
      </c>
      <c r="C497">
        <v>65</v>
      </c>
      <c r="D497" t="s">
        <v>28</v>
      </c>
      <c r="E497" t="s">
        <v>23</v>
      </c>
      <c r="F497" t="s">
        <v>20</v>
      </c>
      <c r="G497">
        <v>2813164</v>
      </c>
      <c r="H497">
        <f t="shared" ca="1" si="7"/>
        <v>279</v>
      </c>
      <c r="I497">
        <v>16.760000000000002</v>
      </c>
      <c r="J497">
        <v>29.73</v>
      </c>
      <c r="K497" t="s">
        <v>977</v>
      </c>
      <c r="L497">
        <f>_INVESTEMENTDATA[[#This Row],[Investment_Amount]]*0.18</f>
        <v>506369.51999999996</v>
      </c>
      <c r="M497">
        <f>_INVESTEMENTDATA[[#This Row],[Investment_Amount]]*0.18*25</f>
        <v>12659237.999999998</v>
      </c>
    </row>
    <row r="498" spans="1:13" x14ac:dyDescent="0.25">
      <c r="A498" t="s">
        <v>978</v>
      </c>
      <c r="B498" t="s">
        <v>17</v>
      </c>
      <c r="C498">
        <v>52</v>
      </c>
      <c r="D498" t="s">
        <v>12</v>
      </c>
      <c r="E498" t="s">
        <v>29</v>
      </c>
      <c r="F498" t="s">
        <v>41</v>
      </c>
      <c r="G498">
        <v>203375</v>
      </c>
      <c r="H498">
        <f t="shared" ca="1" si="7"/>
        <v>284</v>
      </c>
      <c r="I498">
        <v>7.77</v>
      </c>
      <c r="J498">
        <v>9.49</v>
      </c>
      <c r="K498" t="s">
        <v>539</v>
      </c>
      <c r="L498">
        <f>_INVESTEMENTDATA[[#This Row],[Investment_Amount]]*0.18</f>
        <v>36607.5</v>
      </c>
      <c r="M498">
        <f>_INVESTEMENTDATA[[#This Row],[Investment_Amount]]*0.18*25</f>
        <v>915187.5</v>
      </c>
    </row>
    <row r="499" spans="1:13" x14ac:dyDescent="0.25">
      <c r="A499" t="s">
        <v>979</v>
      </c>
      <c r="B499" t="s">
        <v>17</v>
      </c>
      <c r="C499">
        <v>46</v>
      </c>
      <c r="D499" t="s">
        <v>28</v>
      </c>
      <c r="E499" t="s">
        <v>29</v>
      </c>
      <c r="F499" t="s">
        <v>41</v>
      </c>
      <c r="G499">
        <v>2426201</v>
      </c>
      <c r="H499">
        <f t="shared" ca="1" si="7"/>
        <v>314</v>
      </c>
      <c r="I499">
        <v>24.11</v>
      </c>
      <c r="J499">
        <v>-5.21</v>
      </c>
      <c r="K499" t="s">
        <v>980</v>
      </c>
      <c r="L499">
        <f>_INVESTEMENTDATA[[#This Row],[Investment_Amount]]*0.18</f>
        <v>436716.18</v>
      </c>
      <c r="M499">
        <f>_INVESTEMENTDATA[[#This Row],[Investment_Amount]]*0.18*25</f>
        <v>10917904.5</v>
      </c>
    </row>
    <row r="500" spans="1:13" x14ac:dyDescent="0.25">
      <c r="A500" t="s">
        <v>981</v>
      </c>
      <c r="B500" t="s">
        <v>17</v>
      </c>
      <c r="C500">
        <v>55</v>
      </c>
      <c r="D500" t="s">
        <v>18</v>
      </c>
      <c r="E500" t="s">
        <v>19</v>
      </c>
      <c r="F500" t="s">
        <v>41</v>
      </c>
      <c r="G500">
        <v>4150352</v>
      </c>
      <c r="H500">
        <f t="shared" ca="1" si="7"/>
        <v>294</v>
      </c>
      <c r="I500">
        <v>28.95</v>
      </c>
      <c r="J500">
        <v>38.75</v>
      </c>
      <c r="K500" t="s">
        <v>982</v>
      </c>
      <c r="L500">
        <f>_INVESTEMENTDATA[[#This Row],[Investment_Amount]]*0.18</f>
        <v>747063.36</v>
      </c>
      <c r="M500">
        <f>_INVESTEMENTDATA[[#This Row],[Investment_Amount]]*0.18*25</f>
        <v>18676584</v>
      </c>
    </row>
    <row r="501" spans="1:13" x14ac:dyDescent="0.25">
      <c r="A501" t="s">
        <v>983</v>
      </c>
      <c r="B501" t="s">
        <v>17</v>
      </c>
      <c r="C501">
        <v>32</v>
      </c>
      <c r="D501" t="s">
        <v>12</v>
      </c>
      <c r="E501" t="s">
        <v>23</v>
      </c>
      <c r="F501" t="s">
        <v>14</v>
      </c>
      <c r="G501">
        <v>1151215</v>
      </c>
      <c r="H501">
        <f t="shared" ca="1" si="7"/>
        <v>224</v>
      </c>
      <c r="I501">
        <v>27.92</v>
      </c>
      <c r="J501">
        <v>9.06</v>
      </c>
      <c r="K501" t="s">
        <v>984</v>
      </c>
      <c r="L501">
        <f>_INVESTEMENTDATA[[#This Row],[Investment_Amount]]*0.18</f>
        <v>207218.69999999998</v>
      </c>
      <c r="M501">
        <f>_INVESTEMENTDATA[[#This Row],[Investment_Amount]]*0.18*25</f>
        <v>5180467.5</v>
      </c>
    </row>
    <row r="502" spans="1:13" x14ac:dyDescent="0.25">
      <c r="A502" t="s">
        <v>985</v>
      </c>
      <c r="B502" t="s">
        <v>17</v>
      </c>
      <c r="C502">
        <v>34</v>
      </c>
      <c r="D502" t="s">
        <v>46</v>
      </c>
      <c r="E502" t="s">
        <v>50</v>
      </c>
      <c r="F502" t="s">
        <v>47</v>
      </c>
      <c r="G502">
        <v>3329580</v>
      </c>
      <c r="H502">
        <f t="shared" ca="1" si="7"/>
        <v>77</v>
      </c>
      <c r="I502">
        <v>10.19</v>
      </c>
      <c r="J502">
        <v>-7.4</v>
      </c>
      <c r="K502" t="s">
        <v>986</v>
      </c>
      <c r="L502">
        <f>_INVESTEMENTDATA[[#This Row],[Investment_Amount]]*0.18</f>
        <v>599324.4</v>
      </c>
      <c r="M502">
        <f>_INVESTEMENTDATA[[#This Row],[Investment_Amount]]*0.18*25</f>
        <v>14983110</v>
      </c>
    </row>
    <row r="503" spans="1:13" x14ac:dyDescent="0.25">
      <c r="A503" t="s">
        <v>987</v>
      </c>
      <c r="B503" t="s">
        <v>11</v>
      </c>
      <c r="C503">
        <v>24</v>
      </c>
      <c r="D503" t="s">
        <v>12</v>
      </c>
      <c r="E503" t="s">
        <v>23</v>
      </c>
      <c r="F503" t="s">
        <v>30</v>
      </c>
      <c r="G503">
        <v>791301</v>
      </c>
      <c r="H503">
        <f t="shared" ca="1" si="7"/>
        <v>41</v>
      </c>
      <c r="I503">
        <v>8.06</v>
      </c>
      <c r="J503">
        <v>30.15</v>
      </c>
      <c r="K503" t="s">
        <v>988</v>
      </c>
      <c r="L503">
        <f>_INVESTEMENTDATA[[#This Row],[Investment_Amount]]*0.18</f>
        <v>142434.18</v>
      </c>
      <c r="M503">
        <f>_INVESTEMENTDATA[[#This Row],[Investment_Amount]]*0.18*25</f>
        <v>3560854.5</v>
      </c>
    </row>
    <row r="504" spans="1:13" x14ac:dyDescent="0.25">
      <c r="A504" t="s">
        <v>989</v>
      </c>
      <c r="B504" t="s">
        <v>11</v>
      </c>
      <c r="C504">
        <v>43</v>
      </c>
      <c r="D504" t="s">
        <v>46</v>
      </c>
      <c r="E504" t="s">
        <v>13</v>
      </c>
      <c r="F504" t="s">
        <v>35</v>
      </c>
      <c r="G504">
        <v>1866966</v>
      </c>
      <c r="H504">
        <f t="shared" ca="1" si="7"/>
        <v>272</v>
      </c>
      <c r="I504">
        <v>26.16</v>
      </c>
      <c r="J504">
        <v>-8.4600000000000009</v>
      </c>
      <c r="K504" t="s">
        <v>990</v>
      </c>
      <c r="L504">
        <f>_INVESTEMENTDATA[[#This Row],[Investment_Amount]]*0.18</f>
        <v>336053.88</v>
      </c>
      <c r="M504">
        <f>_INVESTEMENTDATA[[#This Row],[Investment_Amount]]*0.18*25</f>
        <v>8401347</v>
      </c>
    </row>
    <row r="505" spans="1:13" x14ac:dyDescent="0.25">
      <c r="A505" t="s">
        <v>991</v>
      </c>
      <c r="B505" t="s">
        <v>11</v>
      </c>
      <c r="C505">
        <v>63</v>
      </c>
      <c r="D505" t="s">
        <v>46</v>
      </c>
      <c r="E505" t="s">
        <v>13</v>
      </c>
      <c r="F505" t="s">
        <v>30</v>
      </c>
      <c r="G505">
        <v>4375339</v>
      </c>
      <c r="H505">
        <f t="shared" ca="1" si="7"/>
        <v>97</v>
      </c>
      <c r="I505">
        <v>16.87</v>
      </c>
      <c r="J505">
        <v>35.979999999999997</v>
      </c>
      <c r="K505" t="s">
        <v>992</v>
      </c>
      <c r="L505">
        <f>_INVESTEMENTDATA[[#This Row],[Investment_Amount]]*0.18</f>
        <v>787561.02</v>
      </c>
      <c r="M505">
        <f>_INVESTEMENTDATA[[#This Row],[Investment_Amount]]*0.18*25</f>
        <v>19689025.5</v>
      </c>
    </row>
    <row r="506" spans="1:13" x14ac:dyDescent="0.25">
      <c r="A506" t="s">
        <v>993</v>
      </c>
      <c r="B506" t="s">
        <v>17</v>
      </c>
      <c r="C506">
        <v>51</v>
      </c>
      <c r="D506" t="s">
        <v>46</v>
      </c>
      <c r="E506" t="s">
        <v>50</v>
      </c>
      <c r="F506" t="s">
        <v>41</v>
      </c>
      <c r="G506">
        <v>1568055</v>
      </c>
      <c r="H506">
        <f t="shared" ca="1" si="7"/>
        <v>209</v>
      </c>
      <c r="I506">
        <v>6.56</v>
      </c>
      <c r="J506">
        <v>-8.56</v>
      </c>
      <c r="K506" t="s">
        <v>755</v>
      </c>
      <c r="L506">
        <f>_INVESTEMENTDATA[[#This Row],[Investment_Amount]]*0.18</f>
        <v>282249.89999999997</v>
      </c>
      <c r="M506">
        <f>_INVESTEMENTDATA[[#This Row],[Investment_Amount]]*0.18*25</f>
        <v>7056247.4999999991</v>
      </c>
    </row>
    <row r="507" spans="1:13" x14ac:dyDescent="0.25">
      <c r="A507" t="s">
        <v>994</v>
      </c>
      <c r="B507" t="s">
        <v>11</v>
      </c>
      <c r="C507">
        <v>40</v>
      </c>
      <c r="D507" t="s">
        <v>12</v>
      </c>
      <c r="E507" t="s">
        <v>50</v>
      </c>
      <c r="F507" t="s">
        <v>20</v>
      </c>
      <c r="G507">
        <v>1712243</v>
      </c>
      <c r="H507">
        <f t="shared" ca="1" si="7"/>
        <v>249</v>
      </c>
      <c r="I507">
        <v>32.15</v>
      </c>
      <c r="J507">
        <v>28.85</v>
      </c>
      <c r="K507" t="s">
        <v>995</v>
      </c>
      <c r="L507">
        <f>_INVESTEMENTDATA[[#This Row],[Investment_Amount]]*0.18</f>
        <v>308203.74</v>
      </c>
      <c r="M507">
        <f>_INVESTEMENTDATA[[#This Row],[Investment_Amount]]*0.18*25</f>
        <v>7705093.5</v>
      </c>
    </row>
    <row r="508" spans="1:13" x14ac:dyDescent="0.25">
      <c r="A508" t="s">
        <v>996</v>
      </c>
      <c r="B508" t="s">
        <v>11</v>
      </c>
      <c r="C508">
        <v>25</v>
      </c>
      <c r="D508" t="s">
        <v>46</v>
      </c>
      <c r="E508" t="s">
        <v>50</v>
      </c>
      <c r="F508" t="s">
        <v>20</v>
      </c>
      <c r="G508">
        <v>4550409</v>
      </c>
      <c r="H508">
        <f t="shared" ca="1" si="7"/>
        <v>79</v>
      </c>
      <c r="I508">
        <v>17.760000000000002</v>
      </c>
      <c r="J508">
        <v>5.59</v>
      </c>
      <c r="K508" t="s">
        <v>997</v>
      </c>
      <c r="L508">
        <f>_INVESTEMENTDATA[[#This Row],[Investment_Amount]]*0.18</f>
        <v>819073.62</v>
      </c>
      <c r="M508">
        <f>_INVESTEMENTDATA[[#This Row],[Investment_Amount]]*0.18*25</f>
        <v>20476840.5</v>
      </c>
    </row>
    <row r="509" spans="1:13" x14ac:dyDescent="0.25">
      <c r="A509" t="s">
        <v>998</v>
      </c>
      <c r="B509" t="s">
        <v>17</v>
      </c>
      <c r="C509">
        <v>59</v>
      </c>
      <c r="D509" t="s">
        <v>18</v>
      </c>
      <c r="E509" t="s">
        <v>29</v>
      </c>
      <c r="F509" t="s">
        <v>20</v>
      </c>
      <c r="G509">
        <v>761347</v>
      </c>
      <c r="H509">
        <f t="shared" ca="1" si="7"/>
        <v>326</v>
      </c>
      <c r="I509">
        <v>12.71</v>
      </c>
      <c r="J509">
        <v>32.86</v>
      </c>
      <c r="K509" t="s">
        <v>247</v>
      </c>
      <c r="L509">
        <f>_INVESTEMENTDATA[[#This Row],[Investment_Amount]]*0.18</f>
        <v>137042.46</v>
      </c>
      <c r="M509">
        <f>_INVESTEMENTDATA[[#This Row],[Investment_Amount]]*0.18*25</f>
        <v>3426061.5</v>
      </c>
    </row>
    <row r="510" spans="1:13" x14ac:dyDescent="0.25">
      <c r="A510" t="s">
        <v>999</v>
      </c>
      <c r="B510" t="s">
        <v>17</v>
      </c>
      <c r="C510">
        <v>54</v>
      </c>
      <c r="D510" t="s">
        <v>46</v>
      </c>
      <c r="E510" t="s">
        <v>23</v>
      </c>
      <c r="F510" t="s">
        <v>35</v>
      </c>
      <c r="G510">
        <v>3466370</v>
      </c>
      <c r="H510">
        <f t="shared" ca="1" si="7"/>
        <v>51</v>
      </c>
      <c r="I510">
        <v>12.91</v>
      </c>
      <c r="J510">
        <v>29.99</v>
      </c>
      <c r="K510" t="s">
        <v>1000</v>
      </c>
      <c r="L510">
        <f>_INVESTEMENTDATA[[#This Row],[Investment_Amount]]*0.18</f>
        <v>623946.6</v>
      </c>
      <c r="M510">
        <f>_INVESTEMENTDATA[[#This Row],[Investment_Amount]]*0.18*25</f>
        <v>15598665</v>
      </c>
    </row>
    <row r="511" spans="1:13" x14ac:dyDescent="0.25">
      <c r="A511" t="s">
        <v>1001</v>
      </c>
      <c r="B511" t="s">
        <v>11</v>
      </c>
      <c r="C511">
        <v>30</v>
      </c>
      <c r="D511" t="s">
        <v>18</v>
      </c>
      <c r="E511" t="s">
        <v>29</v>
      </c>
      <c r="F511" t="s">
        <v>41</v>
      </c>
      <c r="G511">
        <v>4343851</v>
      </c>
      <c r="H511">
        <f t="shared" ca="1" si="7"/>
        <v>10</v>
      </c>
      <c r="I511">
        <v>16.21</v>
      </c>
      <c r="J511">
        <v>28.72</v>
      </c>
      <c r="K511" t="s">
        <v>285</v>
      </c>
      <c r="L511">
        <f>_INVESTEMENTDATA[[#This Row],[Investment_Amount]]*0.18</f>
        <v>781893.17999999993</v>
      </c>
      <c r="M511">
        <f>_INVESTEMENTDATA[[#This Row],[Investment_Amount]]*0.18*25</f>
        <v>19547329.5</v>
      </c>
    </row>
    <row r="512" spans="1:13" x14ac:dyDescent="0.25">
      <c r="A512" t="s">
        <v>1002</v>
      </c>
      <c r="B512" t="s">
        <v>17</v>
      </c>
      <c r="C512">
        <v>37</v>
      </c>
      <c r="D512" t="s">
        <v>46</v>
      </c>
      <c r="E512" t="s">
        <v>13</v>
      </c>
      <c r="F512" t="s">
        <v>35</v>
      </c>
      <c r="G512">
        <v>4323803</v>
      </c>
      <c r="H512">
        <f t="shared" ca="1" si="7"/>
        <v>179</v>
      </c>
      <c r="I512">
        <v>18.559999999999999</v>
      </c>
      <c r="J512">
        <v>2.75</v>
      </c>
      <c r="K512" t="s">
        <v>1003</v>
      </c>
      <c r="L512">
        <f>_INVESTEMENTDATA[[#This Row],[Investment_Amount]]*0.18</f>
        <v>778284.53999999992</v>
      </c>
      <c r="M512">
        <f>_INVESTEMENTDATA[[#This Row],[Investment_Amount]]*0.18*25</f>
        <v>19457113.499999996</v>
      </c>
    </row>
    <row r="513" spans="1:13" x14ac:dyDescent="0.25">
      <c r="A513" t="s">
        <v>1004</v>
      </c>
      <c r="B513" t="s">
        <v>11</v>
      </c>
      <c r="C513">
        <v>59</v>
      </c>
      <c r="D513" t="s">
        <v>38</v>
      </c>
      <c r="E513" t="s">
        <v>23</v>
      </c>
      <c r="F513" t="s">
        <v>41</v>
      </c>
      <c r="G513">
        <v>2858370</v>
      </c>
      <c r="H513">
        <f t="shared" ca="1" si="7"/>
        <v>349</v>
      </c>
      <c r="I513">
        <v>13.62</v>
      </c>
      <c r="J513">
        <v>18.600000000000001</v>
      </c>
      <c r="K513" t="s">
        <v>1005</v>
      </c>
      <c r="L513">
        <f>_INVESTEMENTDATA[[#This Row],[Investment_Amount]]*0.18</f>
        <v>514506.6</v>
      </c>
      <c r="M513">
        <f>_INVESTEMENTDATA[[#This Row],[Investment_Amount]]*0.18*25</f>
        <v>12862665</v>
      </c>
    </row>
    <row r="514" spans="1:13" x14ac:dyDescent="0.25">
      <c r="A514" t="s">
        <v>1006</v>
      </c>
      <c r="B514" t="s">
        <v>11</v>
      </c>
      <c r="C514">
        <v>53</v>
      </c>
      <c r="D514" t="s">
        <v>18</v>
      </c>
      <c r="E514" t="s">
        <v>23</v>
      </c>
      <c r="F514" t="s">
        <v>35</v>
      </c>
      <c r="G514">
        <v>3622025</v>
      </c>
      <c r="H514">
        <f t="shared" ref="H514:H577" ca="1" si="8">RANDBETWEEN(7,365)</f>
        <v>83</v>
      </c>
      <c r="I514">
        <v>21.7</v>
      </c>
      <c r="J514">
        <v>29.54</v>
      </c>
      <c r="K514" t="s">
        <v>1007</v>
      </c>
      <c r="L514">
        <f>_INVESTEMENTDATA[[#This Row],[Investment_Amount]]*0.18</f>
        <v>651964.5</v>
      </c>
      <c r="M514">
        <f>_INVESTEMENTDATA[[#This Row],[Investment_Amount]]*0.18*25</f>
        <v>16299112.5</v>
      </c>
    </row>
    <row r="515" spans="1:13" x14ac:dyDescent="0.25">
      <c r="A515" t="s">
        <v>1008</v>
      </c>
      <c r="B515" t="s">
        <v>11</v>
      </c>
      <c r="C515">
        <v>53</v>
      </c>
      <c r="D515" t="s">
        <v>28</v>
      </c>
      <c r="E515" t="s">
        <v>19</v>
      </c>
      <c r="F515" t="s">
        <v>35</v>
      </c>
      <c r="G515">
        <v>611287</v>
      </c>
      <c r="H515">
        <f t="shared" ca="1" si="8"/>
        <v>47</v>
      </c>
      <c r="I515">
        <v>32.99</v>
      </c>
      <c r="J515">
        <v>17.440000000000001</v>
      </c>
      <c r="K515" t="s">
        <v>1009</v>
      </c>
      <c r="L515">
        <f>_INVESTEMENTDATA[[#This Row],[Investment_Amount]]*0.18</f>
        <v>110031.65999999999</v>
      </c>
      <c r="M515">
        <f>_INVESTEMENTDATA[[#This Row],[Investment_Amount]]*0.18*25</f>
        <v>2750791.4999999995</v>
      </c>
    </row>
    <row r="516" spans="1:13" x14ac:dyDescent="0.25">
      <c r="A516" t="s">
        <v>1010</v>
      </c>
      <c r="B516" t="s">
        <v>17</v>
      </c>
      <c r="C516">
        <v>34</v>
      </c>
      <c r="D516" t="s">
        <v>46</v>
      </c>
      <c r="E516" t="s">
        <v>57</v>
      </c>
      <c r="F516" t="s">
        <v>47</v>
      </c>
      <c r="G516">
        <v>2059089</v>
      </c>
      <c r="H516">
        <f t="shared" ca="1" si="8"/>
        <v>74</v>
      </c>
      <c r="I516">
        <v>7.92</v>
      </c>
      <c r="J516">
        <v>20.5</v>
      </c>
      <c r="K516" t="s">
        <v>1011</v>
      </c>
      <c r="L516">
        <f>_INVESTEMENTDATA[[#This Row],[Investment_Amount]]*0.18</f>
        <v>370636.01999999996</v>
      </c>
      <c r="M516">
        <f>_INVESTEMENTDATA[[#This Row],[Investment_Amount]]*0.18*25</f>
        <v>9265900.4999999981</v>
      </c>
    </row>
    <row r="517" spans="1:13" x14ac:dyDescent="0.25">
      <c r="A517" t="s">
        <v>1012</v>
      </c>
      <c r="B517" t="s">
        <v>17</v>
      </c>
      <c r="C517">
        <v>57</v>
      </c>
      <c r="D517" t="s">
        <v>12</v>
      </c>
      <c r="E517" t="s">
        <v>57</v>
      </c>
      <c r="F517" t="s">
        <v>41</v>
      </c>
      <c r="G517">
        <v>1347305</v>
      </c>
      <c r="H517">
        <f t="shared" ca="1" si="8"/>
        <v>268</v>
      </c>
      <c r="I517">
        <v>31.7</v>
      </c>
      <c r="J517">
        <v>0.84</v>
      </c>
      <c r="K517" t="s">
        <v>1013</v>
      </c>
      <c r="L517">
        <f>_INVESTEMENTDATA[[#This Row],[Investment_Amount]]*0.18</f>
        <v>242514.9</v>
      </c>
      <c r="M517">
        <f>_INVESTEMENTDATA[[#This Row],[Investment_Amount]]*0.18*25</f>
        <v>6062872.5</v>
      </c>
    </row>
    <row r="518" spans="1:13" x14ac:dyDescent="0.25">
      <c r="A518" t="s">
        <v>1014</v>
      </c>
      <c r="B518" t="s">
        <v>17</v>
      </c>
      <c r="C518">
        <v>65</v>
      </c>
      <c r="D518" t="s">
        <v>46</v>
      </c>
      <c r="E518" t="s">
        <v>57</v>
      </c>
      <c r="F518" t="s">
        <v>14</v>
      </c>
      <c r="G518">
        <v>468378</v>
      </c>
      <c r="H518">
        <f t="shared" ca="1" si="8"/>
        <v>224</v>
      </c>
      <c r="I518">
        <v>9.92</v>
      </c>
      <c r="J518">
        <v>44.65</v>
      </c>
      <c r="K518" t="s">
        <v>1015</v>
      </c>
      <c r="L518">
        <f>_INVESTEMENTDATA[[#This Row],[Investment_Amount]]*0.18</f>
        <v>84308.04</v>
      </c>
      <c r="M518">
        <f>_INVESTEMENTDATA[[#This Row],[Investment_Amount]]*0.18*25</f>
        <v>2107701</v>
      </c>
    </row>
    <row r="519" spans="1:13" x14ac:dyDescent="0.25">
      <c r="A519" t="s">
        <v>1016</v>
      </c>
      <c r="B519" t="s">
        <v>17</v>
      </c>
      <c r="C519">
        <v>37</v>
      </c>
      <c r="D519" t="s">
        <v>28</v>
      </c>
      <c r="E519" t="s">
        <v>50</v>
      </c>
      <c r="F519" t="s">
        <v>41</v>
      </c>
      <c r="G519">
        <v>3006576</v>
      </c>
      <c r="H519">
        <f t="shared" ca="1" si="8"/>
        <v>87</v>
      </c>
      <c r="I519">
        <v>15.4</v>
      </c>
      <c r="J519">
        <v>44.77</v>
      </c>
      <c r="K519" t="s">
        <v>1017</v>
      </c>
      <c r="L519">
        <f>_INVESTEMENTDATA[[#This Row],[Investment_Amount]]*0.18</f>
        <v>541183.67999999993</v>
      </c>
      <c r="M519">
        <f>_INVESTEMENTDATA[[#This Row],[Investment_Amount]]*0.18*25</f>
        <v>13529591.999999998</v>
      </c>
    </row>
    <row r="520" spans="1:13" x14ac:dyDescent="0.25">
      <c r="A520" t="s">
        <v>1018</v>
      </c>
      <c r="B520" t="s">
        <v>11</v>
      </c>
      <c r="C520">
        <v>50</v>
      </c>
      <c r="D520" t="s">
        <v>28</v>
      </c>
      <c r="E520" t="s">
        <v>57</v>
      </c>
      <c r="F520" t="s">
        <v>41</v>
      </c>
      <c r="G520">
        <v>3283907</v>
      </c>
      <c r="H520">
        <f t="shared" ca="1" si="8"/>
        <v>107</v>
      </c>
      <c r="I520">
        <v>12.93</v>
      </c>
      <c r="J520">
        <v>33.340000000000003</v>
      </c>
      <c r="K520" t="s">
        <v>1019</v>
      </c>
      <c r="L520">
        <f>_INVESTEMENTDATA[[#This Row],[Investment_Amount]]*0.18</f>
        <v>591103.26</v>
      </c>
      <c r="M520">
        <f>_INVESTEMENTDATA[[#This Row],[Investment_Amount]]*0.18*25</f>
        <v>14777581.5</v>
      </c>
    </row>
    <row r="521" spans="1:13" x14ac:dyDescent="0.25">
      <c r="A521" t="s">
        <v>1020</v>
      </c>
      <c r="B521" t="s">
        <v>11</v>
      </c>
      <c r="C521">
        <v>32</v>
      </c>
      <c r="D521" t="s">
        <v>46</v>
      </c>
      <c r="E521" t="s">
        <v>13</v>
      </c>
      <c r="F521" t="s">
        <v>41</v>
      </c>
      <c r="G521">
        <v>3842014</v>
      </c>
      <c r="H521">
        <f t="shared" ca="1" si="8"/>
        <v>159</v>
      </c>
      <c r="I521">
        <v>24.32</v>
      </c>
      <c r="J521">
        <v>38.18</v>
      </c>
      <c r="K521" t="s">
        <v>1021</v>
      </c>
      <c r="L521">
        <f>_INVESTEMENTDATA[[#This Row],[Investment_Amount]]*0.18</f>
        <v>691562.52</v>
      </c>
      <c r="M521">
        <f>_INVESTEMENTDATA[[#This Row],[Investment_Amount]]*0.18*25</f>
        <v>17289063</v>
      </c>
    </row>
    <row r="522" spans="1:13" x14ac:dyDescent="0.25">
      <c r="A522" t="s">
        <v>1022</v>
      </c>
      <c r="B522" t="s">
        <v>17</v>
      </c>
      <c r="C522">
        <v>59</v>
      </c>
      <c r="D522" t="s">
        <v>38</v>
      </c>
      <c r="E522" t="s">
        <v>29</v>
      </c>
      <c r="F522" t="s">
        <v>47</v>
      </c>
      <c r="G522">
        <v>2476680</v>
      </c>
      <c r="H522">
        <f t="shared" ca="1" si="8"/>
        <v>64</v>
      </c>
      <c r="I522">
        <v>9.16</v>
      </c>
      <c r="J522">
        <v>9.5500000000000007</v>
      </c>
      <c r="K522" t="s">
        <v>1023</v>
      </c>
      <c r="L522">
        <f>_INVESTEMENTDATA[[#This Row],[Investment_Amount]]*0.18</f>
        <v>445802.39999999997</v>
      </c>
      <c r="M522">
        <f>_INVESTEMENTDATA[[#This Row],[Investment_Amount]]*0.18*25</f>
        <v>11145060</v>
      </c>
    </row>
    <row r="523" spans="1:13" x14ac:dyDescent="0.25">
      <c r="A523" t="s">
        <v>1024</v>
      </c>
      <c r="B523" t="s">
        <v>11</v>
      </c>
      <c r="C523">
        <v>51</v>
      </c>
      <c r="D523" t="s">
        <v>46</v>
      </c>
      <c r="E523" t="s">
        <v>13</v>
      </c>
      <c r="F523" t="s">
        <v>14</v>
      </c>
      <c r="G523">
        <v>830124</v>
      </c>
      <c r="H523">
        <f t="shared" ca="1" si="8"/>
        <v>322</v>
      </c>
      <c r="I523">
        <v>17.059999999999999</v>
      </c>
      <c r="J523">
        <v>16.850000000000001</v>
      </c>
      <c r="K523" t="s">
        <v>1025</v>
      </c>
      <c r="L523">
        <f>_INVESTEMENTDATA[[#This Row],[Investment_Amount]]*0.18</f>
        <v>149422.32</v>
      </c>
      <c r="M523">
        <f>_INVESTEMENTDATA[[#This Row],[Investment_Amount]]*0.18*25</f>
        <v>3735558</v>
      </c>
    </row>
    <row r="524" spans="1:13" x14ac:dyDescent="0.25">
      <c r="A524" t="s">
        <v>1026</v>
      </c>
      <c r="B524" t="s">
        <v>11</v>
      </c>
      <c r="C524">
        <v>46</v>
      </c>
      <c r="D524" t="s">
        <v>12</v>
      </c>
      <c r="E524" t="s">
        <v>13</v>
      </c>
      <c r="F524" t="s">
        <v>14</v>
      </c>
      <c r="G524">
        <v>1377316</v>
      </c>
      <c r="H524">
        <f t="shared" ca="1" si="8"/>
        <v>100</v>
      </c>
      <c r="I524">
        <v>22.01</v>
      </c>
      <c r="J524">
        <v>6.53</v>
      </c>
      <c r="K524" t="s">
        <v>1027</v>
      </c>
      <c r="L524">
        <f>_INVESTEMENTDATA[[#This Row],[Investment_Amount]]*0.18</f>
        <v>247916.88</v>
      </c>
      <c r="M524">
        <f>_INVESTEMENTDATA[[#This Row],[Investment_Amount]]*0.18*25</f>
        <v>6197922</v>
      </c>
    </row>
    <row r="525" spans="1:13" x14ac:dyDescent="0.25">
      <c r="A525" t="s">
        <v>1028</v>
      </c>
      <c r="B525" t="s">
        <v>11</v>
      </c>
      <c r="C525">
        <v>32</v>
      </c>
      <c r="D525" t="s">
        <v>18</v>
      </c>
      <c r="E525" t="s">
        <v>13</v>
      </c>
      <c r="F525" t="s">
        <v>35</v>
      </c>
      <c r="G525">
        <v>980153</v>
      </c>
      <c r="H525">
        <f t="shared" ca="1" si="8"/>
        <v>74</v>
      </c>
      <c r="I525">
        <v>29.08</v>
      </c>
      <c r="J525">
        <v>-9.94</v>
      </c>
      <c r="K525" t="s">
        <v>149</v>
      </c>
      <c r="L525">
        <f>_INVESTEMENTDATA[[#This Row],[Investment_Amount]]*0.18</f>
        <v>176427.53999999998</v>
      </c>
      <c r="M525">
        <f>_INVESTEMENTDATA[[#This Row],[Investment_Amount]]*0.18*25</f>
        <v>4410688.4999999991</v>
      </c>
    </row>
    <row r="526" spans="1:13" x14ac:dyDescent="0.25">
      <c r="A526" t="s">
        <v>1029</v>
      </c>
      <c r="B526" t="s">
        <v>17</v>
      </c>
      <c r="C526">
        <v>24</v>
      </c>
      <c r="D526" t="s">
        <v>46</v>
      </c>
      <c r="E526" t="s">
        <v>50</v>
      </c>
      <c r="F526" t="s">
        <v>14</v>
      </c>
      <c r="G526">
        <v>3368375</v>
      </c>
      <c r="H526">
        <f t="shared" ca="1" si="8"/>
        <v>231</v>
      </c>
      <c r="I526">
        <v>32.380000000000003</v>
      </c>
      <c r="J526">
        <v>26.91</v>
      </c>
      <c r="K526" t="s">
        <v>1030</v>
      </c>
      <c r="L526">
        <f>_INVESTEMENTDATA[[#This Row],[Investment_Amount]]*0.18</f>
        <v>606307.5</v>
      </c>
      <c r="M526">
        <f>_INVESTEMENTDATA[[#This Row],[Investment_Amount]]*0.18*25</f>
        <v>15157687.5</v>
      </c>
    </row>
    <row r="527" spans="1:13" x14ac:dyDescent="0.25">
      <c r="A527" t="s">
        <v>1031</v>
      </c>
      <c r="B527" t="s">
        <v>11</v>
      </c>
      <c r="C527">
        <v>40</v>
      </c>
      <c r="D527" t="s">
        <v>46</v>
      </c>
      <c r="E527" t="s">
        <v>50</v>
      </c>
      <c r="F527" t="s">
        <v>35</v>
      </c>
      <c r="G527">
        <v>1525024</v>
      </c>
      <c r="H527">
        <f t="shared" ca="1" si="8"/>
        <v>137</v>
      </c>
      <c r="I527">
        <v>12.45</v>
      </c>
      <c r="J527">
        <v>28.98</v>
      </c>
      <c r="K527" t="s">
        <v>1032</v>
      </c>
      <c r="L527">
        <f>_INVESTEMENTDATA[[#This Row],[Investment_Amount]]*0.18</f>
        <v>274504.32000000001</v>
      </c>
      <c r="M527">
        <f>_INVESTEMENTDATA[[#This Row],[Investment_Amount]]*0.18*25</f>
        <v>6862608</v>
      </c>
    </row>
    <row r="528" spans="1:13" x14ac:dyDescent="0.25">
      <c r="A528" t="s">
        <v>1033</v>
      </c>
      <c r="B528" t="s">
        <v>11</v>
      </c>
      <c r="C528">
        <v>52</v>
      </c>
      <c r="D528" t="s">
        <v>12</v>
      </c>
      <c r="E528" t="s">
        <v>50</v>
      </c>
      <c r="F528" t="s">
        <v>35</v>
      </c>
      <c r="G528">
        <v>2591795</v>
      </c>
      <c r="H528">
        <f t="shared" ca="1" si="8"/>
        <v>293</v>
      </c>
      <c r="I528">
        <v>33.6</v>
      </c>
      <c r="J528">
        <v>1.78</v>
      </c>
      <c r="K528" t="s">
        <v>1034</v>
      </c>
      <c r="L528">
        <f>_INVESTEMENTDATA[[#This Row],[Investment_Amount]]*0.18</f>
        <v>466523.1</v>
      </c>
      <c r="M528">
        <f>_INVESTEMENTDATA[[#This Row],[Investment_Amount]]*0.18*25</f>
        <v>11663077.5</v>
      </c>
    </row>
    <row r="529" spans="1:13" x14ac:dyDescent="0.25">
      <c r="A529" t="s">
        <v>1035</v>
      </c>
      <c r="B529" t="s">
        <v>17</v>
      </c>
      <c r="C529">
        <v>56</v>
      </c>
      <c r="D529" t="s">
        <v>12</v>
      </c>
      <c r="E529" t="s">
        <v>19</v>
      </c>
      <c r="F529" t="s">
        <v>30</v>
      </c>
      <c r="G529">
        <v>2979888</v>
      </c>
      <c r="H529">
        <f t="shared" ca="1" si="8"/>
        <v>84</v>
      </c>
      <c r="I529">
        <v>24.45</v>
      </c>
      <c r="J529">
        <v>24.66</v>
      </c>
      <c r="K529" t="s">
        <v>1036</v>
      </c>
      <c r="L529">
        <f>_INVESTEMENTDATA[[#This Row],[Investment_Amount]]*0.18</f>
        <v>536379.84</v>
      </c>
      <c r="M529">
        <f>_INVESTEMENTDATA[[#This Row],[Investment_Amount]]*0.18*25</f>
        <v>13409496</v>
      </c>
    </row>
    <row r="530" spans="1:13" x14ac:dyDescent="0.25">
      <c r="A530" t="s">
        <v>1037</v>
      </c>
      <c r="B530" t="s">
        <v>17</v>
      </c>
      <c r="C530">
        <v>60</v>
      </c>
      <c r="D530" t="s">
        <v>28</v>
      </c>
      <c r="E530" t="s">
        <v>29</v>
      </c>
      <c r="F530" t="s">
        <v>20</v>
      </c>
      <c r="G530">
        <v>3730488</v>
      </c>
      <c r="H530">
        <f t="shared" ca="1" si="8"/>
        <v>26</v>
      </c>
      <c r="I530">
        <v>15.98</v>
      </c>
      <c r="J530">
        <v>-1.5</v>
      </c>
      <c r="K530" t="s">
        <v>1038</v>
      </c>
      <c r="L530">
        <f>_INVESTEMENTDATA[[#This Row],[Investment_Amount]]*0.18</f>
        <v>671487.84</v>
      </c>
      <c r="M530">
        <f>_INVESTEMENTDATA[[#This Row],[Investment_Amount]]*0.18*25</f>
        <v>16787196</v>
      </c>
    </row>
    <row r="531" spans="1:13" x14ac:dyDescent="0.25">
      <c r="A531" t="s">
        <v>1039</v>
      </c>
      <c r="B531" t="s">
        <v>11</v>
      </c>
      <c r="C531">
        <v>25</v>
      </c>
      <c r="D531" t="s">
        <v>18</v>
      </c>
      <c r="E531" t="s">
        <v>23</v>
      </c>
      <c r="F531" t="s">
        <v>41</v>
      </c>
      <c r="G531">
        <v>2790538</v>
      </c>
      <c r="H531">
        <f t="shared" ca="1" si="8"/>
        <v>94</v>
      </c>
      <c r="I531">
        <v>32.630000000000003</v>
      </c>
      <c r="J531">
        <v>39.18</v>
      </c>
      <c r="K531" t="s">
        <v>1040</v>
      </c>
      <c r="L531">
        <f>_INVESTEMENTDATA[[#This Row],[Investment_Amount]]*0.18</f>
        <v>502296.83999999997</v>
      </c>
      <c r="M531">
        <f>_INVESTEMENTDATA[[#This Row],[Investment_Amount]]*0.18*25</f>
        <v>12557421</v>
      </c>
    </row>
    <row r="532" spans="1:13" x14ac:dyDescent="0.25">
      <c r="A532" t="s">
        <v>1041</v>
      </c>
      <c r="B532" t="s">
        <v>11</v>
      </c>
      <c r="C532">
        <v>55</v>
      </c>
      <c r="D532" t="s">
        <v>46</v>
      </c>
      <c r="E532" t="s">
        <v>13</v>
      </c>
      <c r="F532" t="s">
        <v>47</v>
      </c>
      <c r="G532">
        <v>4144205</v>
      </c>
      <c r="H532">
        <f t="shared" ca="1" si="8"/>
        <v>127</v>
      </c>
      <c r="I532">
        <v>9.4</v>
      </c>
      <c r="J532">
        <v>13.69</v>
      </c>
      <c r="K532" t="s">
        <v>1042</v>
      </c>
      <c r="L532">
        <f>_INVESTEMENTDATA[[#This Row],[Investment_Amount]]*0.18</f>
        <v>745956.9</v>
      </c>
      <c r="M532">
        <f>_INVESTEMENTDATA[[#This Row],[Investment_Amount]]*0.18*25</f>
        <v>18648922.5</v>
      </c>
    </row>
    <row r="533" spans="1:13" x14ac:dyDescent="0.25">
      <c r="A533" t="s">
        <v>1043</v>
      </c>
      <c r="B533" t="s">
        <v>11</v>
      </c>
      <c r="C533">
        <v>60</v>
      </c>
      <c r="D533" t="s">
        <v>12</v>
      </c>
      <c r="E533" t="s">
        <v>57</v>
      </c>
      <c r="F533" t="s">
        <v>20</v>
      </c>
      <c r="G533">
        <v>3599472</v>
      </c>
      <c r="H533">
        <f t="shared" ca="1" si="8"/>
        <v>323</v>
      </c>
      <c r="I533">
        <v>32.74</v>
      </c>
      <c r="J533">
        <v>12.04</v>
      </c>
      <c r="K533" t="s">
        <v>141</v>
      </c>
      <c r="L533">
        <f>_INVESTEMENTDATA[[#This Row],[Investment_Amount]]*0.18</f>
        <v>647904.96</v>
      </c>
      <c r="M533">
        <f>_INVESTEMENTDATA[[#This Row],[Investment_Amount]]*0.18*25</f>
        <v>16197624</v>
      </c>
    </row>
    <row r="534" spans="1:13" x14ac:dyDescent="0.25">
      <c r="A534" t="s">
        <v>1044</v>
      </c>
      <c r="B534" t="s">
        <v>11</v>
      </c>
      <c r="C534">
        <v>26</v>
      </c>
      <c r="D534" t="s">
        <v>28</v>
      </c>
      <c r="E534" t="s">
        <v>29</v>
      </c>
      <c r="F534" t="s">
        <v>47</v>
      </c>
      <c r="G534">
        <v>2030228</v>
      </c>
      <c r="H534">
        <f t="shared" ca="1" si="8"/>
        <v>177</v>
      </c>
      <c r="I534">
        <v>5.96</v>
      </c>
      <c r="J534">
        <v>38.07</v>
      </c>
      <c r="K534" t="s">
        <v>1045</v>
      </c>
      <c r="L534">
        <f>_INVESTEMENTDATA[[#This Row],[Investment_Amount]]*0.18</f>
        <v>365441.04</v>
      </c>
      <c r="M534">
        <f>_INVESTEMENTDATA[[#This Row],[Investment_Amount]]*0.18*25</f>
        <v>9136026</v>
      </c>
    </row>
    <row r="535" spans="1:13" x14ac:dyDescent="0.25">
      <c r="A535" t="s">
        <v>1046</v>
      </c>
      <c r="B535" t="s">
        <v>11</v>
      </c>
      <c r="C535">
        <v>44</v>
      </c>
      <c r="D535" t="s">
        <v>18</v>
      </c>
      <c r="E535" t="s">
        <v>13</v>
      </c>
      <c r="F535" t="s">
        <v>20</v>
      </c>
      <c r="G535">
        <v>3543797</v>
      </c>
      <c r="H535">
        <f t="shared" ca="1" si="8"/>
        <v>186</v>
      </c>
      <c r="I535">
        <v>20.62</v>
      </c>
      <c r="J535">
        <v>9.44</v>
      </c>
      <c r="K535" t="s">
        <v>204</v>
      </c>
      <c r="L535">
        <f>_INVESTEMENTDATA[[#This Row],[Investment_Amount]]*0.18</f>
        <v>637883.46</v>
      </c>
      <c r="M535">
        <f>_INVESTEMENTDATA[[#This Row],[Investment_Amount]]*0.18*25</f>
        <v>15947086.5</v>
      </c>
    </row>
    <row r="536" spans="1:13" x14ac:dyDescent="0.25">
      <c r="A536" t="s">
        <v>1047</v>
      </c>
      <c r="B536" t="s">
        <v>11</v>
      </c>
      <c r="C536">
        <v>57</v>
      </c>
      <c r="D536" t="s">
        <v>12</v>
      </c>
      <c r="E536" t="s">
        <v>13</v>
      </c>
      <c r="F536" t="s">
        <v>35</v>
      </c>
      <c r="G536">
        <v>290361</v>
      </c>
      <c r="H536">
        <f t="shared" ca="1" si="8"/>
        <v>308</v>
      </c>
      <c r="I536">
        <v>32.72</v>
      </c>
      <c r="J536">
        <v>5.81</v>
      </c>
      <c r="K536" t="s">
        <v>113</v>
      </c>
      <c r="L536">
        <f>_INVESTEMENTDATA[[#This Row],[Investment_Amount]]*0.18</f>
        <v>52264.979999999996</v>
      </c>
      <c r="M536">
        <f>_INVESTEMENTDATA[[#This Row],[Investment_Amount]]*0.18*25</f>
        <v>1306624.5</v>
      </c>
    </row>
    <row r="537" spans="1:13" x14ac:dyDescent="0.25">
      <c r="A537" t="s">
        <v>1048</v>
      </c>
      <c r="B537" t="s">
        <v>11</v>
      </c>
      <c r="C537">
        <v>24</v>
      </c>
      <c r="D537" t="s">
        <v>18</v>
      </c>
      <c r="E537" t="s">
        <v>13</v>
      </c>
      <c r="F537" t="s">
        <v>35</v>
      </c>
      <c r="G537">
        <v>3627499</v>
      </c>
      <c r="H537">
        <f t="shared" ca="1" si="8"/>
        <v>271</v>
      </c>
      <c r="I537">
        <v>29.03</v>
      </c>
      <c r="J537">
        <v>38.76</v>
      </c>
      <c r="K537" t="s">
        <v>42</v>
      </c>
      <c r="L537">
        <f>_INVESTEMENTDATA[[#This Row],[Investment_Amount]]*0.18</f>
        <v>652949.81999999995</v>
      </c>
      <c r="M537">
        <f>_INVESTEMENTDATA[[#This Row],[Investment_Amount]]*0.18*25</f>
        <v>16323745.499999998</v>
      </c>
    </row>
    <row r="538" spans="1:13" x14ac:dyDescent="0.25">
      <c r="A538" t="s">
        <v>1049</v>
      </c>
      <c r="B538" t="s">
        <v>11</v>
      </c>
      <c r="C538">
        <v>50</v>
      </c>
      <c r="D538" t="s">
        <v>38</v>
      </c>
      <c r="E538" t="s">
        <v>19</v>
      </c>
      <c r="F538" t="s">
        <v>30</v>
      </c>
      <c r="G538">
        <v>793565</v>
      </c>
      <c r="H538">
        <f t="shared" ca="1" si="8"/>
        <v>16</v>
      </c>
      <c r="I538">
        <v>26.61</v>
      </c>
      <c r="J538">
        <v>12.38</v>
      </c>
      <c r="K538" t="s">
        <v>1050</v>
      </c>
      <c r="L538">
        <f>_INVESTEMENTDATA[[#This Row],[Investment_Amount]]*0.18</f>
        <v>142841.69999999998</v>
      </c>
      <c r="M538">
        <f>_INVESTEMENTDATA[[#This Row],[Investment_Amount]]*0.18*25</f>
        <v>3571042.4999999995</v>
      </c>
    </row>
    <row r="539" spans="1:13" x14ac:dyDescent="0.25">
      <c r="A539" t="s">
        <v>1051</v>
      </c>
      <c r="B539" t="s">
        <v>11</v>
      </c>
      <c r="C539">
        <v>27</v>
      </c>
      <c r="D539" t="s">
        <v>46</v>
      </c>
      <c r="E539" t="s">
        <v>29</v>
      </c>
      <c r="F539" t="s">
        <v>41</v>
      </c>
      <c r="G539">
        <v>4126605</v>
      </c>
      <c r="H539">
        <f t="shared" ca="1" si="8"/>
        <v>24</v>
      </c>
      <c r="I539">
        <v>14.95</v>
      </c>
      <c r="J539">
        <v>31.61</v>
      </c>
      <c r="K539" t="s">
        <v>1052</v>
      </c>
      <c r="L539">
        <f>_INVESTEMENTDATA[[#This Row],[Investment_Amount]]*0.18</f>
        <v>742788.9</v>
      </c>
      <c r="M539">
        <f>_INVESTEMENTDATA[[#This Row],[Investment_Amount]]*0.18*25</f>
        <v>18569722.5</v>
      </c>
    </row>
    <row r="540" spans="1:13" x14ac:dyDescent="0.25">
      <c r="A540" t="s">
        <v>1053</v>
      </c>
      <c r="B540" t="s">
        <v>17</v>
      </c>
      <c r="C540">
        <v>32</v>
      </c>
      <c r="D540" t="s">
        <v>18</v>
      </c>
      <c r="E540" t="s">
        <v>57</v>
      </c>
      <c r="F540" t="s">
        <v>35</v>
      </c>
      <c r="G540">
        <v>3425960</v>
      </c>
      <c r="H540">
        <f t="shared" ca="1" si="8"/>
        <v>150</v>
      </c>
      <c r="I540">
        <v>22.24</v>
      </c>
      <c r="J540">
        <v>41.55</v>
      </c>
      <c r="K540" t="s">
        <v>1054</v>
      </c>
      <c r="L540">
        <f>_INVESTEMENTDATA[[#This Row],[Investment_Amount]]*0.18</f>
        <v>616672.79999999993</v>
      </c>
      <c r="M540">
        <f>_INVESTEMENTDATA[[#This Row],[Investment_Amount]]*0.18*25</f>
        <v>15416819.999999998</v>
      </c>
    </row>
    <row r="541" spans="1:13" x14ac:dyDescent="0.25">
      <c r="A541" t="s">
        <v>1055</v>
      </c>
      <c r="B541" t="s">
        <v>17</v>
      </c>
      <c r="C541">
        <v>22</v>
      </c>
      <c r="D541" t="s">
        <v>28</v>
      </c>
      <c r="E541" t="s">
        <v>13</v>
      </c>
      <c r="F541" t="s">
        <v>41</v>
      </c>
      <c r="G541">
        <v>2510472</v>
      </c>
      <c r="H541">
        <f t="shared" ca="1" si="8"/>
        <v>297</v>
      </c>
      <c r="I541">
        <v>17.399999999999999</v>
      </c>
      <c r="J541">
        <v>41.85</v>
      </c>
      <c r="K541" t="s">
        <v>1056</v>
      </c>
      <c r="L541">
        <f>_INVESTEMENTDATA[[#This Row],[Investment_Amount]]*0.18</f>
        <v>451884.95999999996</v>
      </c>
      <c r="M541">
        <f>_INVESTEMENTDATA[[#This Row],[Investment_Amount]]*0.18*25</f>
        <v>11297124</v>
      </c>
    </row>
    <row r="542" spans="1:13" x14ac:dyDescent="0.25">
      <c r="A542" t="s">
        <v>1057</v>
      </c>
      <c r="B542" t="s">
        <v>17</v>
      </c>
      <c r="C542">
        <v>47</v>
      </c>
      <c r="D542" t="s">
        <v>46</v>
      </c>
      <c r="E542" t="s">
        <v>13</v>
      </c>
      <c r="F542" t="s">
        <v>20</v>
      </c>
      <c r="G542">
        <v>918457</v>
      </c>
      <c r="H542">
        <f t="shared" ca="1" si="8"/>
        <v>9</v>
      </c>
      <c r="I542">
        <v>19.72</v>
      </c>
      <c r="J542">
        <v>15.24</v>
      </c>
      <c r="K542" t="s">
        <v>1058</v>
      </c>
      <c r="L542">
        <f>_INVESTEMENTDATA[[#This Row],[Investment_Amount]]*0.18</f>
        <v>165322.25999999998</v>
      </c>
      <c r="M542">
        <f>_INVESTEMENTDATA[[#This Row],[Investment_Amount]]*0.18*25</f>
        <v>4133056.4999999995</v>
      </c>
    </row>
    <row r="543" spans="1:13" x14ac:dyDescent="0.25">
      <c r="A543" t="s">
        <v>1059</v>
      </c>
      <c r="B543" t="s">
        <v>17</v>
      </c>
      <c r="C543">
        <v>29</v>
      </c>
      <c r="D543" t="s">
        <v>18</v>
      </c>
      <c r="E543" t="s">
        <v>19</v>
      </c>
      <c r="F543" t="s">
        <v>41</v>
      </c>
      <c r="G543">
        <v>4153711</v>
      </c>
      <c r="H543">
        <f t="shared" ca="1" si="8"/>
        <v>260</v>
      </c>
      <c r="I543">
        <v>9</v>
      </c>
      <c r="J543">
        <v>-1.39</v>
      </c>
      <c r="K543" t="s">
        <v>1060</v>
      </c>
      <c r="L543">
        <f>_INVESTEMENTDATA[[#This Row],[Investment_Amount]]*0.18</f>
        <v>747667.98</v>
      </c>
      <c r="M543">
        <f>_INVESTEMENTDATA[[#This Row],[Investment_Amount]]*0.18*25</f>
        <v>18691699.5</v>
      </c>
    </row>
    <row r="544" spans="1:13" x14ac:dyDescent="0.25">
      <c r="A544" t="s">
        <v>1061</v>
      </c>
      <c r="B544" t="s">
        <v>11</v>
      </c>
      <c r="C544">
        <v>24</v>
      </c>
      <c r="D544" t="s">
        <v>38</v>
      </c>
      <c r="E544" t="s">
        <v>50</v>
      </c>
      <c r="F544" t="s">
        <v>47</v>
      </c>
      <c r="G544">
        <v>1581390</v>
      </c>
      <c r="H544">
        <f t="shared" ca="1" si="8"/>
        <v>256</v>
      </c>
      <c r="I544">
        <v>5.37</v>
      </c>
      <c r="J544">
        <v>33.5</v>
      </c>
      <c r="K544" t="s">
        <v>1011</v>
      </c>
      <c r="L544">
        <f>_INVESTEMENTDATA[[#This Row],[Investment_Amount]]*0.18</f>
        <v>284650.2</v>
      </c>
      <c r="M544">
        <f>_INVESTEMENTDATA[[#This Row],[Investment_Amount]]*0.18*25</f>
        <v>7116255</v>
      </c>
    </row>
    <row r="545" spans="1:13" x14ac:dyDescent="0.25">
      <c r="A545" t="s">
        <v>1062</v>
      </c>
      <c r="B545" t="s">
        <v>17</v>
      </c>
      <c r="C545">
        <v>50</v>
      </c>
      <c r="D545" t="s">
        <v>46</v>
      </c>
      <c r="E545" t="s">
        <v>50</v>
      </c>
      <c r="F545" t="s">
        <v>20</v>
      </c>
      <c r="G545">
        <v>4520925</v>
      </c>
      <c r="H545">
        <f t="shared" ca="1" si="8"/>
        <v>84</v>
      </c>
      <c r="I545">
        <v>27.1</v>
      </c>
      <c r="J545">
        <v>13.18</v>
      </c>
      <c r="K545" t="s">
        <v>1063</v>
      </c>
      <c r="L545">
        <f>_INVESTEMENTDATA[[#This Row],[Investment_Amount]]*0.18</f>
        <v>813766.5</v>
      </c>
      <c r="M545">
        <f>_INVESTEMENTDATA[[#This Row],[Investment_Amount]]*0.18*25</f>
        <v>20344162.5</v>
      </c>
    </row>
    <row r="546" spans="1:13" x14ac:dyDescent="0.25">
      <c r="A546" t="s">
        <v>1064</v>
      </c>
      <c r="B546" t="s">
        <v>11</v>
      </c>
      <c r="C546">
        <v>35</v>
      </c>
      <c r="D546" t="s">
        <v>12</v>
      </c>
      <c r="E546" t="s">
        <v>57</v>
      </c>
      <c r="F546" t="s">
        <v>30</v>
      </c>
      <c r="G546">
        <v>4932168</v>
      </c>
      <c r="H546">
        <f t="shared" ca="1" si="8"/>
        <v>142</v>
      </c>
      <c r="I546">
        <v>6.22</v>
      </c>
      <c r="J546">
        <v>18.920000000000002</v>
      </c>
      <c r="K546" t="s">
        <v>308</v>
      </c>
      <c r="L546">
        <f>_INVESTEMENTDATA[[#This Row],[Investment_Amount]]*0.18</f>
        <v>887790.24</v>
      </c>
      <c r="M546">
        <f>_INVESTEMENTDATA[[#This Row],[Investment_Amount]]*0.18*25</f>
        <v>22194756</v>
      </c>
    </row>
    <row r="547" spans="1:13" x14ac:dyDescent="0.25">
      <c r="A547" t="s">
        <v>1065</v>
      </c>
      <c r="B547" t="s">
        <v>11</v>
      </c>
      <c r="C547">
        <v>55</v>
      </c>
      <c r="D547" t="s">
        <v>38</v>
      </c>
      <c r="E547" t="s">
        <v>57</v>
      </c>
      <c r="F547" t="s">
        <v>47</v>
      </c>
      <c r="G547">
        <v>3231475</v>
      </c>
      <c r="H547">
        <f t="shared" ca="1" si="8"/>
        <v>320</v>
      </c>
      <c r="I547">
        <v>17.22</v>
      </c>
      <c r="J547">
        <v>-3.77</v>
      </c>
      <c r="K547" t="s">
        <v>879</v>
      </c>
      <c r="L547">
        <f>_INVESTEMENTDATA[[#This Row],[Investment_Amount]]*0.18</f>
        <v>581665.5</v>
      </c>
      <c r="M547">
        <f>_INVESTEMENTDATA[[#This Row],[Investment_Amount]]*0.18*25</f>
        <v>14541637.5</v>
      </c>
    </row>
    <row r="548" spans="1:13" x14ac:dyDescent="0.25">
      <c r="A548" t="s">
        <v>1066</v>
      </c>
      <c r="B548" t="s">
        <v>11</v>
      </c>
      <c r="C548">
        <v>62</v>
      </c>
      <c r="D548" t="s">
        <v>46</v>
      </c>
      <c r="E548" t="s">
        <v>13</v>
      </c>
      <c r="F548" t="s">
        <v>30</v>
      </c>
      <c r="G548">
        <v>2417468</v>
      </c>
      <c r="H548">
        <f t="shared" ca="1" si="8"/>
        <v>267</v>
      </c>
      <c r="I548">
        <v>34.79</v>
      </c>
      <c r="J548">
        <v>8.81</v>
      </c>
      <c r="K548" t="s">
        <v>1042</v>
      </c>
      <c r="L548">
        <f>_INVESTEMENTDATA[[#This Row],[Investment_Amount]]*0.18</f>
        <v>435144.24</v>
      </c>
      <c r="M548">
        <f>_INVESTEMENTDATA[[#This Row],[Investment_Amount]]*0.18*25</f>
        <v>10878606</v>
      </c>
    </row>
    <row r="549" spans="1:13" x14ac:dyDescent="0.25">
      <c r="A549" t="s">
        <v>1067</v>
      </c>
      <c r="B549" t="s">
        <v>11</v>
      </c>
      <c r="C549">
        <v>39</v>
      </c>
      <c r="D549" t="s">
        <v>12</v>
      </c>
      <c r="E549" t="s">
        <v>50</v>
      </c>
      <c r="F549" t="s">
        <v>47</v>
      </c>
      <c r="G549">
        <v>253393</v>
      </c>
      <c r="H549">
        <f t="shared" ca="1" si="8"/>
        <v>110</v>
      </c>
      <c r="I549">
        <v>7.77</v>
      </c>
      <c r="J549">
        <v>30.03</v>
      </c>
      <c r="K549" t="s">
        <v>1068</v>
      </c>
      <c r="L549">
        <f>_INVESTEMENTDATA[[#This Row],[Investment_Amount]]*0.18</f>
        <v>45610.74</v>
      </c>
      <c r="M549">
        <f>_INVESTEMENTDATA[[#This Row],[Investment_Amount]]*0.18*25</f>
        <v>1140268.5</v>
      </c>
    </row>
    <row r="550" spans="1:13" x14ac:dyDescent="0.25">
      <c r="A550" t="s">
        <v>1069</v>
      </c>
      <c r="B550" t="s">
        <v>17</v>
      </c>
      <c r="C550">
        <v>52</v>
      </c>
      <c r="D550" t="s">
        <v>46</v>
      </c>
      <c r="E550" t="s">
        <v>29</v>
      </c>
      <c r="F550" t="s">
        <v>30</v>
      </c>
      <c r="G550">
        <v>2747997</v>
      </c>
      <c r="H550">
        <f t="shared" ca="1" si="8"/>
        <v>318</v>
      </c>
      <c r="I550">
        <v>19.670000000000002</v>
      </c>
      <c r="J550">
        <v>15.32</v>
      </c>
      <c r="K550" t="s">
        <v>1070</v>
      </c>
      <c r="L550">
        <f>_INVESTEMENTDATA[[#This Row],[Investment_Amount]]*0.18</f>
        <v>494639.45999999996</v>
      </c>
      <c r="M550">
        <f>_INVESTEMENTDATA[[#This Row],[Investment_Amount]]*0.18*25</f>
        <v>12365986.5</v>
      </c>
    </row>
    <row r="551" spans="1:13" x14ac:dyDescent="0.25">
      <c r="A551" t="s">
        <v>1071</v>
      </c>
      <c r="B551" t="s">
        <v>17</v>
      </c>
      <c r="C551">
        <v>25</v>
      </c>
      <c r="D551" t="s">
        <v>12</v>
      </c>
      <c r="E551" t="s">
        <v>23</v>
      </c>
      <c r="F551" t="s">
        <v>20</v>
      </c>
      <c r="G551">
        <v>304681</v>
      </c>
      <c r="H551">
        <f t="shared" ca="1" si="8"/>
        <v>204</v>
      </c>
      <c r="I551">
        <v>34.75</v>
      </c>
      <c r="J551">
        <v>44.31</v>
      </c>
      <c r="K551" t="s">
        <v>1072</v>
      </c>
      <c r="L551">
        <f>_INVESTEMENTDATA[[#This Row],[Investment_Amount]]*0.18</f>
        <v>54842.579999999994</v>
      </c>
      <c r="M551">
        <f>_INVESTEMENTDATA[[#This Row],[Investment_Amount]]*0.18*25</f>
        <v>1371064.4999999998</v>
      </c>
    </row>
    <row r="552" spans="1:13" x14ac:dyDescent="0.25">
      <c r="A552" t="s">
        <v>1073</v>
      </c>
      <c r="B552" t="s">
        <v>17</v>
      </c>
      <c r="C552">
        <v>39</v>
      </c>
      <c r="D552" t="s">
        <v>18</v>
      </c>
      <c r="E552" t="s">
        <v>23</v>
      </c>
      <c r="F552" t="s">
        <v>47</v>
      </c>
      <c r="G552">
        <v>540837</v>
      </c>
      <c r="H552">
        <f t="shared" ca="1" si="8"/>
        <v>281</v>
      </c>
      <c r="I552">
        <v>19.38</v>
      </c>
      <c r="J552">
        <v>44.01</v>
      </c>
      <c r="K552" t="s">
        <v>1074</v>
      </c>
      <c r="L552">
        <f>_INVESTEMENTDATA[[#This Row],[Investment_Amount]]*0.18</f>
        <v>97350.66</v>
      </c>
      <c r="M552">
        <f>_INVESTEMENTDATA[[#This Row],[Investment_Amount]]*0.18*25</f>
        <v>2433766.5</v>
      </c>
    </row>
    <row r="553" spans="1:13" x14ac:dyDescent="0.25">
      <c r="A553" t="s">
        <v>1075</v>
      </c>
      <c r="B553" t="s">
        <v>11</v>
      </c>
      <c r="C553">
        <v>47</v>
      </c>
      <c r="D553" t="s">
        <v>12</v>
      </c>
      <c r="E553" t="s">
        <v>19</v>
      </c>
      <c r="F553" t="s">
        <v>14</v>
      </c>
      <c r="G553">
        <v>550241</v>
      </c>
      <c r="H553">
        <f t="shared" ca="1" si="8"/>
        <v>322</v>
      </c>
      <c r="I553">
        <v>5.0999999999999996</v>
      </c>
      <c r="J553">
        <v>-7.98</v>
      </c>
      <c r="K553" t="s">
        <v>1076</v>
      </c>
      <c r="L553">
        <f>_INVESTEMENTDATA[[#This Row],[Investment_Amount]]*0.18</f>
        <v>99043.37999999999</v>
      </c>
      <c r="M553">
        <f>_INVESTEMENTDATA[[#This Row],[Investment_Amount]]*0.18*25</f>
        <v>2476084.4999999995</v>
      </c>
    </row>
    <row r="554" spans="1:13" x14ac:dyDescent="0.25">
      <c r="A554" t="s">
        <v>1077</v>
      </c>
      <c r="B554" t="s">
        <v>17</v>
      </c>
      <c r="C554">
        <v>47</v>
      </c>
      <c r="D554" t="s">
        <v>18</v>
      </c>
      <c r="E554" t="s">
        <v>29</v>
      </c>
      <c r="F554" t="s">
        <v>35</v>
      </c>
      <c r="G554">
        <v>2666851</v>
      </c>
      <c r="H554">
        <f t="shared" ca="1" si="8"/>
        <v>272</v>
      </c>
      <c r="I554">
        <v>5.62</v>
      </c>
      <c r="J554">
        <v>31.25</v>
      </c>
      <c r="K554" t="s">
        <v>1078</v>
      </c>
      <c r="L554">
        <f>_INVESTEMENTDATA[[#This Row],[Investment_Amount]]*0.18</f>
        <v>480033.18</v>
      </c>
      <c r="M554">
        <f>_INVESTEMENTDATA[[#This Row],[Investment_Amount]]*0.18*25</f>
        <v>12000829.5</v>
      </c>
    </row>
    <row r="555" spans="1:13" x14ac:dyDescent="0.25">
      <c r="A555" t="s">
        <v>1079</v>
      </c>
      <c r="B555" t="s">
        <v>11</v>
      </c>
      <c r="C555">
        <v>47</v>
      </c>
      <c r="D555" t="s">
        <v>28</v>
      </c>
      <c r="E555" t="s">
        <v>13</v>
      </c>
      <c r="F555" t="s">
        <v>20</v>
      </c>
      <c r="G555">
        <v>1302336</v>
      </c>
      <c r="H555">
        <f t="shared" ca="1" si="8"/>
        <v>128</v>
      </c>
      <c r="I555">
        <v>29.88</v>
      </c>
      <c r="J555">
        <v>25.52</v>
      </c>
      <c r="K555" t="s">
        <v>1080</v>
      </c>
      <c r="L555">
        <f>_INVESTEMENTDATA[[#This Row],[Investment_Amount]]*0.18</f>
        <v>234420.47999999998</v>
      </c>
      <c r="M555">
        <f>_INVESTEMENTDATA[[#This Row],[Investment_Amount]]*0.18*25</f>
        <v>5860512</v>
      </c>
    </row>
    <row r="556" spans="1:13" x14ac:dyDescent="0.25">
      <c r="A556" t="s">
        <v>1081</v>
      </c>
      <c r="B556" t="s">
        <v>17</v>
      </c>
      <c r="C556">
        <v>38</v>
      </c>
      <c r="D556" t="s">
        <v>46</v>
      </c>
      <c r="E556" t="s">
        <v>23</v>
      </c>
      <c r="F556" t="s">
        <v>47</v>
      </c>
      <c r="G556">
        <v>2925123</v>
      </c>
      <c r="H556">
        <f t="shared" ca="1" si="8"/>
        <v>222</v>
      </c>
      <c r="I556">
        <v>24.87</v>
      </c>
      <c r="J556">
        <v>6.75</v>
      </c>
      <c r="K556" t="s">
        <v>1082</v>
      </c>
      <c r="L556">
        <f>_INVESTEMENTDATA[[#This Row],[Investment_Amount]]*0.18</f>
        <v>526522.14</v>
      </c>
      <c r="M556">
        <f>_INVESTEMENTDATA[[#This Row],[Investment_Amount]]*0.18*25</f>
        <v>13163053.5</v>
      </c>
    </row>
    <row r="557" spans="1:13" x14ac:dyDescent="0.25">
      <c r="A557" t="s">
        <v>1083</v>
      </c>
      <c r="B557" t="s">
        <v>11</v>
      </c>
      <c r="C557">
        <v>64</v>
      </c>
      <c r="D557" t="s">
        <v>18</v>
      </c>
      <c r="E557" t="s">
        <v>19</v>
      </c>
      <c r="F557" t="s">
        <v>41</v>
      </c>
      <c r="G557">
        <v>4402585</v>
      </c>
      <c r="H557">
        <f t="shared" ca="1" si="8"/>
        <v>32</v>
      </c>
      <c r="I557">
        <v>32.590000000000003</v>
      </c>
      <c r="J557">
        <v>-9.39</v>
      </c>
      <c r="K557" t="s">
        <v>1084</v>
      </c>
      <c r="L557">
        <f>_INVESTEMENTDATA[[#This Row],[Investment_Amount]]*0.18</f>
        <v>792465.29999999993</v>
      </c>
      <c r="M557">
        <f>_INVESTEMENTDATA[[#This Row],[Investment_Amount]]*0.18*25</f>
        <v>19811632.5</v>
      </c>
    </row>
    <row r="558" spans="1:13" x14ac:dyDescent="0.25">
      <c r="A558" t="s">
        <v>1085</v>
      </c>
      <c r="B558" t="s">
        <v>17</v>
      </c>
      <c r="C558">
        <v>64</v>
      </c>
      <c r="D558" t="s">
        <v>18</v>
      </c>
      <c r="E558" t="s">
        <v>19</v>
      </c>
      <c r="F558" t="s">
        <v>14</v>
      </c>
      <c r="G558">
        <v>4624713</v>
      </c>
      <c r="H558">
        <f t="shared" ca="1" si="8"/>
        <v>52</v>
      </c>
      <c r="I558">
        <v>10.41</v>
      </c>
      <c r="J558">
        <v>-8.36</v>
      </c>
      <c r="K558" t="s">
        <v>1086</v>
      </c>
      <c r="L558">
        <f>_INVESTEMENTDATA[[#This Row],[Investment_Amount]]*0.18</f>
        <v>832448.34</v>
      </c>
      <c r="M558">
        <f>_INVESTEMENTDATA[[#This Row],[Investment_Amount]]*0.18*25</f>
        <v>20811208.5</v>
      </c>
    </row>
    <row r="559" spans="1:13" x14ac:dyDescent="0.25">
      <c r="A559" t="s">
        <v>1087</v>
      </c>
      <c r="B559" t="s">
        <v>17</v>
      </c>
      <c r="C559">
        <v>27</v>
      </c>
      <c r="D559" t="s">
        <v>46</v>
      </c>
      <c r="E559" t="s">
        <v>29</v>
      </c>
      <c r="F559" t="s">
        <v>35</v>
      </c>
      <c r="G559">
        <v>1325728</v>
      </c>
      <c r="H559">
        <f t="shared" ca="1" si="8"/>
        <v>190</v>
      </c>
      <c r="I559">
        <v>9.31</v>
      </c>
      <c r="J559">
        <v>33.96</v>
      </c>
      <c r="K559" t="s">
        <v>1088</v>
      </c>
      <c r="L559">
        <f>_INVESTEMENTDATA[[#This Row],[Investment_Amount]]*0.18</f>
        <v>238631.03999999998</v>
      </c>
      <c r="M559">
        <f>_INVESTEMENTDATA[[#This Row],[Investment_Amount]]*0.18*25</f>
        <v>5965775.9999999991</v>
      </c>
    </row>
    <row r="560" spans="1:13" x14ac:dyDescent="0.25">
      <c r="A560" t="s">
        <v>1089</v>
      </c>
      <c r="B560" t="s">
        <v>11</v>
      </c>
      <c r="C560">
        <v>27</v>
      </c>
      <c r="D560" t="s">
        <v>46</v>
      </c>
      <c r="E560" t="s">
        <v>13</v>
      </c>
      <c r="F560" t="s">
        <v>41</v>
      </c>
      <c r="G560">
        <v>1653499</v>
      </c>
      <c r="H560">
        <f t="shared" ca="1" si="8"/>
        <v>77</v>
      </c>
      <c r="I560">
        <v>9.86</v>
      </c>
      <c r="J560">
        <v>-3.54</v>
      </c>
      <c r="K560" t="s">
        <v>1090</v>
      </c>
      <c r="L560">
        <f>_INVESTEMENTDATA[[#This Row],[Investment_Amount]]*0.18</f>
        <v>297629.82</v>
      </c>
      <c r="M560">
        <f>_INVESTEMENTDATA[[#This Row],[Investment_Amount]]*0.18*25</f>
        <v>7440745.5</v>
      </c>
    </row>
    <row r="561" spans="1:13" x14ac:dyDescent="0.25">
      <c r="A561" t="s">
        <v>1091</v>
      </c>
      <c r="B561" t="s">
        <v>11</v>
      </c>
      <c r="C561">
        <v>36</v>
      </c>
      <c r="D561" t="s">
        <v>12</v>
      </c>
      <c r="E561" t="s">
        <v>29</v>
      </c>
      <c r="F561" t="s">
        <v>41</v>
      </c>
      <c r="G561">
        <v>856334</v>
      </c>
      <c r="H561">
        <f t="shared" ca="1" si="8"/>
        <v>116</v>
      </c>
      <c r="I561">
        <v>30.79</v>
      </c>
      <c r="J561">
        <v>3.74</v>
      </c>
      <c r="K561" t="s">
        <v>176</v>
      </c>
      <c r="L561">
        <f>_INVESTEMENTDATA[[#This Row],[Investment_Amount]]*0.18</f>
        <v>154140.12</v>
      </c>
      <c r="M561">
        <f>_INVESTEMENTDATA[[#This Row],[Investment_Amount]]*0.18*25</f>
        <v>3853503</v>
      </c>
    </row>
    <row r="562" spans="1:13" x14ac:dyDescent="0.25">
      <c r="A562" t="s">
        <v>1092</v>
      </c>
      <c r="B562" t="s">
        <v>11</v>
      </c>
      <c r="C562">
        <v>41</v>
      </c>
      <c r="D562" t="s">
        <v>18</v>
      </c>
      <c r="E562" t="s">
        <v>50</v>
      </c>
      <c r="F562" t="s">
        <v>47</v>
      </c>
      <c r="G562">
        <v>3399617</v>
      </c>
      <c r="H562">
        <f t="shared" ca="1" si="8"/>
        <v>165</v>
      </c>
      <c r="I562">
        <v>28.62</v>
      </c>
      <c r="J562">
        <v>5.75</v>
      </c>
      <c r="K562" t="s">
        <v>1093</v>
      </c>
      <c r="L562">
        <f>_INVESTEMENTDATA[[#This Row],[Investment_Amount]]*0.18</f>
        <v>611931.05999999994</v>
      </c>
      <c r="M562">
        <f>_INVESTEMENTDATA[[#This Row],[Investment_Amount]]*0.18*25</f>
        <v>15298276.499999998</v>
      </c>
    </row>
    <row r="563" spans="1:13" x14ac:dyDescent="0.25">
      <c r="A563" t="s">
        <v>1094</v>
      </c>
      <c r="B563" t="s">
        <v>17</v>
      </c>
      <c r="C563">
        <v>40</v>
      </c>
      <c r="D563" t="s">
        <v>18</v>
      </c>
      <c r="E563" t="s">
        <v>50</v>
      </c>
      <c r="F563" t="s">
        <v>30</v>
      </c>
      <c r="G563">
        <v>3672766</v>
      </c>
      <c r="H563">
        <f t="shared" ca="1" si="8"/>
        <v>247</v>
      </c>
      <c r="I563">
        <v>11.95</v>
      </c>
      <c r="J563">
        <v>-3.84</v>
      </c>
      <c r="K563" t="s">
        <v>1095</v>
      </c>
      <c r="L563">
        <f>_INVESTEMENTDATA[[#This Row],[Investment_Amount]]*0.18</f>
        <v>661097.88</v>
      </c>
      <c r="M563">
        <f>_INVESTEMENTDATA[[#This Row],[Investment_Amount]]*0.18*25</f>
        <v>16527447</v>
      </c>
    </row>
    <row r="564" spans="1:13" x14ac:dyDescent="0.25">
      <c r="A564" t="s">
        <v>1096</v>
      </c>
      <c r="B564" t="s">
        <v>11</v>
      </c>
      <c r="C564">
        <v>62</v>
      </c>
      <c r="D564" t="s">
        <v>46</v>
      </c>
      <c r="E564" t="s">
        <v>23</v>
      </c>
      <c r="F564" t="s">
        <v>20</v>
      </c>
      <c r="G564">
        <v>1877421</v>
      </c>
      <c r="H564">
        <f t="shared" ca="1" si="8"/>
        <v>88</v>
      </c>
      <c r="I564">
        <v>27.46</v>
      </c>
      <c r="J564">
        <v>-3.92</v>
      </c>
      <c r="K564" t="s">
        <v>24</v>
      </c>
      <c r="L564">
        <f>_INVESTEMENTDATA[[#This Row],[Investment_Amount]]*0.18</f>
        <v>337935.77999999997</v>
      </c>
      <c r="M564">
        <f>_INVESTEMENTDATA[[#This Row],[Investment_Amount]]*0.18*25</f>
        <v>8448394.5</v>
      </c>
    </row>
    <row r="565" spans="1:13" x14ac:dyDescent="0.25">
      <c r="A565" t="s">
        <v>1097</v>
      </c>
      <c r="B565" t="s">
        <v>17</v>
      </c>
      <c r="C565">
        <v>61</v>
      </c>
      <c r="D565" t="s">
        <v>38</v>
      </c>
      <c r="E565" t="s">
        <v>50</v>
      </c>
      <c r="F565" t="s">
        <v>35</v>
      </c>
      <c r="G565">
        <v>1998500</v>
      </c>
      <c r="H565">
        <f t="shared" ca="1" si="8"/>
        <v>255</v>
      </c>
      <c r="I565">
        <v>34.33</v>
      </c>
      <c r="J565">
        <v>29.15</v>
      </c>
      <c r="K565" t="s">
        <v>98</v>
      </c>
      <c r="L565">
        <f>_INVESTEMENTDATA[[#This Row],[Investment_Amount]]*0.18</f>
        <v>359730</v>
      </c>
      <c r="M565">
        <f>_INVESTEMENTDATA[[#This Row],[Investment_Amount]]*0.18*25</f>
        <v>8993250</v>
      </c>
    </row>
    <row r="566" spans="1:13" x14ac:dyDescent="0.25">
      <c r="A566" t="s">
        <v>1098</v>
      </c>
      <c r="B566" t="s">
        <v>17</v>
      </c>
      <c r="C566">
        <v>30</v>
      </c>
      <c r="D566" t="s">
        <v>38</v>
      </c>
      <c r="E566" t="s">
        <v>13</v>
      </c>
      <c r="F566" t="s">
        <v>14</v>
      </c>
      <c r="G566">
        <v>816194</v>
      </c>
      <c r="H566">
        <f t="shared" ca="1" si="8"/>
        <v>54</v>
      </c>
      <c r="I566">
        <v>26.91</v>
      </c>
      <c r="J566">
        <v>39.450000000000003</v>
      </c>
      <c r="K566" t="s">
        <v>1099</v>
      </c>
      <c r="L566">
        <f>_INVESTEMENTDATA[[#This Row],[Investment_Amount]]*0.18</f>
        <v>146914.91999999998</v>
      </c>
      <c r="M566">
        <f>_INVESTEMENTDATA[[#This Row],[Investment_Amount]]*0.18*25</f>
        <v>3672872.9999999995</v>
      </c>
    </row>
    <row r="567" spans="1:13" x14ac:dyDescent="0.25">
      <c r="A567" t="s">
        <v>1100</v>
      </c>
      <c r="B567" t="s">
        <v>17</v>
      </c>
      <c r="C567">
        <v>60</v>
      </c>
      <c r="D567" t="s">
        <v>28</v>
      </c>
      <c r="E567" t="s">
        <v>50</v>
      </c>
      <c r="F567" t="s">
        <v>30</v>
      </c>
      <c r="G567">
        <v>3101840</v>
      </c>
      <c r="H567">
        <f t="shared" ca="1" si="8"/>
        <v>273</v>
      </c>
      <c r="I567">
        <v>26.43</v>
      </c>
      <c r="J567">
        <v>39.729999999999997</v>
      </c>
      <c r="K567" t="s">
        <v>1101</v>
      </c>
      <c r="L567">
        <f>_INVESTEMENTDATA[[#This Row],[Investment_Amount]]*0.18</f>
        <v>558331.19999999995</v>
      </c>
      <c r="M567">
        <f>_INVESTEMENTDATA[[#This Row],[Investment_Amount]]*0.18*25</f>
        <v>13958279.999999998</v>
      </c>
    </row>
    <row r="568" spans="1:13" x14ac:dyDescent="0.25">
      <c r="A568" t="s">
        <v>1102</v>
      </c>
      <c r="B568" t="s">
        <v>11</v>
      </c>
      <c r="C568">
        <v>49</v>
      </c>
      <c r="D568" t="s">
        <v>18</v>
      </c>
      <c r="E568" t="s">
        <v>19</v>
      </c>
      <c r="F568" t="s">
        <v>47</v>
      </c>
      <c r="G568">
        <v>1637292</v>
      </c>
      <c r="H568">
        <f t="shared" ca="1" si="8"/>
        <v>137</v>
      </c>
      <c r="I568">
        <v>26.03</v>
      </c>
      <c r="J568">
        <v>35.86</v>
      </c>
      <c r="K568" t="s">
        <v>1103</v>
      </c>
      <c r="L568">
        <f>_INVESTEMENTDATA[[#This Row],[Investment_Amount]]*0.18</f>
        <v>294712.56</v>
      </c>
      <c r="M568">
        <f>_INVESTEMENTDATA[[#This Row],[Investment_Amount]]*0.18*25</f>
        <v>7367814</v>
      </c>
    </row>
    <row r="569" spans="1:13" x14ac:dyDescent="0.25">
      <c r="A569" t="s">
        <v>1104</v>
      </c>
      <c r="B569" t="s">
        <v>17</v>
      </c>
      <c r="C569">
        <v>32</v>
      </c>
      <c r="D569" t="s">
        <v>38</v>
      </c>
      <c r="E569" t="s">
        <v>13</v>
      </c>
      <c r="F569" t="s">
        <v>35</v>
      </c>
      <c r="G569">
        <v>3804259</v>
      </c>
      <c r="H569">
        <f t="shared" ca="1" si="8"/>
        <v>166</v>
      </c>
      <c r="I569">
        <v>7.75</v>
      </c>
      <c r="J569">
        <v>5.55</v>
      </c>
      <c r="K569" t="s">
        <v>1105</v>
      </c>
      <c r="L569">
        <f>_INVESTEMENTDATA[[#This Row],[Investment_Amount]]*0.18</f>
        <v>684766.62</v>
      </c>
      <c r="M569">
        <f>_INVESTEMENTDATA[[#This Row],[Investment_Amount]]*0.18*25</f>
        <v>17119165.5</v>
      </c>
    </row>
    <row r="570" spans="1:13" x14ac:dyDescent="0.25">
      <c r="A570" t="s">
        <v>1106</v>
      </c>
      <c r="B570" t="s">
        <v>11</v>
      </c>
      <c r="C570">
        <v>50</v>
      </c>
      <c r="D570" t="s">
        <v>38</v>
      </c>
      <c r="E570" t="s">
        <v>19</v>
      </c>
      <c r="F570" t="s">
        <v>35</v>
      </c>
      <c r="G570">
        <v>4219427</v>
      </c>
      <c r="H570">
        <f t="shared" ca="1" si="8"/>
        <v>222</v>
      </c>
      <c r="I570">
        <v>31.31</v>
      </c>
      <c r="J570">
        <v>8.65</v>
      </c>
      <c r="K570" t="s">
        <v>1107</v>
      </c>
      <c r="L570">
        <f>_INVESTEMENTDATA[[#This Row],[Investment_Amount]]*0.18</f>
        <v>759496.86</v>
      </c>
      <c r="M570">
        <f>_INVESTEMENTDATA[[#This Row],[Investment_Amount]]*0.18*25</f>
        <v>18987421.5</v>
      </c>
    </row>
    <row r="571" spans="1:13" x14ac:dyDescent="0.25">
      <c r="A571" t="s">
        <v>1108</v>
      </c>
      <c r="B571" t="s">
        <v>11</v>
      </c>
      <c r="C571">
        <v>45</v>
      </c>
      <c r="D571" t="s">
        <v>38</v>
      </c>
      <c r="E571" t="s">
        <v>23</v>
      </c>
      <c r="F571" t="s">
        <v>47</v>
      </c>
      <c r="G571">
        <v>3874528</v>
      </c>
      <c r="H571">
        <f t="shared" ca="1" si="8"/>
        <v>139</v>
      </c>
      <c r="I571">
        <v>17.54</v>
      </c>
      <c r="J571">
        <v>19.86</v>
      </c>
      <c r="K571" t="s">
        <v>388</v>
      </c>
      <c r="L571">
        <f>_INVESTEMENTDATA[[#This Row],[Investment_Amount]]*0.18</f>
        <v>697415.03999999992</v>
      </c>
      <c r="M571">
        <f>_INVESTEMENTDATA[[#This Row],[Investment_Amount]]*0.18*25</f>
        <v>17435375.999999996</v>
      </c>
    </row>
    <row r="572" spans="1:13" x14ac:dyDescent="0.25">
      <c r="A572" t="s">
        <v>1109</v>
      </c>
      <c r="B572" t="s">
        <v>17</v>
      </c>
      <c r="C572">
        <v>62</v>
      </c>
      <c r="D572" t="s">
        <v>38</v>
      </c>
      <c r="E572" t="s">
        <v>19</v>
      </c>
      <c r="F572" t="s">
        <v>47</v>
      </c>
      <c r="G572">
        <v>109740</v>
      </c>
      <c r="H572">
        <f t="shared" ca="1" si="8"/>
        <v>142</v>
      </c>
      <c r="I572">
        <v>23.48</v>
      </c>
      <c r="J572">
        <v>20.77</v>
      </c>
      <c r="K572" t="s">
        <v>1110</v>
      </c>
      <c r="L572">
        <f>_INVESTEMENTDATA[[#This Row],[Investment_Amount]]*0.18</f>
        <v>19753.2</v>
      </c>
      <c r="M572">
        <f>_INVESTEMENTDATA[[#This Row],[Investment_Amount]]*0.18*25</f>
        <v>493830</v>
      </c>
    </row>
    <row r="573" spans="1:13" x14ac:dyDescent="0.25">
      <c r="A573" t="s">
        <v>1111</v>
      </c>
      <c r="B573" t="s">
        <v>17</v>
      </c>
      <c r="C573">
        <v>33</v>
      </c>
      <c r="D573" t="s">
        <v>46</v>
      </c>
      <c r="E573" t="s">
        <v>23</v>
      </c>
      <c r="F573" t="s">
        <v>47</v>
      </c>
      <c r="G573">
        <v>1954018</v>
      </c>
      <c r="H573">
        <f t="shared" ca="1" si="8"/>
        <v>54</v>
      </c>
      <c r="I573">
        <v>23.76</v>
      </c>
      <c r="J573">
        <v>3.19</v>
      </c>
      <c r="K573" t="s">
        <v>439</v>
      </c>
      <c r="L573">
        <f>_INVESTEMENTDATA[[#This Row],[Investment_Amount]]*0.18</f>
        <v>351723.24</v>
      </c>
      <c r="M573">
        <f>_INVESTEMENTDATA[[#This Row],[Investment_Amount]]*0.18*25</f>
        <v>8793081</v>
      </c>
    </row>
    <row r="574" spans="1:13" x14ac:dyDescent="0.25">
      <c r="A574" t="s">
        <v>1112</v>
      </c>
      <c r="B574" t="s">
        <v>11</v>
      </c>
      <c r="C574">
        <v>38</v>
      </c>
      <c r="D574" t="s">
        <v>46</v>
      </c>
      <c r="E574" t="s">
        <v>19</v>
      </c>
      <c r="F574" t="s">
        <v>20</v>
      </c>
      <c r="G574">
        <v>2650246</v>
      </c>
      <c r="H574">
        <f t="shared" ca="1" si="8"/>
        <v>90</v>
      </c>
      <c r="I574">
        <v>22.28</v>
      </c>
      <c r="J574">
        <v>1.29</v>
      </c>
      <c r="K574" t="s">
        <v>1113</v>
      </c>
      <c r="L574">
        <f>_INVESTEMENTDATA[[#This Row],[Investment_Amount]]*0.18</f>
        <v>477044.27999999997</v>
      </c>
      <c r="M574">
        <f>_INVESTEMENTDATA[[#This Row],[Investment_Amount]]*0.18*25</f>
        <v>11926107</v>
      </c>
    </row>
    <row r="575" spans="1:13" x14ac:dyDescent="0.25">
      <c r="A575" t="s">
        <v>1114</v>
      </c>
      <c r="B575" t="s">
        <v>17</v>
      </c>
      <c r="C575">
        <v>47</v>
      </c>
      <c r="D575" t="s">
        <v>38</v>
      </c>
      <c r="E575" t="s">
        <v>57</v>
      </c>
      <c r="F575" t="s">
        <v>20</v>
      </c>
      <c r="G575">
        <v>2625434</v>
      </c>
      <c r="H575">
        <f t="shared" ca="1" si="8"/>
        <v>138</v>
      </c>
      <c r="I575">
        <v>15.85</v>
      </c>
      <c r="J575">
        <v>4.78</v>
      </c>
      <c r="K575" t="s">
        <v>1115</v>
      </c>
      <c r="L575">
        <f>_INVESTEMENTDATA[[#This Row],[Investment_Amount]]*0.18</f>
        <v>472578.12</v>
      </c>
      <c r="M575">
        <f>_INVESTEMENTDATA[[#This Row],[Investment_Amount]]*0.18*25</f>
        <v>11814453</v>
      </c>
    </row>
    <row r="576" spans="1:13" x14ac:dyDescent="0.25">
      <c r="A576" t="s">
        <v>1116</v>
      </c>
      <c r="B576" t="s">
        <v>11</v>
      </c>
      <c r="C576">
        <v>21</v>
      </c>
      <c r="D576" t="s">
        <v>28</v>
      </c>
      <c r="E576" t="s">
        <v>50</v>
      </c>
      <c r="F576" t="s">
        <v>35</v>
      </c>
      <c r="G576">
        <v>1246552</v>
      </c>
      <c r="H576">
        <f t="shared" ca="1" si="8"/>
        <v>251</v>
      </c>
      <c r="I576">
        <v>28.77</v>
      </c>
      <c r="J576">
        <v>40.44</v>
      </c>
      <c r="K576" t="s">
        <v>700</v>
      </c>
      <c r="L576">
        <f>_INVESTEMENTDATA[[#This Row],[Investment_Amount]]*0.18</f>
        <v>224379.36</v>
      </c>
      <c r="M576">
        <f>_INVESTEMENTDATA[[#This Row],[Investment_Amount]]*0.18*25</f>
        <v>5609484</v>
      </c>
    </row>
    <row r="577" spans="1:13" x14ac:dyDescent="0.25">
      <c r="A577" t="s">
        <v>1117</v>
      </c>
      <c r="B577" t="s">
        <v>17</v>
      </c>
      <c r="C577">
        <v>46</v>
      </c>
      <c r="D577" t="s">
        <v>38</v>
      </c>
      <c r="E577" t="s">
        <v>50</v>
      </c>
      <c r="F577" t="s">
        <v>30</v>
      </c>
      <c r="G577">
        <v>4516143</v>
      </c>
      <c r="H577">
        <f t="shared" ca="1" si="8"/>
        <v>64</v>
      </c>
      <c r="I577">
        <v>9.3000000000000007</v>
      </c>
      <c r="J577">
        <v>32.76</v>
      </c>
      <c r="K577" t="s">
        <v>1118</v>
      </c>
      <c r="L577">
        <f>_INVESTEMENTDATA[[#This Row],[Investment_Amount]]*0.18</f>
        <v>812905.74</v>
      </c>
      <c r="M577">
        <f>_INVESTEMENTDATA[[#This Row],[Investment_Amount]]*0.18*25</f>
        <v>20322643.5</v>
      </c>
    </row>
    <row r="578" spans="1:13" x14ac:dyDescent="0.25">
      <c r="A578" t="s">
        <v>1119</v>
      </c>
      <c r="B578" t="s">
        <v>17</v>
      </c>
      <c r="C578">
        <v>47</v>
      </c>
      <c r="D578" t="s">
        <v>38</v>
      </c>
      <c r="E578" t="s">
        <v>13</v>
      </c>
      <c r="F578" t="s">
        <v>35</v>
      </c>
      <c r="G578">
        <v>880870</v>
      </c>
      <c r="H578">
        <f t="shared" ref="H578:H641" ca="1" si="9">RANDBETWEEN(7,365)</f>
        <v>340</v>
      </c>
      <c r="I578">
        <v>13.88</v>
      </c>
      <c r="J578">
        <v>41.46</v>
      </c>
      <c r="K578" t="s">
        <v>988</v>
      </c>
      <c r="L578">
        <f>_INVESTEMENTDATA[[#This Row],[Investment_Amount]]*0.18</f>
        <v>158556.6</v>
      </c>
      <c r="M578">
        <f>_INVESTEMENTDATA[[#This Row],[Investment_Amount]]*0.18*25</f>
        <v>3963915</v>
      </c>
    </row>
    <row r="579" spans="1:13" x14ac:dyDescent="0.25">
      <c r="A579" t="s">
        <v>1120</v>
      </c>
      <c r="B579" t="s">
        <v>17</v>
      </c>
      <c r="C579">
        <v>51</v>
      </c>
      <c r="D579" t="s">
        <v>28</v>
      </c>
      <c r="E579" t="s">
        <v>23</v>
      </c>
      <c r="F579" t="s">
        <v>47</v>
      </c>
      <c r="G579">
        <v>3489115</v>
      </c>
      <c r="H579">
        <f t="shared" ca="1" si="9"/>
        <v>111</v>
      </c>
      <c r="I579">
        <v>24.37</v>
      </c>
      <c r="J579">
        <v>2.75</v>
      </c>
      <c r="K579" t="s">
        <v>1121</v>
      </c>
      <c r="L579">
        <f>_INVESTEMENTDATA[[#This Row],[Investment_Amount]]*0.18</f>
        <v>628040.69999999995</v>
      </c>
      <c r="M579">
        <f>_INVESTEMENTDATA[[#This Row],[Investment_Amount]]*0.18*25</f>
        <v>15701017.499999998</v>
      </c>
    </row>
    <row r="580" spans="1:13" x14ac:dyDescent="0.25">
      <c r="A580" t="s">
        <v>1122</v>
      </c>
      <c r="B580" t="s">
        <v>11</v>
      </c>
      <c r="C580">
        <v>52</v>
      </c>
      <c r="D580" t="s">
        <v>28</v>
      </c>
      <c r="E580" t="s">
        <v>13</v>
      </c>
      <c r="F580" t="s">
        <v>30</v>
      </c>
      <c r="G580">
        <v>3215897</v>
      </c>
      <c r="H580">
        <f t="shared" ca="1" si="9"/>
        <v>33</v>
      </c>
      <c r="I580">
        <v>23.94</v>
      </c>
      <c r="J580">
        <v>19.309999999999999</v>
      </c>
      <c r="K580" t="s">
        <v>1123</v>
      </c>
      <c r="L580">
        <f>_INVESTEMENTDATA[[#This Row],[Investment_Amount]]*0.18</f>
        <v>578861.46</v>
      </c>
      <c r="M580">
        <f>_INVESTEMENTDATA[[#This Row],[Investment_Amount]]*0.18*25</f>
        <v>14471536.5</v>
      </c>
    </row>
    <row r="581" spans="1:13" x14ac:dyDescent="0.25">
      <c r="A581" t="s">
        <v>1124</v>
      </c>
      <c r="B581" t="s">
        <v>17</v>
      </c>
      <c r="C581">
        <v>29</v>
      </c>
      <c r="D581" t="s">
        <v>18</v>
      </c>
      <c r="E581" t="s">
        <v>29</v>
      </c>
      <c r="F581" t="s">
        <v>41</v>
      </c>
      <c r="G581">
        <v>1488338</v>
      </c>
      <c r="H581">
        <f t="shared" ca="1" si="9"/>
        <v>296</v>
      </c>
      <c r="I581">
        <v>6.7</v>
      </c>
      <c r="J581">
        <v>26.74</v>
      </c>
      <c r="K581" t="s">
        <v>1125</v>
      </c>
      <c r="L581">
        <f>_INVESTEMENTDATA[[#This Row],[Investment_Amount]]*0.18</f>
        <v>267900.83999999997</v>
      </c>
      <c r="M581">
        <f>_INVESTEMENTDATA[[#This Row],[Investment_Amount]]*0.18*25</f>
        <v>6697520.9999999991</v>
      </c>
    </row>
    <row r="582" spans="1:13" x14ac:dyDescent="0.25">
      <c r="A582" t="s">
        <v>1126</v>
      </c>
      <c r="B582" t="s">
        <v>11</v>
      </c>
      <c r="C582">
        <v>32</v>
      </c>
      <c r="D582" t="s">
        <v>28</v>
      </c>
      <c r="E582" t="s">
        <v>50</v>
      </c>
      <c r="F582" t="s">
        <v>30</v>
      </c>
      <c r="G582">
        <v>1602297</v>
      </c>
      <c r="H582">
        <f t="shared" ca="1" si="9"/>
        <v>291</v>
      </c>
      <c r="I582">
        <v>19.63</v>
      </c>
      <c r="J582">
        <v>13.97</v>
      </c>
      <c r="K582" t="s">
        <v>380</v>
      </c>
      <c r="L582">
        <f>_INVESTEMENTDATA[[#This Row],[Investment_Amount]]*0.18</f>
        <v>288413.45999999996</v>
      </c>
      <c r="M582">
        <f>_INVESTEMENTDATA[[#This Row],[Investment_Amount]]*0.18*25</f>
        <v>7210336.4999999991</v>
      </c>
    </row>
    <row r="583" spans="1:13" x14ac:dyDescent="0.25">
      <c r="A583" t="s">
        <v>1127</v>
      </c>
      <c r="B583" t="s">
        <v>17</v>
      </c>
      <c r="C583">
        <v>43</v>
      </c>
      <c r="D583" t="s">
        <v>18</v>
      </c>
      <c r="E583" t="s">
        <v>29</v>
      </c>
      <c r="F583" t="s">
        <v>41</v>
      </c>
      <c r="G583">
        <v>2790672</v>
      </c>
      <c r="H583">
        <f t="shared" ca="1" si="9"/>
        <v>59</v>
      </c>
      <c r="I583">
        <v>34.18</v>
      </c>
      <c r="J583">
        <v>15.27</v>
      </c>
      <c r="K583" t="s">
        <v>1128</v>
      </c>
      <c r="L583">
        <f>_INVESTEMENTDATA[[#This Row],[Investment_Amount]]*0.18</f>
        <v>502320.95999999996</v>
      </c>
      <c r="M583">
        <f>_INVESTEMENTDATA[[#This Row],[Investment_Amount]]*0.18*25</f>
        <v>12558024</v>
      </c>
    </row>
    <row r="584" spans="1:13" x14ac:dyDescent="0.25">
      <c r="A584" t="s">
        <v>1129</v>
      </c>
      <c r="B584" t="s">
        <v>11</v>
      </c>
      <c r="C584">
        <v>42</v>
      </c>
      <c r="D584" t="s">
        <v>28</v>
      </c>
      <c r="E584" t="s">
        <v>29</v>
      </c>
      <c r="F584" t="s">
        <v>41</v>
      </c>
      <c r="G584">
        <v>2229780</v>
      </c>
      <c r="H584">
        <f t="shared" ca="1" si="9"/>
        <v>316</v>
      </c>
      <c r="I584">
        <v>9.11</v>
      </c>
      <c r="J584">
        <v>23.43</v>
      </c>
      <c r="K584" t="s">
        <v>1130</v>
      </c>
      <c r="L584">
        <f>_INVESTEMENTDATA[[#This Row],[Investment_Amount]]*0.18</f>
        <v>401360.39999999997</v>
      </c>
      <c r="M584">
        <f>_INVESTEMENTDATA[[#This Row],[Investment_Amount]]*0.18*25</f>
        <v>10034010</v>
      </c>
    </row>
    <row r="585" spans="1:13" x14ac:dyDescent="0.25">
      <c r="A585" t="s">
        <v>1131</v>
      </c>
      <c r="B585" t="s">
        <v>17</v>
      </c>
      <c r="C585">
        <v>41</v>
      </c>
      <c r="D585" t="s">
        <v>46</v>
      </c>
      <c r="E585" t="s">
        <v>13</v>
      </c>
      <c r="F585" t="s">
        <v>47</v>
      </c>
      <c r="G585">
        <v>2935722</v>
      </c>
      <c r="H585">
        <f t="shared" ca="1" si="9"/>
        <v>246</v>
      </c>
      <c r="I585">
        <v>34.380000000000003</v>
      </c>
      <c r="J585">
        <v>7.82</v>
      </c>
      <c r="K585" t="s">
        <v>931</v>
      </c>
      <c r="L585">
        <f>_INVESTEMENTDATA[[#This Row],[Investment_Amount]]*0.18</f>
        <v>528429.96</v>
      </c>
      <c r="M585">
        <f>_INVESTEMENTDATA[[#This Row],[Investment_Amount]]*0.18*25</f>
        <v>13210749</v>
      </c>
    </row>
    <row r="586" spans="1:13" x14ac:dyDescent="0.25">
      <c r="A586" t="s">
        <v>1132</v>
      </c>
      <c r="B586" t="s">
        <v>17</v>
      </c>
      <c r="C586">
        <v>26</v>
      </c>
      <c r="D586" t="s">
        <v>28</v>
      </c>
      <c r="E586" t="s">
        <v>29</v>
      </c>
      <c r="F586" t="s">
        <v>14</v>
      </c>
      <c r="G586">
        <v>3917956</v>
      </c>
      <c r="H586">
        <f t="shared" ca="1" si="9"/>
        <v>215</v>
      </c>
      <c r="I586">
        <v>34.83</v>
      </c>
      <c r="J586">
        <v>35.96</v>
      </c>
      <c r="K586" t="s">
        <v>1133</v>
      </c>
      <c r="L586">
        <f>_INVESTEMENTDATA[[#This Row],[Investment_Amount]]*0.18</f>
        <v>705232.08</v>
      </c>
      <c r="M586">
        <f>_INVESTEMENTDATA[[#This Row],[Investment_Amount]]*0.18*25</f>
        <v>17630802</v>
      </c>
    </row>
    <row r="587" spans="1:13" x14ac:dyDescent="0.25">
      <c r="A587" t="s">
        <v>1134</v>
      </c>
      <c r="B587" t="s">
        <v>11</v>
      </c>
      <c r="C587">
        <v>48</v>
      </c>
      <c r="D587" t="s">
        <v>38</v>
      </c>
      <c r="E587" t="s">
        <v>23</v>
      </c>
      <c r="F587" t="s">
        <v>14</v>
      </c>
      <c r="G587">
        <v>2569361</v>
      </c>
      <c r="H587">
        <f t="shared" ca="1" si="9"/>
        <v>309</v>
      </c>
      <c r="I587">
        <v>6.07</v>
      </c>
      <c r="J587">
        <v>6.03</v>
      </c>
      <c r="K587" t="s">
        <v>1135</v>
      </c>
      <c r="L587">
        <f>_INVESTEMENTDATA[[#This Row],[Investment_Amount]]*0.18</f>
        <v>462484.98</v>
      </c>
      <c r="M587">
        <f>_INVESTEMENTDATA[[#This Row],[Investment_Amount]]*0.18*25</f>
        <v>11562124.5</v>
      </c>
    </row>
    <row r="588" spans="1:13" x14ac:dyDescent="0.25">
      <c r="A588" t="s">
        <v>1136</v>
      </c>
      <c r="B588" t="s">
        <v>17</v>
      </c>
      <c r="C588">
        <v>41</v>
      </c>
      <c r="D588" t="s">
        <v>18</v>
      </c>
      <c r="E588" t="s">
        <v>23</v>
      </c>
      <c r="F588" t="s">
        <v>14</v>
      </c>
      <c r="G588">
        <v>3540552</v>
      </c>
      <c r="H588">
        <f t="shared" ca="1" si="9"/>
        <v>262</v>
      </c>
      <c r="I588">
        <v>27.63</v>
      </c>
      <c r="J588">
        <v>-7.11</v>
      </c>
      <c r="K588" t="s">
        <v>1133</v>
      </c>
      <c r="L588">
        <f>_INVESTEMENTDATA[[#This Row],[Investment_Amount]]*0.18</f>
        <v>637299.36</v>
      </c>
      <c r="M588">
        <f>_INVESTEMENTDATA[[#This Row],[Investment_Amount]]*0.18*25</f>
        <v>15932484</v>
      </c>
    </row>
    <row r="589" spans="1:13" x14ac:dyDescent="0.25">
      <c r="A589" t="s">
        <v>1137</v>
      </c>
      <c r="B589" t="s">
        <v>11</v>
      </c>
      <c r="C589">
        <v>44</v>
      </c>
      <c r="D589" t="s">
        <v>38</v>
      </c>
      <c r="E589" t="s">
        <v>23</v>
      </c>
      <c r="F589" t="s">
        <v>20</v>
      </c>
      <c r="G589">
        <v>4847007</v>
      </c>
      <c r="H589">
        <f t="shared" ca="1" si="9"/>
        <v>232</v>
      </c>
      <c r="I589">
        <v>34.11</v>
      </c>
      <c r="J589">
        <v>30.83</v>
      </c>
      <c r="K589" t="s">
        <v>1138</v>
      </c>
      <c r="L589">
        <f>_INVESTEMENTDATA[[#This Row],[Investment_Amount]]*0.18</f>
        <v>872461.26</v>
      </c>
      <c r="M589">
        <f>_INVESTEMENTDATA[[#This Row],[Investment_Amount]]*0.18*25</f>
        <v>21811531.5</v>
      </c>
    </row>
    <row r="590" spans="1:13" x14ac:dyDescent="0.25">
      <c r="A590" t="s">
        <v>1139</v>
      </c>
      <c r="B590" t="s">
        <v>11</v>
      </c>
      <c r="C590">
        <v>32</v>
      </c>
      <c r="D590" t="s">
        <v>38</v>
      </c>
      <c r="E590" t="s">
        <v>57</v>
      </c>
      <c r="F590" t="s">
        <v>35</v>
      </c>
      <c r="G590">
        <v>1529913</v>
      </c>
      <c r="H590">
        <f t="shared" ca="1" si="9"/>
        <v>83</v>
      </c>
      <c r="I590">
        <v>31.25</v>
      </c>
      <c r="J590">
        <v>5.6</v>
      </c>
      <c r="K590" t="s">
        <v>1140</v>
      </c>
      <c r="L590">
        <f>_INVESTEMENTDATA[[#This Row],[Investment_Amount]]*0.18</f>
        <v>275384.33999999997</v>
      </c>
      <c r="M590">
        <f>_INVESTEMENTDATA[[#This Row],[Investment_Amount]]*0.18*25</f>
        <v>6884608.4999999991</v>
      </c>
    </row>
    <row r="591" spans="1:13" x14ac:dyDescent="0.25">
      <c r="A591" t="s">
        <v>1141</v>
      </c>
      <c r="B591" t="s">
        <v>11</v>
      </c>
      <c r="C591">
        <v>63</v>
      </c>
      <c r="D591" t="s">
        <v>46</v>
      </c>
      <c r="E591" t="s">
        <v>57</v>
      </c>
      <c r="F591" t="s">
        <v>30</v>
      </c>
      <c r="G591">
        <v>4962174</v>
      </c>
      <c r="H591">
        <f t="shared" ca="1" si="9"/>
        <v>48</v>
      </c>
      <c r="I591">
        <v>18.34</v>
      </c>
      <c r="J591">
        <v>-7.57</v>
      </c>
      <c r="K591" t="s">
        <v>166</v>
      </c>
      <c r="L591">
        <f>_INVESTEMENTDATA[[#This Row],[Investment_Amount]]*0.18</f>
        <v>893191.32</v>
      </c>
      <c r="M591">
        <f>_INVESTEMENTDATA[[#This Row],[Investment_Amount]]*0.18*25</f>
        <v>22329783</v>
      </c>
    </row>
    <row r="592" spans="1:13" x14ac:dyDescent="0.25">
      <c r="A592" t="s">
        <v>1142</v>
      </c>
      <c r="B592" t="s">
        <v>11</v>
      </c>
      <c r="C592">
        <v>43</v>
      </c>
      <c r="D592" t="s">
        <v>12</v>
      </c>
      <c r="E592" t="s">
        <v>57</v>
      </c>
      <c r="F592" t="s">
        <v>20</v>
      </c>
      <c r="G592">
        <v>3548900</v>
      </c>
      <c r="H592">
        <f t="shared" ca="1" si="9"/>
        <v>209</v>
      </c>
      <c r="I592">
        <v>12.31</v>
      </c>
      <c r="J592">
        <v>1.18</v>
      </c>
      <c r="K592" t="s">
        <v>1143</v>
      </c>
      <c r="L592">
        <f>_INVESTEMENTDATA[[#This Row],[Investment_Amount]]*0.18</f>
        <v>638802</v>
      </c>
      <c r="M592">
        <f>_INVESTEMENTDATA[[#This Row],[Investment_Amount]]*0.18*25</f>
        <v>15970050</v>
      </c>
    </row>
    <row r="593" spans="1:13" x14ac:dyDescent="0.25">
      <c r="A593" t="s">
        <v>1144</v>
      </c>
      <c r="B593" t="s">
        <v>11</v>
      </c>
      <c r="C593">
        <v>59</v>
      </c>
      <c r="D593" t="s">
        <v>18</v>
      </c>
      <c r="E593" t="s">
        <v>29</v>
      </c>
      <c r="F593" t="s">
        <v>41</v>
      </c>
      <c r="G593">
        <v>2416548</v>
      </c>
      <c r="H593">
        <f t="shared" ca="1" si="9"/>
        <v>71</v>
      </c>
      <c r="I593">
        <v>24.38</v>
      </c>
      <c r="J593">
        <v>7.92</v>
      </c>
      <c r="K593" t="s">
        <v>380</v>
      </c>
      <c r="L593">
        <f>_INVESTEMENTDATA[[#This Row],[Investment_Amount]]*0.18</f>
        <v>434978.63999999996</v>
      </c>
      <c r="M593">
        <f>_INVESTEMENTDATA[[#This Row],[Investment_Amount]]*0.18*25</f>
        <v>10874465.999999998</v>
      </c>
    </row>
    <row r="594" spans="1:13" x14ac:dyDescent="0.25">
      <c r="A594" t="s">
        <v>1145</v>
      </c>
      <c r="B594" t="s">
        <v>11</v>
      </c>
      <c r="C594">
        <v>62</v>
      </c>
      <c r="D594" t="s">
        <v>12</v>
      </c>
      <c r="E594" t="s">
        <v>50</v>
      </c>
      <c r="F594" t="s">
        <v>30</v>
      </c>
      <c r="G594">
        <v>914622</v>
      </c>
      <c r="H594">
        <f t="shared" ca="1" si="9"/>
        <v>37</v>
      </c>
      <c r="I594">
        <v>6.46</v>
      </c>
      <c r="J594">
        <v>23.92</v>
      </c>
      <c r="K594" t="s">
        <v>1146</v>
      </c>
      <c r="L594">
        <f>_INVESTEMENTDATA[[#This Row],[Investment_Amount]]*0.18</f>
        <v>164631.96</v>
      </c>
      <c r="M594">
        <f>_INVESTEMENTDATA[[#This Row],[Investment_Amount]]*0.18*25</f>
        <v>4115799</v>
      </c>
    </row>
    <row r="595" spans="1:13" x14ac:dyDescent="0.25">
      <c r="A595" t="s">
        <v>1147</v>
      </c>
      <c r="B595" t="s">
        <v>11</v>
      </c>
      <c r="C595">
        <v>38</v>
      </c>
      <c r="D595" t="s">
        <v>28</v>
      </c>
      <c r="E595" t="s">
        <v>23</v>
      </c>
      <c r="F595" t="s">
        <v>30</v>
      </c>
      <c r="G595">
        <v>1950310</v>
      </c>
      <c r="H595">
        <f t="shared" ca="1" si="9"/>
        <v>320</v>
      </c>
      <c r="I595">
        <v>12.9</v>
      </c>
      <c r="J595">
        <v>16.18</v>
      </c>
      <c r="K595" t="s">
        <v>1148</v>
      </c>
      <c r="L595">
        <f>_INVESTEMENTDATA[[#This Row],[Investment_Amount]]*0.18</f>
        <v>351055.8</v>
      </c>
      <c r="M595">
        <f>_INVESTEMENTDATA[[#This Row],[Investment_Amount]]*0.18*25</f>
        <v>8776395</v>
      </c>
    </row>
    <row r="596" spans="1:13" x14ac:dyDescent="0.25">
      <c r="A596" t="s">
        <v>1149</v>
      </c>
      <c r="B596" t="s">
        <v>17</v>
      </c>
      <c r="C596">
        <v>49</v>
      </c>
      <c r="D596" t="s">
        <v>38</v>
      </c>
      <c r="E596" t="s">
        <v>50</v>
      </c>
      <c r="F596" t="s">
        <v>35</v>
      </c>
      <c r="G596">
        <v>1155906</v>
      </c>
      <c r="H596">
        <f t="shared" ca="1" si="9"/>
        <v>149</v>
      </c>
      <c r="I596">
        <v>5.03</v>
      </c>
      <c r="J596">
        <v>11.99</v>
      </c>
      <c r="K596" t="s">
        <v>184</v>
      </c>
      <c r="L596">
        <f>_INVESTEMENTDATA[[#This Row],[Investment_Amount]]*0.18</f>
        <v>208063.08</v>
      </c>
      <c r="M596">
        <f>_INVESTEMENTDATA[[#This Row],[Investment_Amount]]*0.18*25</f>
        <v>5201577</v>
      </c>
    </row>
    <row r="597" spans="1:13" x14ac:dyDescent="0.25">
      <c r="A597" t="s">
        <v>1150</v>
      </c>
      <c r="B597" t="s">
        <v>11</v>
      </c>
      <c r="C597">
        <v>46</v>
      </c>
      <c r="D597" t="s">
        <v>38</v>
      </c>
      <c r="E597" t="s">
        <v>13</v>
      </c>
      <c r="F597" t="s">
        <v>14</v>
      </c>
      <c r="G597">
        <v>4564834</v>
      </c>
      <c r="H597">
        <f t="shared" ca="1" si="9"/>
        <v>352</v>
      </c>
      <c r="I597">
        <v>16.13</v>
      </c>
      <c r="J597">
        <v>20.82</v>
      </c>
      <c r="K597" t="s">
        <v>1151</v>
      </c>
      <c r="L597">
        <f>_INVESTEMENTDATA[[#This Row],[Investment_Amount]]*0.18</f>
        <v>821670.12</v>
      </c>
      <c r="M597">
        <f>_INVESTEMENTDATA[[#This Row],[Investment_Amount]]*0.18*25</f>
        <v>20541753</v>
      </c>
    </row>
    <row r="598" spans="1:13" x14ac:dyDescent="0.25">
      <c r="A598" t="s">
        <v>1152</v>
      </c>
      <c r="B598" t="s">
        <v>11</v>
      </c>
      <c r="C598">
        <v>28</v>
      </c>
      <c r="D598" t="s">
        <v>12</v>
      </c>
      <c r="E598" t="s">
        <v>50</v>
      </c>
      <c r="F598" t="s">
        <v>47</v>
      </c>
      <c r="G598">
        <v>827798</v>
      </c>
      <c r="H598">
        <f t="shared" ca="1" si="9"/>
        <v>117</v>
      </c>
      <c r="I598">
        <v>31.99</v>
      </c>
      <c r="J598">
        <v>27.92</v>
      </c>
      <c r="K598" t="s">
        <v>1153</v>
      </c>
      <c r="L598">
        <f>_INVESTEMENTDATA[[#This Row],[Investment_Amount]]*0.18</f>
        <v>149003.63999999998</v>
      </c>
      <c r="M598">
        <f>_INVESTEMENTDATA[[#This Row],[Investment_Amount]]*0.18*25</f>
        <v>3725090.9999999995</v>
      </c>
    </row>
    <row r="599" spans="1:13" x14ac:dyDescent="0.25">
      <c r="A599" t="s">
        <v>1154</v>
      </c>
      <c r="B599" t="s">
        <v>11</v>
      </c>
      <c r="C599">
        <v>60</v>
      </c>
      <c r="D599" t="s">
        <v>38</v>
      </c>
      <c r="E599" t="s">
        <v>29</v>
      </c>
      <c r="F599" t="s">
        <v>47</v>
      </c>
      <c r="G599">
        <v>3863352</v>
      </c>
      <c r="H599">
        <f t="shared" ca="1" si="9"/>
        <v>199</v>
      </c>
      <c r="I599">
        <v>7.4</v>
      </c>
      <c r="J599">
        <v>44.66</v>
      </c>
      <c r="K599" t="s">
        <v>725</v>
      </c>
      <c r="L599">
        <f>_INVESTEMENTDATA[[#This Row],[Investment_Amount]]*0.18</f>
        <v>695403.36</v>
      </c>
      <c r="M599">
        <f>_INVESTEMENTDATA[[#This Row],[Investment_Amount]]*0.18*25</f>
        <v>17385084</v>
      </c>
    </row>
    <row r="600" spans="1:13" x14ac:dyDescent="0.25">
      <c r="A600" t="s">
        <v>1155</v>
      </c>
      <c r="B600" t="s">
        <v>17</v>
      </c>
      <c r="C600">
        <v>22</v>
      </c>
      <c r="D600" t="s">
        <v>46</v>
      </c>
      <c r="E600" t="s">
        <v>29</v>
      </c>
      <c r="F600" t="s">
        <v>41</v>
      </c>
      <c r="G600">
        <v>3435843</v>
      </c>
      <c r="H600">
        <f t="shared" ca="1" si="9"/>
        <v>174</v>
      </c>
      <c r="I600">
        <v>16.850000000000001</v>
      </c>
      <c r="J600">
        <v>10.87</v>
      </c>
      <c r="K600" t="s">
        <v>1156</v>
      </c>
      <c r="L600">
        <f>_INVESTEMENTDATA[[#This Row],[Investment_Amount]]*0.18</f>
        <v>618451.74</v>
      </c>
      <c r="M600">
        <f>_INVESTEMENTDATA[[#This Row],[Investment_Amount]]*0.18*25</f>
        <v>15461293.5</v>
      </c>
    </row>
    <row r="601" spans="1:13" x14ac:dyDescent="0.25">
      <c r="A601" t="s">
        <v>1157</v>
      </c>
      <c r="B601" t="s">
        <v>17</v>
      </c>
      <c r="C601">
        <v>58</v>
      </c>
      <c r="D601" t="s">
        <v>12</v>
      </c>
      <c r="E601" t="s">
        <v>23</v>
      </c>
      <c r="F601" t="s">
        <v>47</v>
      </c>
      <c r="G601">
        <v>4610261</v>
      </c>
      <c r="H601">
        <f t="shared" ca="1" si="9"/>
        <v>80</v>
      </c>
      <c r="I601">
        <v>19.48</v>
      </c>
      <c r="J601">
        <v>28.49</v>
      </c>
      <c r="K601" t="s">
        <v>495</v>
      </c>
      <c r="L601">
        <f>_INVESTEMENTDATA[[#This Row],[Investment_Amount]]*0.18</f>
        <v>829846.98</v>
      </c>
      <c r="M601">
        <f>_INVESTEMENTDATA[[#This Row],[Investment_Amount]]*0.18*25</f>
        <v>20746174.5</v>
      </c>
    </row>
    <row r="602" spans="1:13" x14ac:dyDescent="0.25">
      <c r="A602" t="s">
        <v>1158</v>
      </c>
      <c r="B602" t="s">
        <v>11</v>
      </c>
      <c r="C602">
        <v>41</v>
      </c>
      <c r="D602" t="s">
        <v>18</v>
      </c>
      <c r="E602" t="s">
        <v>29</v>
      </c>
      <c r="F602" t="s">
        <v>41</v>
      </c>
      <c r="G602">
        <v>2081153</v>
      </c>
      <c r="H602">
        <f t="shared" ca="1" si="9"/>
        <v>10</v>
      </c>
      <c r="I602">
        <v>15.45</v>
      </c>
      <c r="J602">
        <v>31.64</v>
      </c>
      <c r="K602" t="s">
        <v>1159</v>
      </c>
      <c r="L602">
        <f>_INVESTEMENTDATA[[#This Row],[Investment_Amount]]*0.18</f>
        <v>374607.54</v>
      </c>
      <c r="M602">
        <f>_INVESTEMENTDATA[[#This Row],[Investment_Amount]]*0.18*25</f>
        <v>9365188.5</v>
      </c>
    </row>
    <row r="603" spans="1:13" x14ac:dyDescent="0.25">
      <c r="A603" t="s">
        <v>1160</v>
      </c>
      <c r="B603" t="s">
        <v>11</v>
      </c>
      <c r="C603">
        <v>56</v>
      </c>
      <c r="D603" t="s">
        <v>28</v>
      </c>
      <c r="E603" t="s">
        <v>57</v>
      </c>
      <c r="F603" t="s">
        <v>30</v>
      </c>
      <c r="G603">
        <v>4447018</v>
      </c>
      <c r="H603">
        <f t="shared" ca="1" si="9"/>
        <v>297</v>
      </c>
      <c r="I603">
        <v>22.32</v>
      </c>
      <c r="J603">
        <v>21.51</v>
      </c>
      <c r="K603" t="s">
        <v>1161</v>
      </c>
      <c r="L603">
        <f>_INVESTEMENTDATA[[#This Row],[Investment_Amount]]*0.18</f>
        <v>800463.24</v>
      </c>
      <c r="M603">
        <f>_INVESTEMENTDATA[[#This Row],[Investment_Amount]]*0.18*25</f>
        <v>20011581</v>
      </c>
    </row>
    <row r="604" spans="1:13" x14ac:dyDescent="0.25">
      <c r="A604" t="s">
        <v>1162</v>
      </c>
      <c r="B604" t="s">
        <v>11</v>
      </c>
      <c r="C604">
        <v>24</v>
      </c>
      <c r="D604" t="s">
        <v>12</v>
      </c>
      <c r="E604" t="s">
        <v>19</v>
      </c>
      <c r="F604" t="s">
        <v>14</v>
      </c>
      <c r="G604">
        <v>4360156</v>
      </c>
      <c r="H604">
        <f t="shared" ca="1" si="9"/>
        <v>274</v>
      </c>
      <c r="I604">
        <v>5.43</v>
      </c>
      <c r="J604">
        <v>-9.2899999999999991</v>
      </c>
      <c r="K604" t="s">
        <v>1163</v>
      </c>
      <c r="L604">
        <f>_INVESTEMENTDATA[[#This Row],[Investment_Amount]]*0.18</f>
        <v>784828.08</v>
      </c>
      <c r="M604">
        <f>_INVESTEMENTDATA[[#This Row],[Investment_Amount]]*0.18*25</f>
        <v>19620702</v>
      </c>
    </row>
    <row r="605" spans="1:13" x14ac:dyDescent="0.25">
      <c r="A605" t="s">
        <v>1164</v>
      </c>
      <c r="B605" t="s">
        <v>11</v>
      </c>
      <c r="C605">
        <v>54</v>
      </c>
      <c r="D605" t="s">
        <v>18</v>
      </c>
      <c r="E605" t="s">
        <v>19</v>
      </c>
      <c r="F605" t="s">
        <v>14</v>
      </c>
      <c r="G605">
        <v>4238534</v>
      </c>
      <c r="H605">
        <f t="shared" ca="1" si="9"/>
        <v>352</v>
      </c>
      <c r="I605">
        <v>29.46</v>
      </c>
      <c r="J605">
        <v>35.159999999999997</v>
      </c>
      <c r="K605" t="s">
        <v>1165</v>
      </c>
      <c r="L605">
        <f>_INVESTEMENTDATA[[#This Row],[Investment_Amount]]*0.18</f>
        <v>762936.12</v>
      </c>
      <c r="M605">
        <f>_INVESTEMENTDATA[[#This Row],[Investment_Amount]]*0.18*25</f>
        <v>19073403</v>
      </c>
    </row>
    <row r="606" spans="1:13" x14ac:dyDescent="0.25">
      <c r="A606" t="s">
        <v>1166</v>
      </c>
      <c r="B606" t="s">
        <v>17</v>
      </c>
      <c r="C606">
        <v>50</v>
      </c>
      <c r="D606" t="s">
        <v>38</v>
      </c>
      <c r="E606" t="s">
        <v>23</v>
      </c>
      <c r="F606" t="s">
        <v>14</v>
      </c>
      <c r="G606">
        <v>3698038</v>
      </c>
      <c r="H606">
        <f t="shared" ca="1" si="9"/>
        <v>54</v>
      </c>
      <c r="I606">
        <v>11.25</v>
      </c>
      <c r="J606">
        <v>32.479999999999997</v>
      </c>
      <c r="K606" t="s">
        <v>202</v>
      </c>
      <c r="L606">
        <f>_INVESTEMENTDATA[[#This Row],[Investment_Amount]]*0.18</f>
        <v>665646.84</v>
      </c>
      <c r="M606">
        <f>_INVESTEMENTDATA[[#This Row],[Investment_Amount]]*0.18*25</f>
        <v>16641171</v>
      </c>
    </row>
    <row r="607" spans="1:13" x14ac:dyDescent="0.25">
      <c r="A607" t="s">
        <v>1167</v>
      </c>
      <c r="B607" t="s">
        <v>17</v>
      </c>
      <c r="C607">
        <v>64</v>
      </c>
      <c r="D607" t="s">
        <v>12</v>
      </c>
      <c r="E607" t="s">
        <v>50</v>
      </c>
      <c r="F607" t="s">
        <v>14</v>
      </c>
      <c r="G607">
        <v>2312821</v>
      </c>
      <c r="H607">
        <f t="shared" ca="1" si="9"/>
        <v>139</v>
      </c>
      <c r="I607">
        <v>14.78</v>
      </c>
      <c r="J607">
        <v>37.83</v>
      </c>
      <c r="K607" t="s">
        <v>1168</v>
      </c>
      <c r="L607">
        <f>_INVESTEMENTDATA[[#This Row],[Investment_Amount]]*0.18</f>
        <v>416307.77999999997</v>
      </c>
      <c r="M607">
        <f>_INVESTEMENTDATA[[#This Row],[Investment_Amount]]*0.18*25</f>
        <v>10407694.5</v>
      </c>
    </row>
    <row r="608" spans="1:13" x14ac:dyDescent="0.25">
      <c r="A608" t="s">
        <v>1169</v>
      </c>
      <c r="B608" t="s">
        <v>17</v>
      </c>
      <c r="C608">
        <v>59</v>
      </c>
      <c r="D608" t="s">
        <v>12</v>
      </c>
      <c r="E608" t="s">
        <v>19</v>
      </c>
      <c r="F608" t="s">
        <v>20</v>
      </c>
      <c r="G608">
        <v>4838704</v>
      </c>
      <c r="H608">
        <f t="shared" ca="1" si="9"/>
        <v>209</v>
      </c>
      <c r="I608">
        <v>14.59</v>
      </c>
      <c r="J608">
        <v>39.619999999999997</v>
      </c>
      <c r="K608" t="s">
        <v>1170</v>
      </c>
      <c r="L608">
        <f>_INVESTEMENTDATA[[#This Row],[Investment_Amount]]*0.18</f>
        <v>870966.72</v>
      </c>
      <c r="M608">
        <f>_INVESTEMENTDATA[[#This Row],[Investment_Amount]]*0.18*25</f>
        <v>21774168</v>
      </c>
    </row>
    <row r="609" spans="1:13" x14ac:dyDescent="0.25">
      <c r="A609" t="s">
        <v>1171</v>
      </c>
      <c r="B609" t="s">
        <v>17</v>
      </c>
      <c r="C609">
        <v>23</v>
      </c>
      <c r="D609" t="s">
        <v>46</v>
      </c>
      <c r="E609" t="s">
        <v>29</v>
      </c>
      <c r="F609" t="s">
        <v>35</v>
      </c>
      <c r="G609">
        <v>4785623</v>
      </c>
      <c r="H609">
        <f t="shared" ca="1" si="9"/>
        <v>16</v>
      </c>
      <c r="I609">
        <v>6.96</v>
      </c>
      <c r="J609">
        <v>-8.98</v>
      </c>
      <c r="K609" t="s">
        <v>234</v>
      </c>
      <c r="L609">
        <f>_INVESTEMENTDATA[[#This Row],[Investment_Amount]]*0.18</f>
        <v>861412.14</v>
      </c>
      <c r="M609">
        <f>_INVESTEMENTDATA[[#This Row],[Investment_Amount]]*0.18*25</f>
        <v>21535303.5</v>
      </c>
    </row>
    <row r="610" spans="1:13" x14ac:dyDescent="0.25">
      <c r="A610" t="s">
        <v>1172</v>
      </c>
      <c r="B610" t="s">
        <v>17</v>
      </c>
      <c r="C610">
        <v>65</v>
      </c>
      <c r="D610" t="s">
        <v>18</v>
      </c>
      <c r="E610" t="s">
        <v>29</v>
      </c>
      <c r="F610" t="s">
        <v>30</v>
      </c>
      <c r="G610">
        <v>741873</v>
      </c>
      <c r="H610">
        <f t="shared" ca="1" si="9"/>
        <v>102</v>
      </c>
      <c r="I610">
        <v>16.010000000000002</v>
      </c>
      <c r="J610">
        <v>26.8</v>
      </c>
      <c r="K610" t="s">
        <v>1173</v>
      </c>
      <c r="L610">
        <f>_INVESTEMENTDATA[[#This Row],[Investment_Amount]]*0.18</f>
        <v>133537.13999999998</v>
      </c>
      <c r="M610">
        <f>_INVESTEMENTDATA[[#This Row],[Investment_Amount]]*0.18*25</f>
        <v>3338428.4999999995</v>
      </c>
    </row>
    <row r="611" spans="1:13" x14ac:dyDescent="0.25">
      <c r="A611" t="s">
        <v>1174</v>
      </c>
      <c r="B611" t="s">
        <v>17</v>
      </c>
      <c r="C611">
        <v>38</v>
      </c>
      <c r="D611" t="s">
        <v>18</v>
      </c>
      <c r="E611" t="s">
        <v>50</v>
      </c>
      <c r="F611" t="s">
        <v>20</v>
      </c>
      <c r="G611">
        <v>246894</v>
      </c>
      <c r="H611">
        <f t="shared" ca="1" si="9"/>
        <v>158</v>
      </c>
      <c r="I611">
        <v>32.86</v>
      </c>
      <c r="J611">
        <v>5.36</v>
      </c>
      <c r="K611" t="s">
        <v>1175</v>
      </c>
      <c r="L611">
        <f>_INVESTEMENTDATA[[#This Row],[Investment_Amount]]*0.18</f>
        <v>44440.92</v>
      </c>
      <c r="M611">
        <f>_INVESTEMENTDATA[[#This Row],[Investment_Amount]]*0.18*25</f>
        <v>1111023</v>
      </c>
    </row>
    <row r="612" spans="1:13" x14ac:dyDescent="0.25">
      <c r="A612" t="s">
        <v>1176</v>
      </c>
      <c r="B612" t="s">
        <v>17</v>
      </c>
      <c r="C612">
        <v>29</v>
      </c>
      <c r="D612" t="s">
        <v>38</v>
      </c>
      <c r="E612" t="s">
        <v>13</v>
      </c>
      <c r="F612" t="s">
        <v>20</v>
      </c>
      <c r="G612">
        <v>3770116</v>
      </c>
      <c r="H612">
        <f t="shared" ca="1" si="9"/>
        <v>291</v>
      </c>
      <c r="I612">
        <v>31.11</v>
      </c>
      <c r="J612">
        <v>27.43</v>
      </c>
      <c r="K612" t="s">
        <v>1177</v>
      </c>
      <c r="L612">
        <f>_INVESTEMENTDATA[[#This Row],[Investment_Amount]]*0.18</f>
        <v>678620.88</v>
      </c>
      <c r="M612">
        <f>_INVESTEMENTDATA[[#This Row],[Investment_Amount]]*0.18*25</f>
        <v>16965522</v>
      </c>
    </row>
    <row r="613" spans="1:13" x14ac:dyDescent="0.25">
      <c r="A613" t="s">
        <v>1178</v>
      </c>
      <c r="B613" t="s">
        <v>11</v>
      </c>
      <c r="C613">
        <v>32</v>
      </c>
      <c r="D613" t="s">
        <v>18</v>
      </c>
      <c r="E613" t="s">
        <v>29</v>
      </c>
      <c r="F613" t="s">
        <v>30</v>
      </c>
      <c r="G613">
        <v>734150</v>
      </c>
      <c r="H613">
        <f t="shared" ca="1" si="9"/>
        <v>53</v>
      </c>
      <c r="I613">
        <v>28.85</v>
      </c>
      <c r="J613">
        <v>-8.1199999999999992</v>
      </c>
      <c r="K613" t="s">
        <v>1093</v>
      </c>
      <c r="L613">
        <f>_INVESTEMENTDATA[[#This Row],[Investment_Amount]]*0.18</f>
        <v>132147</v>
      </c>
      <c r="M613">
        <f>_INVESTEMENTDATA[[#This Row],[Investment_Amount]]*0.18*25</f>
        <v>3303675</v>
      </c>
    </row>
    <row r="614" spans="1:13" x14ac:dyDescent="0.25">
      <c r="A614" t="s">
        <v>1179</v>
      </c>
      <c r="B614" t="s">
        <v>17</v>
      </c>
      <c r="C614">
        <v>28</v>
      </c>
      <c r="D614" t="s">
        <v>38</v>
      </c>
      <c r="E614" t="s">
        <v>23</v>
      </c>
      <c r="F614" t="s">
        <v>35</v>
      </c>
      <c r="G614">
        <v>2948049</v>
      </c>
      <c r="H614">
        <f t="shared" ca="1" si="9"/>
        <v>228</v>
      </c>
      <c r="I614">
        <v>21.32</v>
      </c>
      <c r="J614">
        <v>-9.89</v>
      </c>
      <c r="K614" t="s">
        <v>1180</v>
      </c>
      <c r="L614">
        <f>_INVESTEMENTDATA[[#This Row],[Investment_Amount]]*0.18</f>
        <v>530648.81999999995</v>
      </c>
      <c r="M614">
        <f>_INVESTEMENTDATA[[#This Row],[Investment_Amount]]*0.18*25</f>
        <v>13266220.499999998</v>
      </c>
    </row>
    <row r="615" spans="1:13" x14ac:dyDescent="0.25">
      <c r="A615" t="s">
        <v>1181</v>
      </c>
      <c r="B615" t="s">
        <v>17</v>
      </c>
      <c r="C615">
        <v>35</v>
      </c>
      <c r="D615" t="s">
        <v>18</v>
      </c>
      <c r="E615" t="s">
        <v>23</v>
      </c>
      <c r="F615" t="s">
        <v>30</v>
      </c>
      <c r="G615">
        <v>1571612</v>
      </c>
      <c r="H615">
        <f t="shared" ca="1" si="9"/>
        <v>258</v>
      </c>
      <c r="I615">
        <v>16.04</v>
      </c>
      <c r="J615">
        <v>-7.39</v>
      </c>
      <c r="K615" t="s">
        <v>1182</v>
      </c>
      <c r="L615">
        <f>_INVESTEMENTDATA[[#This Row],[Investment_Amount]]*0.18</f>
        <v>282890.15999999997</v>
      </c>
      <c r="M615">
        <f>_INVESTEMENTDATA[[#This Row],[Investment_Amount]]*0.18*25</f>
        <v>7072253.9999999991</v>
      </c>
    </row>
    <row r="616" spans="1:13" x14ac:dyDescent="0.25">
      <c r="A616" t="s">
        <v>1183</v>
      </c>
      <c r="B616" t="s">
        <v>11</v>
      </c>
      <c r="C616">
        <v>45</v>
      </c>
      <c r="D616" t="s">
        <v>12</v>
      </c>
      <c r="E616" t="s">
        <v>57</v>
      </c>
      <c r="F616" t="s">
        <v>30</v>
      </c>
      <c r="G616">
        <v>3809302</v>
      </c>
      <c r="H616">
        <f t="shared" ca="1" si="9"/>
        <v>7</v>
      </c>
      <c r="I616">
        <v>10.94</v>
      </c>
      <c r="J616">
        <v>15.92</v>
      </c>
      <c r="K616" t="s">
        <v>1184</v>
      </c>
      <c r="L616">
        <f>_INVESTEMENTDATA[[#This Row],[Investment_Amount]]*0.18</f>
        <v>685674.36</v>
      </c>
      <c r="M616">
        <f>_INVESTEMENTDATA[[#This Row],[Investment_Amount]]*0.18*25</f>
        <v>17141859</v>
      </c>
    </row>
    <row r="617" spans="1:13" x14ac:dyDescent="0.25">
      <c r="A617" t="s">
        <v>1185</v>
      </c>
      <c r="B617" t="s">
        <v>17</v>
      </c>
      <c r="C617">
        <v>25</v>
      </c>
      <c r="D617" t="s">
        <v>12</v>
      </c>
      <c r="E617" t="s">
        <v>23</v>
      </c>
      <c r="F617" t="s">
        <v>14</v>
      </c>
      <c r="G617">
        <v>2599892</v>
      </c>
      <c r="H617">
        <f t="shared" ca="1" si="9"/>
        <v>240</v>
      </c>
      <c r="I617">
        <v>13.65</v>
      </c>
      <c r="J617">
        <v>31.29</v>
      </c>
      <c r="K617" t="s">
        <v>1186</v>
      </c>
      <c r="L617">
        <f>_INVESTEMENTDATA[[#This Row],[Investment_Amount]]*0.18</f>
        <v>467980.56</v>
      </c>
      <c r="M617">
        <f>_INVESTEMENTDATA[[#This Row],[Investment_Amount]]*0.18*25</f>
        <v>11699514</v>
      </c>
    </row>
    <row r="618" spans="1:13" x14ac:dyDescent="0.25">
      <c r="A618" t="s">
        <v>1187</v>
      </c>
      <c r="B618" t="s">
        <v>17</v>
      </c>
      <c r="C618">
        <v>56</v>
      </c>
      <c r="D618" t="s">
        <v>12</v>
      </c>
      <c r="E618" t="s">
        <v>23</v>
      </c>
      <c r="F618" t="s">
        <v>14</v>
      </c>
      <c r="G618">
        <v>278154</v>
      </c>
      <c r="H618">
        <f t="shared" ca="1" si="9"/>
        <v>340</v>
      </c>
      <c r="I618">
        <v>10.62</v>
      </c>
      <c r="J618">
        <v>-1.58</v>
      </c>
      <c r="K618" t="s">
        <v>1188</v>
      </c>
      <c r="L618">
        <f>_INVESTEMENTDATA[[#This Row],[Investment_Amount]]*0.18</f>
        <v>50067.72</v>
      </c>
      <c r="M618">
        <f>_INVESTEMENTDATA[[#This Row],[Investment_Amount]]*0.18*25</f>
        <v>1251693</v>
      </c>
    </row>
    <row r="619" spans="1:13" x14ac:dyDescent="0.25">
      <c r="A619" t="s">
        <v>1189</v>
      </c>
      <c r="B619" t="s">
        <v>17</v>
      </c>
      <c r="C619">
        <v>55</v>
      </c>
      <c r="D619" t="s">
        <v>28</v>
      </c>
      <c r="E619" t="s">
        <v>13</v>
      </c>
      <c r="F619" t="s">
        <v>47</v>
      </c>
      <c r="G619">
        <v>922136</v>
      </c>
      <c r="H619">
        <f t="shared" ca="1" si="9"/>
        <v>239</v>
      </c>
      <c r="I619">
        <v>26.95</v>
      </c>
      <c r="J619">
        <v>22.34</v>
      </c>
      <c r="K619" t="s">
        <v>24</v>
      </c>
      <c r="L619">
        <f>_INVESTEMENTDATA[[#This Row],[Investment_Amount]]*0.18</f>
        <v>165984.47999999998</v>
      </c>
      <c r="M619">
        <f>_INVESTEMENTDATA[[#This Row],[Investment_Amount]]*0.18*25</f>
        <v>4149611.9999999995</v>
      </c>
    </row>
    <row r="620" spans="1:13" x14ac:dyDescent="0.25">
      <c r="A620" t="s">
        <v>1190</v>
      </c>
      <c r="B620" t="s">
        <v>11</v>
      </c>
      <c r="C620">
        <v>33</v>
      </c>
      <c r="D620" t="s">
        <v>46</v>
      </c>
      <c r="E620" t="s">
        <v>23</v>
      </c>
      <c r="F620" t="s">
        <v>35</v>
      </c>
      <c r="G620">
        <v>287150</v>
      </c>
      <c r="H620">
        <f t="shared" ca="1" si="9"/>
        <v>282</v>
      </c>
      <c r="I620">
        <v>9.34</v>
      </c>
      <c r="J620">
        <v>29.53</v>
      </c>
      <c r="K620" t="s">
        <v>1030</v>
      </c>
      <c r="L620">
        <f>_INVESTEMENTDATA[[#This Row],[Investment_Amount]]*0.18</f>
        <v>51687</v>
      </c>
      <c r="M620">
        <f>_INVESTEMENTDATA[[#This Row],[Investment_Amount]]*0.18*25</f>
        <v>1292175</v>
      </c>
    </row>
    <row r="621" spans="1:13" x14ac:dyDescent="0.25">
      <c r="A621" t="s">
        <v>1191</v>
      </c>
      <c r="B621" t="s">
        <v>17</v>
      </c>
      <c r="C621">
        <v>33</v>
      </c>
      <c r="D621" t="s">
        <v>12</v>
      </c>
      <c r="E621" t="s">
        <v>19</v>
      </c>
      <c r="F621" t="s">
        <v>20</v>
      </c>
      <c r="G621">
        <v>1892745</v>
      </c>
      <c r="H621">
        <f t="shared" ca="1" si="9"/>
        <v>338</v>
      </c>
      <c r="I621">
        <v>18.64</v>
      </c>
      <c r="J621">
        <v>-6.41</v>
      </c>
      <c r="K621" t="s">
        <v>1192</v>
      </c>
      <c r="L621">
        <f>_INVESTEMENTDATA[[#This Row],[Investment_Amount]]*0.18</f>
        <v>340694.1</v>
      </c>
      <c r="M621">
        <f>_INVESTEMENTDATA[[#This Row],[Investment_Amount]]*0.18*25</f>
        <v>8517352.5</v>
      </c>
    </row>
    <row r="622" spans="1:13" x14ac:dyDescent="0.25">
      <c r="A622" t="s">
        <v>1193</v>
      </c>
      <c r="B622" t="s">
        <v>17</v>
      </c>
      <c r="C622">
        <v>64</v>
      </c>
      <c r="D622" t="s">
        <v>38</v>
      </c>
      <c r="E622" t="s">
        <v>23</v>
      </c>
      <c r="F622" t="s">
        <v>20</v>
      </c>
      <c r="G622">
        <v>67406</v>
      </c>
      <c r="H622">
        <f t="shared" ca="1" si="9"/>
        <v>308</v>
      </c>
      <c r="I622">
        <v>32.85</v>
      </c>
      <c r="J622">
        <v>-8.4</v>
      </c>
      <c r="K622" t="s">
        <v>1194</v>
      </c>
      <c r="L622">
        <f>_INVESTEMENTDATA[[#This Row],[Investment_Amount]]*0.18</f>
        <v>12133.08</v>
      </c>
      <c r="M622">
        <f>_INVESTEMENTDATA[[#This Row],[Investment_Amount]]*0.18*25</f>
        <v>303327</v>
      </c>
    </row>
    <row r="623" spans="1:13" x14ac:dyDescent="0.25">
      <c r="A623" t="s">
        <v>1195</v>
      </c>
      <c r="B623" t="s">
        <v>11</v>
      </c>
      <c r="C623">
        <v>53</v>
      </c>
      <c r="D623" t="s">
        <v>12</v>
      </c>
      <c r="E623" t="s">
        <v>13</v>
      </c>
      <c r="F623" t="s">
        <v>41</v>
      </c>
      <c r="G623">
        <v>2240475</v>
      </c>
      <c r="H623">
        <f t="shared" ca="1" si="9"/>
        <v>319</v>
      </c>
      <c r="I623">
        <v>24.09</v>
      </c>
      <c r="J623">
        <v>33.53</v>
      </c>
      <c r="K623" t="s">
        <v>1196</v>
      </c>
      <c r="L623">
        <f>_INVESTEMENTDATA[[#This Row],[Investment_Amount]]*0.18</f>
        <v>403285.5</v>
      </c>
      <c r="M623">
        <f>_INVESTEMENTDATA[[#This Row],[Investment_Amount]]*0.18*25</f>
        <v>10082137.5</v>
      </c>
    </row>
    <row r="624" spans="1:13" x14ac:dyDescent="0.25">
      <c r="A624" t="s">
        <v>1197</v>
      </c>
      <c r="B624" t="s">
        <v>17</v>
      </c>
      <c r="C624">
        <v>26</v>
      </c>
      <c r="D624" t="s">
        <v>38</v>
      </c>
      <c r="E624" t="s">
        <v>57</v>
      </c>
      <c r="F624" t="s">
        <v>41</v>
      </c>
      <c r="G624">
        <v>4374674</v>
      </c>
      <c r="H624">
        <f t="shared" ca="1" si="9"/>
        <v>280</v>
      </c>
      <c r="I624">
        <v>20.49</v>
      </c>
      <c r="J624">
        <v>28.02</v>
      </c>
      <c r="K624" t="s">
        <v>1198</v>
      </c>
      <c r="L624">
        <f>_INVESTEMENTDATA[[#This Row],[Investment_Amount]]*0.18</f>
        <v>787441.32</v>
      </c>
      <c r="M624">
        <f>_INVESTEMENTDATA[[#This Row],[Investment_Amount]]*0.18*25</f>
        <v>19686033</v>
      </c>
    </row>
    <row r="625" spans="1:13" x14ac:dyDescent="0.25">
      <c r="A625" t="s">
        <v>1199</v>
      </c>
      <c r="B625" t="s">
        <v>11</v>
      </c>
      <c r="C625">
        <v>49</v>
      </c>
      <c r="D625" t="s">
        <v>12</v>
      </c>
      <c r="E625" t="s">
        <v>13</v>
      </c>
      <c r="F625" t="s">
        <v>20</v>
      </c>
      <c r="G625">
        <v>3533722</v>
      </c>
      <c r="H625">
        <f t="shared" ca="1" si="9"/>
        <v>97</v>
      </c>
      <c r="I625">
        <v>26.09</v>
      </c>
      <c r="J625">
        <v>34.840000000000003</v>
      </c>
      <c r="K625" t="s">
        <v>1200</v>
      </c>
      <c r="L625">
        <f>_INVESTEMENTDATA[[#This Row],[Investment_Amount]]*0.18</f>
        <v>636069.96</v>
      </c>
      <c r="M625">
        <f>_INVESTEMENTDATA[[#This Row],[Investment_Amount]]*0.18*25</f>
        <v>15901749</v>
      </c>
    </row>
    <row r="626" spans="1:13" x14ac:dyDescent="0.25">
      <c r="A626" t="s">
        <v>1201</v>
      </c>
      <c r="B626" t="s">
        <v>11</v>
      </c>
      <c r="C626">
        <v>42</v>
      </c>
      <c r="D626" t="s">
        <v>46</v>
      </c>
      <c r="E626" t="s">
        <v>23</v>
      </c>
      <c r="F626" t="s">
        <v>30</v>
      </c>
      <c r="G626">
        <v>4406529</v>
      </c>
      <c r="H626">
        <f t="shared" ca="1" si="9"/>
        <v>183</v>
      </c>
      <c r="I626">
        <v>28.75</v>
      </c>
      <c r="J626">
        <v>-1.99</v>
      </c>
      <c r="K626" t="s">
        <v>1202</v>
      </c>
      <c r="L626">
        <f>_INVESTEMENTDATA[[#This Row],[Investment_Amount]]*0.18</f>
        <v>793175.22</v>
      </c>
      <c r="M626">
        <f>_INVESTEMENTDATA[[#This Row],[Investment_Amount]]*0.18*25</f>
        <v>19829380.5</v>
      </c>
    </row>
    <row r="627" spans="1:13" x14ac:dyDescent="0.25">
      <c r="A627" t="s">
        <v>1203</v>
      </c>
      <c r="B627" t="s">
        <v>17</v>
      </c>
      <c r="C627">
        <v>21</v>
      </c>
      <c r="D627" t="s">
        <v>38</v>
      </c>
      <c r="E627" t="s">
        <v>23</v>
      </c>
      <c r="F627" t="s">
        <v>47</v>
      </c>
      <c r="G627">
        <v>177997</v>
      </c>
      <c r="H627">
        <f t="shared" ca="1" si="9"/>
        <v>319</v>
      </c>
      <c r="I627">
        <v>33.29</v>
      </c>
      <c r="J627">
        <v>41.88</v>
      </c>
      <c r="K627" t="s">
        <v>1204</v>
      </c>
      <c r="L627">
        <f>_INVESTEMENTDATA[[#This Row],[Investment_Amount]]*0.18</f>
        <v>32039.46</v>
      </c>
      <c r="M627">
        <f>_INVESTEMENTDATA[[#This Row],[Investment_Amount]]*0.18*25</f>
        <v>800986.5</v>
      </c>
    </row>
    <row r="628" spans="1:13" x14ac:dyDescent="0.25">
      <c r="A628" t="s">
        <v>1205</v>
      </c>
      <c r="B628" t="s">
        <v>17</v>
      </c>
      <c r="C628">
        <v>56</v>
      </c>
      <c r="D628" t="s">
        <v>18</v>
      </c>
      <c r="E628" t="s">
        <v>29</v>
      </c>
      <c r="F628" t="s">
        <v>41</v>
      </c>
      <c r="G628">
        <v>1858854</v>
      </c>
      <c r="H628">
        <f t="shared" ca="1" si="9"/>
        <v>128</v>
      </c>
      <c r="I628">
        <v>9.26</v>
      </c>
      <c r="J628">
        <v>22.07</v>
      </c>
      <c r="K628" t="s">
        <v>297</v>
      </c>
      <c r="L628">
        <f>_INVESTEMENTDATA[[#This Row],[Investment_Amount]]*0.18</f>
        <v>334593.71999999997</v>
      </c>
      <c r="M628">
        <f>_INVESTEMENTDATA[[#This Row],[Investment_Amount]]*0.18*25</f>
        <v>8364842.9999999991</v>
      </c>
    </row>
    <row r="629" spans="1:13" x14ac:dyDescent="0.25">
      <c r="A629" t="s">
        <v>1206</v>
      </c>
      <c r="B629" t="s">
        <v>11</v>
      </c>
      <c r="C629">
        <v>58</v>
      </c>
      <c r="D629" t="s">
        <v>46</v>
      </c>
      <c r="E629" t="s">
        <v>23</v>
      </c>
      <c r="F629" t="s">
        <v>41</v>
      </c>
      <c r="G629">
        <v>1575249</v>
      </c>
      <c r="H629">
        <f t="shared" ca="1" si="9"/>
        <v>211</v>
      </c>
      <c r="I629">
        <v>8.93</v>
      </c>
      <c r="J629">
        <v>32.18</v>
      </c>
      <c r="K629" t="s">
        <v>1207</v>
      </c>
      <c r="L629">
        <f>_INVESTEMENTDATA[[#This Row],[Investment_Amount]]*0.18</f>
        <v>283544.82</v>
      </c>
      <c r="M629">
        <f>_INVESTEMENTDATA[[#This Row],[Investment_Amount]]*0.18*25</f>
        <v>7088620.5</v>
      </c>
    </row>
    <row r="630" spans="1:13" x14ac:dyDescent="0.25">
      <c r="A630" t="s">
        <v>1208</v>
      </c>
      <c r="B630" t="s">
        <v>11</v>
      </c>
      <c r="C630">
        <v>29</v>
      </c>
      <c r="D630" t="s">
        <v>38</v>
      </c>
      <c r="E630" t="s">
        <v>19</v>
      </c>
      <c r="F630" t="s">
        <v>14</v>
      </c>
      <c r="G630">
        <v>1064212</v>
      </c>
      <c r="H630">
        <f t="shared" ca="1" si="9"/>
        <v>70</v>
      </c>
      <c r="I630">
        <v>7.19</v>
      </c>
      <c r="J630">
        <v>40.56</v>
      </c>
      <c r="K630" t="s">
        <v>1209</v>
      </c>
      <c r="L630">
        <f>_INVESTEMENTDATA[[#This Row],[Investment_Amount]]*0.18</f>
        <v>191558.16</v>
      </c>
      <c r="M630">
        <f>_INVESTEMENTDATA[[#This Row],[Investment_Amount]]*0.18*25</f>
        <v>4788954</v>
      </c>
    </row>
    <row r="631" spans="1:13" x14ac:dyDescent="0.25">
      <c r="A631" t="s">
        <v>1210</v>
      </c>
      <c r="B631" t="s">
        <v>11</v>
      </c>
      <c r="C631">
        <v>56</v>
      </c>
      <c r="D631" t="s">
        <v>12</v>
      </c>
      <c r="E631" t="s">
        <v>13</v>
      </c>
      <c r="F631" t="s">
        <v>47</v>
      </c>
      <c r="G631">
        <v>3996860</v>
      </c>
      <c r="H631">
        <f t="shared" ca="1" si="9"/>
        <v>137</v>
      </c>
      <c r="I631">
        <v>27.05</v>
      </c>
      <c r="J631">
        <v>-9.58</v>
      </c>
      <c r="K631" t="s">
        <v>1211</v>
      </c>
      <c r="L631">
        <f>_INVESTEMENTDATA[[#This Row],[Investment_Amount]]*0.18</f>
        <v>719434.79999999993</v>
      </c>
      <c r="M631">
        <f>_INVESTEMENTDATA[[#This Row],[Investment_Amount]]*0.18*25</f>
        <v>17985870</v>
      </c>
    </row>
    <row r="632" spans="1:13" x14ac:dyDescent="0.25">
      <c r="A632" t="s">
        <v>1212</v>
      </c>
      <c r="B632" t="s">
        <v>17</v>
      </c>
      <c r="C632">
        <v>37</v>
      </c>
      <c r="D632" t="s">
        <v>18</v>
      </c>
      <c r="E632" t="s">
        <v>23</v>
      </c>
      <c r="F632" t="s">
        <v>14</v>
      </c>
      <c r="G632">
        <v>3389545</v>
      </c>
      <c r="H632">
        <f t="shared" ca="1" si="9"/>
        <v>155</v>
      </c>
      <c r="I632">
        <v>23</v>
      </c>
      <c r="J632">
        <v>3.71</v>
      </c>
      <c r="K632" t="s">
        <v>251</v>
      </c>
      <c r="L632">
        <f>_INVESTEMENTDATA[[#This Row],[Investment_Amount]]*0.18</f>
        <v>610118.1</v>
      </c>
      <c r="M632">
        <f>_INVESTEMENTDATA[[#This Row],[Investment_Amount]]*0.18*25</f>
        <v>15252952.5</v>
      </c>
    </row>
    <row r="633" spans="1:13" x14ac:dyDescent="0.25">
      <c r="A633" t="s">
        <v>1213</v>
      </c>
      <c r="B633" t="s">
        <v>11</v>
      </c>
      <c r="C633">
        <v>25</v>
      </c>
      <c r="D633" t="s">
        <v>12</v>
      </c>
      <c r="E633" t="s">
        <v>57</v>
      </c>
      <c r="F633" t="s">
        <v>14</v>
      </c>
      <c r="G633">
        <v>837716</v>
      </c>
      <c r="H633">
        <f t="shared" ca="1" si="9"/>
        <v>233</v>
      </c>
      <c r="I633">
        <v>14.18</v>
      </c>
      <c r="J633">
        <v>0.4</v>
      </c>
      <c r="K633" t="s">
        <v>1214</v>
      </c>
      <c r="L633">
        <f>_INVESTEMENTDATA[[#This Row],[Investment_Amount]]*0.18</f>
        <v>150788.88</v>
      </c>
      <c r="M633">
        <f>_INVESTEMENTDATA[[#This Row],[Investment_Amount]]*0.18*25</f>
        <v>3769722</v>
      </c>
    </row>
    <row r="634" spans="1:13" x14ac:dyDescent="0.25">
      <c r="A634" t="s">
        <v>1215</v>
      </c>
      <c r="B634" t="s">
        <v>17</v>
      </c>
      <c r="C634">
        <v>54</v>
      </c>
      <c r="D634" t="s">
        <v>18</v>
      </c>
      <c r="E634" t="s">
        <v>29</v>
      </c>
      <c r="F634" t="s">
        <v>30</v>
      </c>
      <c r="G634">
        <v>1388829</v>
      </c>
      <c r="H634">
        <f t="shared" ca="1" si="9"/>
        <v>329</v>
      </c>
      <c r="I634">
        <v>10.91</v>
      </c>
      <c r="J634">
        <v>17.010000000000002</v>
      </c>
      <c r="K634" t="s">
        <v>1216</v>
      </c>
      <c r="L634">
        <f>_INVESTEMENTDATA[[#This Row],[Investment_Amount]]*0.18</f>
        <v>249989.22</v>
      </c>
      <c r="M634">
        <f>_INVESTEMENTDATA[[#This Row],[Investment_Amount]]*0.18*25</f>
        <v>6249730.5</v>
      </c>
    </row>
    <row r="635" spans="1:13" x14ac:dyDescent="0.25">
      <c r="A635" t="s">
        <v>1217</v>
      </c>
      <c r="B635" t="s">
        <v>11</v>
      </c>
      <c r="C635">
        <v>23</v>
      </c>
      <c r="D635" t="s">
        <v>38</v>
      </c>
      <c r="E635" t="s">
        <v>57</v>
      </c>
      <c r="F635" t="s">
        <v>35</v>
      </c>
      <c r="G635">
        <v>695990</v>
      </c>
      <c r="H635">
        <f t="shared" ca="1" si="9"/>
        <v>92</v>
      </c>
      <c r="I635">
        <v>12.4</v>
      </c>
      <c r="J635">
        <v>41.24</v>
      </c>
      <c r="K635" t="s">
        <v>1218</v>
      </c>
      <c r="L635">
        <f>_INVESTEMENTDATA[[#This Row],[Investment_Amount]]*0.18</f>
        <v>125278.2</v>
      </c>
      <c r="M635">
        <f>_INVESTEMENTDATA[[#This Row],[Investment_Amount]]*0.18*25</f>
        <v>3131955</v>
      </c>
    </row>
    <row r="636" spans="1:13" x14ac:dyDescent="0.25">
      <c r="A636" t="s">
        <v>1219</v>
      </c>
      <c r="B636" t="s">
        <v>17</v>
      </c>
      <c r="C636">
        <v>44</v>
      </c>
      <c r="D636" t="s">
        <v>38</v>
      </c>
      <c r="E636" t="s">
        <v>19</v>
      </c>
      <c r="F636" t="s">
        <v>41</v>
      </c>
      <c r="G636">
        <v>3031768</v>
      </c>
      <c r="H636">
        <f t="shared" ca="1" si="9"/>
        <v>314</v>
      </c>
      <c r="I636">
        <v>18.68</v>
      </c>
      <c r="J636">
        <v>0.9</v>
      </c>
      <c r="K636" t="s">
        <v>1220</v>
      </c>
      <c r="L636">
        <f>_INVESTEMENTDATA[[#This Row],[Investment_Amount]]*0.18</f>
        <v>545718.24</v>
      </c>
      <c r="M636">
        <f>_INVESTEMENTDATA[[#This Row],[Investment_Amount]]*0.18*25</f>
        <v>13642956</v>
      </c>
    </row>
    <row r="637" spans="1:13" x14ac:dyDescent="0.25">
      <c r="A637" t="s">
        <v>1221</v>
      </c>
      <c r="B637" t="s">
        <v>11</v>
      </c>
      <c r="C637">
        <v>45</v>
      </c>
      <c r="D637" t="s">
        <v>38</v>
      </c>
      <c r="E637" t="s">
        <v>29</v>
      </c>
      <c r="F637" t="s">
        <v>47</v>
      </c>
      <c r="G637">
        <v>2384096</v>
      </c>
      <c r="H637">
        <f t="shared" ca="1" si="9"/>
        <v>192</v>
      </c>
      <c r="I637">
        <v>22.59</v>
      </c>
      <c r="J637">
        <v>14.13</v>
      </c>
      <c r="K637" t="s">
        <v>1222</v>
      </c>
      <c r="L637">
        <f>_INVESTEMENTDATA[[#This Row],[Investment_Amount]]*0.18</f>
        <v>429137.27999999997</v>
      </c>
      <c r="M637">
        <f>_INVESTEMENTDATA[[#This Row],[Investment_Amount]]*0.18*25</f>
        <v>10728432</v>
      </c>
    </row>
    <row r="638" spans="1:13" x14ac:dyDescent="0.25">
      <c r="A638" t="s">
        <v>1223</v>
      </c>
      <c r="B638" t="s">
        <v>11</v>
      </c>
      <c r="C638">
        <v>25</v>
      </c>
      <c r="D638" t="s">
        <v>18</v>
      </c>
      <c r="E638" t="s">
        <v>29</v>
      </c>
      <c r="F638" t="s">
        <v>41</v>
      </c>
      <c r="G638">
        <v>3263923</v>
      </c>
      <c r="H638">
        <f t="shared" ca="1" si="9"/>
        <v>166</v>
      </c>
      <c r="I638">
        <v>27.56</v>
      </c>
      <c r="J638">
        <v>40.729999999999997</v>
      </c>
      <c r="K638" t="s">
        <v>1224</v>
      </c>
      <c r="L638">
        <f>_INVESTEMENTDATA[[#This Row],[Investment_Amount]]*0.18</f>
        <v>587506.14</v>
      </c>
      <c r="M638">
        <f>_INVESTEMENTDATA[[#This Row],[Investment_Amount]]*0.18*25</f>
        <v>14687653.5</v>
      </c>
    </row>
    <row r="639" spans="1:13" x14ac:dyDescent="0.25">
      <c r="A639" t="s">
        <v>1225</v>
      </c>
      <c r="B639" t="s">
        <v>17</v>
      </c>
      <c r="C639">
        <v>47</v>
      </c>
      <c r="D639" t="s">
        <v>38</v>
      </c>
      <c r="E639" t="s">
        <v>23</v>
      </c>
      <c r="F639" t="s">
        <v>30</v>
      </c>
      <c r="G639">
        <v>1730352</v>
      </c>
      <c r="H639">
        <f t="shared" ca="1" si="9"/>
        <v>340</v>
      </c>
      <c r="I639">
        <v>18.739999999999998</v>
      </c>
      <c r="J639">
        <v>34.450000000000003</v>
      </c>
      <c r="K639" t="s">
        <v>808</v>
      </c>
      <c r="L639">
        <f>_INVESTEMENTDATA[[#This Row],[Investment_Amount]]*0.18</f>
        <v>311463.36</v>
      </c>
      <c r="M639">
        <f>_INVESTEMENTDATA[[#This Row],[Investment_Amount]]*0.18*25</f>
        <v>7786584</v>
      </c>
    </row>
    <row r="640" spans="1:13" x14ac:dyDescent="0.25">
      <c r="A640" t="s">
        <v>1226</v>
      </c>
      <c r="B640" t="s">
        <v>17</v>
      </c>
      <c r="C640">
        <v>39</v>
      </c>
      <c r="D640" t="s">
        <v>12</v>
      </c>
      <c r="E640" t="s">
        <v>50</v>
      </c>
      <c r="F640" t="s">
        <v>20</v>
      </c>
      <c r="G640">
        <v>2841460</v>
      </c>
      <c r="H640">
        <f t="shared" ca="1" si="9"/>
        <v>100</v>
      </c>
      <c r="I640">
        <v>10.34</v>
      </c>
      <c r="J640">
        <v>3.08</v>
      </c>
      <c r="K640" t="s">
        <v>593</v>
      </c>
      <c r="L640">
        <f>_INVESTEMENTDATA[[#This Row],[Investment_Amount]]*0.18</f>
        <v>511462.8</v>
      </c>
      <c r="M640">
        <f>_INVESTEMENTDATA[[#This Row],[Investment_Amount]]*0.18*25</f>
        <v>12786570</v>
      </c>
    </row>
    <row r="641" spans="1:13" x14ac:dyDescent="0.25">
      <c r="A641" t="s">
        <v>1227</v>
      </c>
      <c r="B641" t="s">
        <v>17</v>
      </c>
      <c r="C641">
        <v>47</v>
      </c>
      <c r="D641" t="s">
        <v>18</v>
      </c>
      <c r="E641" t="s">
        <v>50</v>
      </c>
      <c r="F641" t="s">
        <v>47</v>
      </c>
      <c r="G641">
        <v>3679256</v>
      </c>
      <c r="H641">
        <f t="shared" ca="1" si="9"/>
        <v>237</v>
      </c>
      <c r="I641">
        <v>19.010000000000002</v>
      </c>
      <c r="J641">
        <v>42.81</v>
      </c>
      <c r="K641" t="s">
        <v>848</v>
      </c>
      <c r="L641">
        <f>_INVESTEMENTDATA[[#This Row],[Investment_Amount]]*0.18</f>
        <v>662266.07999999996</v>
      </c>
      <c r="M641">
        <f>_INVESTEMENTDATA[[#This Row],[Investment_Amount]]*0.18*25</f>
        <v>16556651.999999998</v>
      </c>
    </row>
    <row r="642" spans="1:13" x14ac:dyDescent="0.25">
      <c r="A642" t="s">
        <v>1228</v>
      </c>
      <c r="B642" t="s">
        <v>17</v>
      </c>
      <c r="C642">
        <v>37</v>
      </c>
      <c r="D642" t="s">
        <v>28</v>
      </c>
      <c r="E642" t="s">
        <v>19</v>
      </c>
      <c r="F642" t="s">
        <v>20</v>
      </c>
      <c r="G642">
        <v>1880295</v>
      </c>
      <c r="H642">
        <f t="shared" ref="H642:H705" ca="1" si="10">RANDBETWEEN(7,365)</f>
        <v>88</v>
      </c>
      <c r="I642">
        <v>27.78</v>
      </c>
      <c r="J642">
        <v>38.369999999999997</v>
      </c>
      <c r="K642" t="s">
        <v>1229</v>
      </c>
      <c r="L642">
        <f>_INVESTEMENTDATA[[#This Row],[Investment_Amount]]*0.18</f>
        <v>338453.1</v>
      </c>
      <c r="M642">
        <f>_INVESTEMENTDATA[[#This Row],[Investment_Amount]]*0.18*25</f>
        <v>8461327.5</v>
      </c>
    </row>
    <row r="643" spans="1:13" x14ac:dyDescent="0.25">
      <c r="A643" t="s">
        <v>1230</v>
      </c>
      <c r="B643" t="s">
        <v>17</v>
      </c>
      <c r="C643">
        <v>61</v>
      </c>
      <c r="D643" t="s">
        <v>28</v>
      </c>
      <c r="E643" t="s">
        <v>23</v>
      </c>
      <c r="F643" t="s">
        <v>47</v>
      </c>
      <c r="G643">
        <v>3175144</v>
      </c>
      <c r="H643">
        <f t="shared" ca="1" si="10"/>
        <v>345</v>
      </c>
      <c r="I643">
        <v>17.09</v>
      </c>
      <c r="J643">
        <v>36.159999999999997</v>
      </c>
      <c r="K643" t="s">
        <v>1231</v>
      </c>
      <c r="L643">
        <f>_INVESTEMENTDATA[[#This Row],[Investment_Amount]]*0.18</f>
        <v>571525.91999999993</v>
      </c>
      <c r="M643">
        <f>_INVESTEMENTDATA[[#This Row],[Investment_Amount]]*0.18*25</f>
        <v>14288147.999999998</v>
      </c>
    </row>
    <row r="644" spans="1:13" x14ac:dyDescent="0.25">
      <c r="A644" t="s">
        <v>1232</v>
      </c>
      <c r="B644" t="s">
        <v>11</v>
      </c>
      <c r="C644">
        <v>24</v>
      </c>
      <c r="D644" t="s">
        <v>18</v>
      </c>
      <c r="E644" t="s">
        <v>50</v>
      </c>
      <c r="F644" t="s">
        <v>20</v>
      </c>
      <c r="G644">
        <v>1055504</v>
      </c>
      <c r="H644">
        <f t="shared" ca="1" si="10"/>
        <v>80</v>
      </c>
      <c r="I644">
        <v>5.27</v>
      </c>
      <c r="J644">
        <v>-6.08</v>
      </c>
      <c r="K644" t="s">
        <v>1233</v>
      </c>
      <c r="L644">
        <f>_INVESTEMENTDATA[[#This Row],[Investment_Amount]]*0.18</f>
        <v>189990.72</v>
      </c>
      <c r="M644">
        <f>_INVESTEMENTDATA[[#This Row],[Investment_Amount]]*0.18*25</f>
        <v>4749768</v>
      </c>
    </row>
    <row r="645" spans="1:13" x14ac:dyDescent="0.25">
      <c r="A645" t="s">
        <v>1234</v>
      </c>
      <c r="B645" t="s">
        <v>17</v>
      </c>
      <c r="C645">
        <v>43</v>
      </c>
      <c r="D645" t="s">
        <v>18</v>
      </c>
      <c r="E645" t="s">
        <v>23</v>
      </c>
      <c r="F645" t="s">
        <v>35</v>
      </c>
      <c r="G645">
        <v>4856339</v>
      </c>
      <c r="H645">
        <f t="shared" ca="1" si="10"/>
        <v>216</v>
      </c>
      <c r="I645">
        <v>10.84</v>
      </c>
      <c r="J645">
        <v>-2.72</v>
      </c>
      <c r="K645" t="s">
        <v>1235</v>
      </c>
      <c r="L645">
        <f>_INVESTEMENTDATA[[#This Row],[Investment_Amount]]*0.18</f>
        <v>874141.02</v>
      </c>
      <c r="M645">
        <f>_INVESTEMENTDATA[[#This Row],[Investment_Amount]]*0.18*25</f>
        <v>21853525.5</v>
      </c>
    </row>
    <row r="646" spans="1:13" x14ac:dyDescent="0.25">
      <c r="A646" t="s">
        <v>1236</v>
      </c>
      <c r="B646" t="s">
        <v>17</v>
      </c>
      <c r="C646">
        <v>64</v>
      </c>
      <c r="D646" t="s">
        <v>18</v>
      </c>
      <c r="E646" t="s">
        <v>19</v>
      </c>
      <c r="F646" t="s">
        <v>35</v>
      </c>
      <c r="G646">
        <v>1227269</v>
      </c>
      <c r="H646">
        <f t="shared" ca="1" si="10"/>
        <v>26</v>
      </c>
      <c r="I646">
        <v>8.36</v>
      </c>
      <c r="J646">
        <v>-3.73</v>
      </c>
      <c r="K646" t="s">
        <v>1237</v>
      </c>
      <c r="L646">
        <f>_INVESTEMENTDATA[[#This Row],[Investment_Amount]]*0.18</f>
        <v>220908.41999999998</v>
      </c>
      <c r="M646">
        <f>_INVESTEMENTDATA[[#This Row],[Investment_Amount]]*0.18*25</f>
        <v>5522710.5</v>
      </c>
    </row>
    <row r="647" spans="1:13" x14ac:dyDescent="0.25">
      <c r="A647" t="s">
        <v>1238</v>
      </c>
      <c r="B647" t="s">
        <v>17</v>
      </c>
      <c r="C647">
        <v>50</v>
      </c>
      <c r="D647" t="s">
        <v>46</v>
      </c>
      <c r="E647" t="s">
        <v>23</v>
      </c>
      <c r="F647" t="s">
        <v>14</v>
      </c>
      <c r="G647">
        <v>3429064</v>
      </c>
      <c r="H647">
        <f t="shared" ca="1" si="10"/>
        <v>282</v>
      </c>
      <c r="I647">
        <v>6.52</v>
      </c>
      <c r="J647">
        <v>19.760000000000002</v>
      </c>
      <c r="K647" t="s">
        <v>1239</v>
      </c>
      <c r="L647">
        <f>_INVESTEMENTDATA[[#This Row],[Investment_Amount]]*0.18</f>
        <v>617231.52</v>
      </c>
      <c r="M647">
        <f>_INVESTEMENTDATA[[#This Row],[Investment_Amount]]*0.18*25</f>
        <v>15430788</v>
      </c>
    </row>
    <row r="648" spans="1:13" x14ac:dyDescent="0.25">
      <c r="A648" t="s">
        <v>1240</v>
      </c>
      <c r="B648" t="s">
        <v>17</v>
      </c>
      <c r="C648">
        <v>65</v>
      </c>
      <c r="D648" t="s">
        <v>18</v>
      </c>
      <c r="E648" t="s">
        <v>23</v>
      </c>
      <c r="F648" t="s">
        <v>47</v>
      </c>
      <c r="G648">
        <v>3055677</v>
      </c>
      <c r="H648">
        <f t="shared" ca="1" si="10"/>
        <v>346</v>
      </c>
      <c r="I648">
        <v>34.93</v>
      </c>
      <c r="J648">
        <v>8.8000000000000007</v>
      </c>
      <c r="K648" t="s">
        <v>1241</v>
      </c>
      <c r="L648">
        <f>_INVESTEMENTDATA[[#This Row],[Investment_Amount]]*0.18</f>
        <v>550021.86</v>
      </c>
      <c r="M648">
        <f>_INVESTEMENTDATA[[#This Row],[Investment_Amount]]*0.18*25</f>
        <v>13750546.5</v>
      </c>
    </row>
    <row r="649" spans="1:13" x14ac:dyDescent="0.25">
      <c r="A649" t="s">
        <v>1242</v>
      </c>
      <c r="B649" t="s">
        <v>17</v>
      </c>
      <c r="C649">
        <v>27</v>
      </c>
      <c r="D649" t="s">
        <v>28</v>
      </c>
      <c r="E649" t="s">
        <v>50</v>
      </c>
      <c r="F649" t="s">
        <v>41</v>
      </c>
      <c r="G649">
        <v>4385122</v>
      </c>
      <c r="H649">
        <f t="shared" ca="1" si="10"/>
        <v>99</v>
      </c>
      <c r="I649">
        <v>12.84</v>
      </c>
      <c r="J649">
        <v>11.67</v>
      </c>
      <c r="K649" t="s">
        <v>1243</v>
      </c>
      <c r="L649">
        <f>_INVESTEMENTDATA[[#This Row],[Investment_Amount]]*0.18</f>
        <v>789321.96</v>
      </c>
      <c r="M649">
        <f>_INVESTEMENTDATA[[#This Row],[Investment_Amount]]*0.18*25</f>
        <v>19733049</v>
      </c>
    </row>
    <row r="650" spans="1:13" x14ac:dyDescent="0.25">
      <c r="A650" t="s">
        <v>1244</v>
      </c>
      <c r="B650" t="s">
        <v>17</v>
      </c>
      <c r="C650">
        <v>44</v>
      </c>
      <c r="D650" t="s">
        <v>12</v>
      </c>
      <c r="E650" t="s">
        <v>23</v>
      </c>
      <c r="F650" t="s">
        <v>35</v>
      </c>
      <c r="G650">
        <v>2317308</v>
      </c>
      <c r="H650">
        <f t="shared" ca="1" si="10"/>
        <v>189</v>
      </c>
      <c r="I650">
        <v>26.68</v>
      </c>
      <c r="J650">
        <v>29.17</v>
      </c>
      <c r="K650" t="s">
        <v>694</v>
      </c>
      <c r="L650">
        <f>_INVESTEMENTDATA[[#This Row],[Investment_Amount]]*0.18</f>
        <v>417115.44</v>
      </c>
      <c r="M650">
        <f>_INVESTEMENTDATA[[#This Row],[Investment_Amount]]*0.18*25</f>
        <v>10427886</v>
      </c>
    </row>
    <row r="651" spans="1:13" x14ac:dyDescent="0.25">
      <c r="A651" t="s">
        <v>1245</v>
      </c>
      <c r="B651" t="s">
        <v>17</v>
      </c>
      <c r="C651">
        <v>58</v>
      </c>
      <c r="D651" t="s">
        <v>46</v>
      </c>
      <c r="E651" t="s">
        <v>57</v>
      </c>
      <c r="F651" t="s">
        <v>41</v>
      </c>
      <c r="G651">
        <v>448275</v>
      </c>
      <c r="H651">
        <f t="shared" ca="1" si="10"/>
        <v>304</v>
      </c>
      <c r="I651">
        <v>16.100000000000001</v>
      </c>
      <c r="J651">
        <v>-4.38</v>
      </c>
      <c r="K651" t="s">
        <v>1246</v>
      </c>
      <c r="L651">
        <f>_INVESTEMENTDATA[[#This Row],[Investment_Amount]]*0.18</f>
        <v>80689.5</v>
      </c>
      <c r="M651">
        <f>_INVESTEMENTDATA[[#This Row],[Investment_Amount]]*0.18*25</f>
        <v>2017237.5</v>
      </c>
    </row>
    <row r="652" spans="1:13" x14ac:dyDescent="0.25">
      <c r="A652" t="s">
        <v>1247</v>
      </c>
      <c r="B652" t="s">
        <v>17</v>
      </c>
      <c r="C652">
        <v>30</v>
      </c>
      <c r="D652" t="s">
        <v>46</v>
      </c>
      <c r="E652" t="s">
        <v>29</v>
      </c>
      <c r="F652" t="s">
        <v>35</v>
      </c>
      <c r="G652">
        <v>2986613</v>
      </c>
      <c r="H652">
        <f t="shared" ca="1" si="10"/>
        <v>324</v>
      </c>
      <c r="I652">
        <v>10.62</v>
      </c>
      <c r="J652">
        <v>29.89</v>
      </c>
      <c r="K652" t="s">
        <v>1248</v>
      </c>
      <c r="L652">
        <f>_INVESTEMENTDATA[[#This Row],[Investment_Amount]]*0.18</f>
        <v>537590.34</v>
      </c>
      <c r="M652">
        <f>_INVESTEMENTDATA[[#This Row],[Investment_Amount]]*0.18*25</f>
        <v>13439758.5</v>
      </c>
    </row>
    <row r="653" spans="1:13" x14ac:dyDescent="0.25">
      <c r="A653" t="s">
        <v>1249</v>
      </c>
      <c r="B653" t="s">
        <v>17</v>
      </c>
      <c r="C653">
        <v>64</v>
      </c>
      <c r="D653" t="s">
        <v>12</v>
      </c>
      <c r="E653" t="s">
        <v>13</v>
      </c>
      <c r="F653" t="s">
        <v>20</v>
      </c>
      <c r="G653">
        <v>1007105</v>
      </c>
      <c r="H653">
        <f t="shared" ca="1" si="10"/>
        <v>160</v>
      </c>
      <c r="I653">
        <v>27.67</v>
      </c>
      <c r="J653">
        <v>31.95</v>
      </c>
      <c r="K653" t="s">
        <v>1250</v>
      </c>
      <c r="L653">
        <f>_INVESTEMENTDATA[[#This Row],[Investment_Amount]]*0.18</f>
        <v>181278.9</v>
      </c>
      <c r="M653">
        <f>_INVESTEMENTDATA[[#This Row],[Investment_Amount]]*0.18*25</f>
        <v>4531972.5</v>
      </c>
    </row>
    <row r="654" spans="1:13" x14ac:dyDescent="0.25">
      <c r="A654" t="s">
        <v>1251</v>
      </c>
      <c r="B654" t="s">
        <v>17</v>
      </c>
      <c r="C654">
        <v>24</v>
      </c>
      <c r="D654" t="s">
        <v>46</v>
      </c>
      <c r="E654" t="s">
        <v>13</v>
      </c>
      <c r="F654" t="s">
        <v>41</v>
      </c>
      <c r="G654">
        <v>909840</v>
      </c>
      <c r="H654">
        <f t="shared" ca="1" si="10"/>
        <v>340</v>
      </c>
      <c r="I654">
        <v>24.84</v>
      </c>
      <c r="J654">
        <v>35.479999999999997</v>
      </c>
      <c r="K654" t="s">
        <v>1252</v>
      </c>
      <c r="L654">
        <f>_INVESTEMENTDATA[[#This Row],[Investment_Amount]]*0.18</f>
        <v>163771.19999999998</v>
      </c>
      <c r="M654">
        <f>_INVESTEMENTDATA[[#This Row],[Investment_Amount]]*0.18*25</f>
        <v>4094279.9999999995</v>
      </c>
    </row>
    <row r="655" spans="1:13" x14ac:dyDescent="0.25">
      <c r="A655" t="s">
        <v>1253</v>
      </c>
      <c r="B655" t="s">
        <v>11</v>
      </c>
      <c r="C655">
        <v>21</v>
      </c>
      <c r="D655" t="s">
        <v>46</v>
      </c>
      <c r="E655" t="s">
        <v>50</v>
      </c>
      <c r="F655" t="s">
        <v>47</v>
      </c>
      <c r="G655">
        <v>2781804</v>
      </c>
      <c r="H655">
        <f t="shared" ca="1" si="10"/>
        <v>124</v>
      </c>
      <c r="I655">
        <v>30.29</v>
      </c>
      <c r="J655">
        <v>28.29</v>
      </c>
      <c r="K655" t="s">
        <v>1254</v>
      </c>
      <c r="L655">
        <f>_INVESTEMENTDATA[[#This Row],[Investment_Amount]]*0.18</f>
        <v>500724.72</v>
      </c>
      <c r="M655">
        <f>_INVESTEMENTDATA[[#This Row],[Investment_Amount]]*0.18*25</f>
        <v>12518118</v>
      </c>
    </row>
    <row r="656" spans="1:13" x14ac:dyDescent="0.25">
      <c r="A656" t="s">
        <v>1255</v>
      </c>
      <c r="B656" t="s">
        <v>11</v>
      </c>
      <c r="C656">
        <v>30</v>
      </c>
      <c r="D656" t="s">
        <v>28</v>
      </c>
      <c r="E656" t="s">
        <v>19</v>
      </c>
      <c r="F656" t="s">
        <v>41</v>
      </c>
      <c r="G656">
        <v>3837200</v>
      </c>
      <c r="H656">
        <f t="shared" ca="1" si="10"/>
        <v>306</v>
      </c>
      <c r="I656">
        <v>29.06</v>
      </c>
      <c r="J656">
        <v>14.74</v>
      </c>
      <c r="K656" t="s">
        <v>1256</v>
      </c>
      <c r="L656">
        <f>_INVESTEMENTDATA[[#This Row],[Investment_Amount]]*0.18</f>
        <v>690696</v>
      </c>
      <c r="M656">
        <f>_INVESTEMENTDATA[[#This Row],[Investment_Amount]]*0.18*25</f>
        <v>17267400</v>
      </c>
    </row>
    <row r="657" spans="1:13" x14ac:dyDescent="0.25">
      <c r="A657" t="s">
        <v>1257</v>
      </c>
      <c r="B657" t="s">
        <v>11</v>
      </c>
      <c r="C657">
        <v>53</v>
      </c>
      <c r="D657" t="s">
        <v>28</v>
      </c>
      <c r="E657" t="s">
        <v>23</v>
      </c>
      <c r="F657" t="s">
        <v>20</v>
      </c>
      <c r="G657">
        <v>87713</v>
      </c>
      <c r="H657">
        <f t="shared" ca="1" si="10"/>
        <v>99</v>
      </c>
      <c r="I657">
        <v>21.55</v>
      </c>
      <c r="J657">
        <v>29.53</v>
      </c>
      <c r="K657" t="s">
        <v>1258</v>
      </c>
      <c r="L657">
        <f>_INVESTEMENTDATA[[#This Row],[Investment_Amount]]*0.18</f>
        <v>15788.34</v>
      </c>
      <c r="M657">
        <f>_INVESTEMENTDATA[[#This Row],[Investment_Amount]]*0.18*25</f>
        <v>394708.5</v>
      </c>
    </row>
    <row r="658" spans="1:13" x14ac:dyDescent="0.25">
      <c r="A658" t="s">
        <v>1259</v>
      </c>
      <c r="B658" t="s">
        <v>11</v>
      </c>
      <c r="C658">
        <v>65</v>
      </c>
      <c r="D658" t="s">
        <v>38</v>
      </c>
      <c r="E658" t="s">
        <v>50</v>
      </c>
      <c r="F658" t="s">
        <v>41</v>
      </c>
      <c r="G658">
        <v>4793868</v>
      </c>
      <c r="H658">
        <f t="shared" ca="1" si="10"/>
        <v>21</v>
      </c>
      <c r="I658">
        <v>10.82</v>
      </c>
      <c r="J658">
        <v>-1.39</v>
      </c>
      <c r="K658" t="s">
        <v>1118</v>
      </c>
      <c r="L658">
        <f>_INVESTEMENTDATA[[#This Row],[Investment_Amount]]*0.18</f>
        <v>862896.24</v>
      </c>
      <c r="M658">
        <f>_INVESTEMENTDATA[[#This Row],[Investment_Amount]]*0.18*25</f>
        <v>21572406</v>
      </c>
    </row>
    <row r="659" spans="1:13" x14ac:dyDescent="0.25">
      <c r="A659" t="s">
        <v>1260</v>
      </c>
      <c r="B659" t="s">
        <v>17</v>
      </c>
      <c r="C659">
        <v>64</v>
      </c>
      <c r="D659" t="s">
        <v>38</v>
      </c>
      <c r="E659" t="s">
        <v>29</v>
      </c>
      <c r="F659" t="s">
        <v>35</v>
      </c>
      <c r="G659">
        <v>2162163</v>
      </c>
      <c r="H659">
        <f t="shared" ca="1" si="10"/>
        <v>246</v>
      </c>
      <c r="I659">
        <v>10.96</v>
      </c>
      <c r="J659">
        <v>30.94</v>
      </c>
      <c r="K659" t="s">
        <v>674</v>
      </c>
      <c r="L659">
        <f>_INVESTEMENTDATA[[#This Row],[Investment_Amount]]*0.18</f>
        <v>389189.33999999997</v>
      </c>
      <c r="M659">
        <f>_INVESTEMENTDATA[[#This Row],[Investment_Amount]]*0.18*25</f>
        <v>9729733.5</v>
      </c>
    </row>
    <row r="660" spans="1:13" x14ac:dyDescent="0.25">
      <c r="A660" t="s">
        <v>1261</v>
      </c>
      <c r="B660" t="s">
        <v>11</v>
      </c>
      <c r="C660">
        <v>40</v>
      </c>
      <c r="D660" t="s">
        <v>46</v>
      </c>
      <c r="E660" t="s">
        <v>50</v>
      </c>
      <c r="F660" t="s">
        <v>14</v>
      </c>
      <c r="G660">
        <v>2127613</v>
      </c>
      <c r="H660">
        <f t="shared" ca="1" si="10"/>
        <v>232</v>
      </c>
      <c r="I660">
        <v>32.68</v>
      </c>
      <c r="J660">
        <v>-2.5</v>
      </c>
      <c r="K660" t="s">
        <v>33</v>
      </c>
      <c r="L660">
        <f>_INVESTEMENTDATA[[#This Row],[Investment_Amount]]*0.18</f>
        <v>382970.33999999997</v>
      </c>
      <c r="M660">
        <f>_INVESTEMENTDATA[[#This Row],[Investment_Amount]]*0.18*25</f>
        <v>9574258.5</v>
      </c>
    </row>
    <row r="661" spans="1:13" x14ac:dyDescent="0.25">
      <c r="A661" t="s">
        <v>1262</v>
      </c>
      <c r="B661" t="s">
        <v>11</v>
      </c>
      <c r="C661">
        <v>23</v>
      </c>
      <c r="D661" t="s">
        <v>46</v>
      </c>
      <c r="E661" t="s">
        <v>23</v>
      </c>
      <c r="F661" t="s">
        <v>47</v>
      </c>
      <c r="G661">
        <v>2491101</v>
      </c>
      <c r="H661">
        <f t="shared" ca="1" si="10"/>
        <v>293</v>
      </c>
      <c r="I661">
        <v>20.59</v>
      </c>
      <c r="J661">
        <v>42.58</v>
      </c>
      <c r="K661" t="s">
        <v>1263</v>
      </c>
      <c r="L661">
        <f>_INVESTEMENTDATA[[#This Row],[Investment_Amount]]*0.18</f>
        <v>448398.18</v>
      </c>
      <c r="M661">
        <f>_INVESTEMENTDATA[[#This Row],[Investment_Amount]]*0.18*25</f>
        <v>11209954.5</v>
      </c>
    </row>
    <row r="662" spans="1:13" x14ac:dyDescent="0.25">
      <c r="A662" t="s">
        <v>1264</v>
      </c>
      <c r="B662" t="s">
        <v>11</v>
      </c>
      <c r="C662">
        <v>35</v>
      </c>
      <c r="D662" t="s">
        <v>12</v>
      </c>
      <c r="E662" t="s">
        <v>57</v>
      </c>
      <c r="F662" t="s">
        <v>47</v>
      </c>
      <c r="G662">
        <v>3386913</v>
      </c>
      <c r="H662">
        <f t="shared" ca="1" si="10"/>
        <v>276</v>
      </c>
      <c r="I662">
        <v>27.68</v>
      </c>
      <c r="J662">
        <v>-6.07</v>
      </c>
      <c r="K662" t="s">
        <v>1265</v>
      </c>
      <c r="L662">
        <f>_INVESTEMENTDATA[[#This Row],[Investment_Amount]]*0.18</f>
        <v>609644.34</v>
      </c>
      <c r="M662">
        <f>_INVESTEMENTDATA[[#This Row],[Investment_Amount]]*0.18*25</f>
        <v>15241108.5</v>
      </c>
    </row>
    <row r="663" spans="1:13" x14ac:dyDescent="0.25">
      <c r="A663" t="s">
        <v>1266</v>
      </c>
      <c r="B663" t="s">
        <v>11</v>
      </c>
      <c r="C663">
        <v>32</v>
      </c>
      <c r="D663" t="s">
        <v>28</v>
      </c>
      <c r="E663" t="s">
        <v>19</v>
      </c>
      <c r="F663" t="s">
        <v>35</v>
      </c>
      <c r="G663">
        <v>666794</v>
      </c>
      <c r="H663">
        <f t="shared" ca="1" si="10"/>
        <v>336</v>
      </c>
      <c r="I663">
        <v>17.399999999999999</v>
      </c>
      <c r="J663">
        <v>3.84</v>
      </c>
      <c r="K663" t="s">
        <v>1052</v>
      </c>
      <c r="L663">
        <f>_INVESTEMENTDATA[[#This Row],[Investment_Amount]]*0.18</f>
        <v>120022.92</v>
      </c>
      <c r="M663">
        <f>_INVESTEMENTDATA[[#This Row],[Investment_Amount]]*0.18*25</f>
        <v>3000573</v>
      </c>
    </row>
    <row r="664" spans="1:13" x14ac:dyDescent="0.25">
      <c r="A664" t="s">
        <v>1267</v>
      </c>
      <c r="B664" t="s">
        <v>11</v>
      </c>
      <c r="C664">
        <v>23</v>
      </c>
      <c r="D664" t="s">
        <v>12</v>
      </c>
      <c r="E664" t="s">
        <v>29</v>
      </c>
      <c r="F664" t="s">
        <v>30</v>
      </c>
      <c r="G664">
        <v>1383734</v>
      </c>
      <c r="H664">
        <f t="shared" ca="1" si="10"/>
        <v>191</v>
      </c>
      <c r="I664">
        <v>5.4</v>
      </c>
      <c r="J664">
        <v>-9.98</v>
      </c>
      <c r="K664" t="s">
        <v>1040</v>
      </c>
      <c r="L664">
        <f>_INVESTEMENTDATA[[#This Row],[Investment_Amount]]*0.18</f>
        <v>249072.12</v>
      </c>
      <c r="M664">
        <f>_INVESTEMENTDATA[[#This Row],[Investment_Amount]]*0.18*25</f>
        <v>6226803</v>
      </c>
    </row>
    <row r="665" spans="1:13" x14ac:dyDescent="0.25">
      <c r="A665" t="s">
        <v>1268</v>
      </c>
      <c r="B665" t="s">
        <v>17</v>
      </c>
      <c r="C665">
        <v>34</v>
      </c>
      <c r="D665" t="s">
        <v>38</v>
      </c>
      <c r="E665" t="s">
        <v>57</v>
      </c>
      <c r="F665" t="s">
        <v>41</v>
      </c>
      <c r="G665">
        <v>4417412</v>
      </c>
      <c r="H665">
        <f t="shared" ca="1" si="10"/>
        <v>361</v>
      </c>
      <c r="I665">
        <v>11.77</v>
      </c>
      <c r="J665">
        <v>4.99</v>
      </c>
      <c r="K665" t="s">
        <v>1269</v>
      </c>
      <c r="L665">
        <f>_INVESTEMENTDATA[[#This Row],[Investment_Amount]]*0.18</f>
        <v>795134.15999999992</v>
      </c>
      <c r="M665">
        <f>_INVESTEMENTDATA[[#This Row],[Investment_Amount]]*0.18*25</f>
        <v>19878353.999999996</v>
      </c>
    </row>
    <row r="666" spans="1:13" x14ac:dyDescent="0.25">
      <c r="A666" t="s">
        <v>1270</v>
      </c>
      <c r="B666" t="s">
        <v>11</v>
      </c>
      <c r="C666">
        <v>38</v>
      </c>
      <c r="D666" t="s">
        <v>46</v>
      </c>
      <c r="E666" t="s">
        <v>50</v>
      </c>
      <c r="F666" t="s">
        <v>20</v>
      </c>
      <c r="G666">
        <v>579837</v>
      </c>
      <c r="H666">
        <f t="shared" ca="1" si="10"/>
        <v>342</v>
      </c>
      <c r="I666">
        <v>15.73</v>
      </c>
      <c r="J666">
        <v>5.23</v>
      </c>
      <c r="K666" t="s">
        <v>1271</v>
      </c>
      <c r="L666">
        <f>_INVESTEMENTDATA[[#This Row],[Investment_Amount]]*0.18</f>
        <v>104370.65999999999</v>
      </c>
      <c r="M666">
        <f>_INVESTEMENTDATA[[#This Row],[Investment_Amount]]*0.18*25</f>
        <v>2609266.4999999995</v>
      </c>
    </row>
    <row r="667" spans="1:13" x14ac:dyDescent="0.25">
      <c r="A667" t="s">
        <v>1272</v>
      </c>
      <c r="B667" t="s">
        <v>11</v>
      </c>
      <c r="C667">
        <v>37</v>
      </c>
      <c r="D667" t="s">
        <v>18</v>
      </c>
      <c r="E667" t="s">
        <v>57</v>
      </c>
      <c r="F667" t="s">
        <v>47</v>
      </c>
      <c r="G667">
        <v>2565996</v>
      </c>
      <c r="H667">
        <f t="shared" ca="1" si="10"/>
        <v>179</v>
      </c>
      <c r="I667">
        <v>23.99</v>
      </c>
      <c r="J667">
        <v>18.07</v>
      </c>
      <c r="K667" t="s">
        <v>1273</v>
      </c>
      <c r="L667">
        <f>_INVESTEMENTDATA[[#This Row],[Investment_Amount]]*0.18</f>
        <v>461879.27999999997</v>
      </c>
      <c r="M667">
        <f>_INVESTEMENTDATA[[#This Row],[Investment_Amount]]*0.18*25</f>
        <v>11546982</v>
      </c>
    </row>
    <row r="668" spans="1:13" x14ac:dyDescent="0.25">
      <c r="A668" t="s">
        <v>1274</v>
      </c>
      <c r="B668" t="s">
        <v>17</v>
      </c>
      <c r="C668">
        <v>27</v>
      </c>
      <c r="D668" t="s">
        <v>12</v>
      </c>
      <c r="E668" t="s">
        <v>57</v>
      </c>
      <c r="F668" t="s">
        <v>35</v>
      </c>
      <c r="G668">
        <v>3967006</v>
      </c>
      <c r="H668">
        <f t="shared" ca="1" si="10"/>
        <v>13</v>
      </c>
      <c r="I668">
        <v>28.23</v>
      </c>
      <c r="J668">
        <v>28.41</v>
      </c>
      <c r="K668" t="s">
        <v>1275</v>
      </c>
      <c r="L668">
        <f>_INVESTEMENTDATA[[#This Row],[Investment_Amount]]*0.18</f>
        <v>714061.08</v>
      </c>
      <c r="M668">
        <f>_INVESTEMENTDATA[[#This Row],[Investment_Amount]]*0.18*25</f>
        <v>17851527</v>
      </c>
    </row>
    <row r="669" spans="1:13" x14ac:dyDescent="0.25">
      <c r="A669" t="s">
        <v>1276</v>
      </c>
      <c r="B669" t="s">
        <v>17</v>
      </c>
      <c r="C669">
        <v>63</v>
      </c>
      <c r="D669" t="s">
        <v>18</v>
      </c>
      <c r="E669" t="s">
        <v>19</v>
      </c>
      <c r="F669" t="s">
        <v>20</v>
      </c>
      <c r="G669">
        <v>4325587</v>
      </c>
      <c r="H669">
        <f t="shared" ca="1" si="10"/>
        <v>83</v>
      </c>
      <c r="I669">
        <v>8.08</v>
      </c>
      <c r="J669">
        <v>22.97</v>
      </c>
      <c r="K669" t="s">
        <v>214</v>
      </c>
      <c r="L669">
        <f>_INVESTEMENTDATA[[#This Row],[Investment_Amount]]*0.18</f>
        <v>778605.65999999992</v>
      </c>
      <c r="M669">
        <f>_INVESTEMENTDATA[[#This Row],[Investment_Amount]]*0.18*25</f>
        <v>19465141.499999996</v>
      </c>
    </row>
    <row r="670" spans="1:13" x14ac:dyDescent="0.25">
      <c r="A670" t="s">
        <v>1277</v>
      </c>
      <c r="B670" t="s">
        <v>11</v>
      </c>
      <c r="C670">
        <v>35</v>
      </c>
      <c r="D670" t="s">
        <v>46</v>
      </c>
      <c r="E670" t="s">
        <v>19</v>
      </c>
      <c r="F670" t="s">
        <v>41</v>
      </c>
      <c r="G670">
        <v>4623849</v>
      </c>
      <c r="H670">
        <f t="shared" ca="1" si="10"/>
        <v>232</v>
      </c>
      <c r="I670">
        <v>15.17</v>
      </c>
      <c r="J670">
        <v>2.4</v>
      </c>
      <c r="K670" t="s">
        <v>1278</v>
      </c>
      <c r="L670">
        <f>_INVESTEMENTDATA[[#This Row],[Investment_Amount]]*0.18</f>
        <v>832292.82</v>
      </c>
      <c r="M670">
        <f>_INVESTEMENTDATA[[#This Row],[Investment_Amount]]*0.18*25</f>
        <v>20807320.5</v>
      </c>
    </row>
    <row r="671" spans="1:13" x14ac:dyDescent="0.25">
      <c r="A671" t="s">
        <v>1279</v>
      </c>
      <c r="B671" t="s">
        <v>11</v>
      </c>
      <c r="C671">
        <v>54</v>
      </c>
      <c r="D671" t="s">
        <v>28</v>
      </c>
      <c r="E671" t="s">
        <v>19</v>
      </c>
      <c r="F671" t="s">
        <v>35</v>
      </c>
      <c r="G671">
        <v>4401851</v>
      </c>
      <c r="H671">
        <f t="shared" ca="1" si="10"/>
        <v>194</v>
      </c>
      <c r="I671">
        <v>11.63</v>
      </c>
      <c r="J671">
        <v>-7.01</v>
      </c>
      <c r="K671" t="s">
        <v>1280</v>
      </c>
      <c r="L671">
        <f>_INVESTEMENTDATA[[#This Row],[Investment_Amount]]*0.18</f>
        <v>792333.17999999993</v>
      </c>
      <c r="M671">
        <f>_INVESTEMENTDATA[[#This Row],[Investment_Amount]]*0.18*25</f>
        <v>19808329.5</v>
      </c>
    </row>
    <row r="672" spans="1:13" x14ac:dyDescent="0.25">
      <c r="A672" t="s">
        <v>1281</v>
      </c>
      <c r="B672" t="s">
        <v>11</v>
      </c>
      <c r="C672">
        <v>22</v>
      </c>
      <c r="D672" t="s">
        <v>46</v>
      </c>
      <c r="E672" t="s">
        <v>23</v>
      </c>
      <c r="F672" t="s">
        <v>20</v>
      </c>
      <c r="G672">
        <v>3922414</v>
      </c>
      <c r="H672">
        <f t="shared" ca="1" si="10"/>
        <v>330</v>
      </c>
      <c r="I672">
        <v>9.33</v>
      </c>
      <c r="J672">
        <v>7.87</v>
      </c>
      <c r="K672" t="s">
        <v>1282</v>
      </c>
      <c r="L672">
        <f>_INVESTEMENTDATA[[#This Row],[Investment_Amount]]*0.18</f>
        <v>706034.52</v>
      </c>
      <c r="M672">
        <f>_INVESTEMENTDATA[[#This Row],[Investment_Amount]]*0.18*25</f>
        <v>17650863</v>
      </c>
    </row>
    <row r="673" spans="1:13" x14ac:dyDescent="0.25">
      <c r="A673" t="s">
        <v>1283</v>
      </c>
      <c r="B673" t="s">
        <v>17</v>
      </c>
      <c r="C673">
        <v>56</v>
      </c>
      <c r="D673" t="s">
        <v>46</v>
      </c>
      <c r="E673" t="s">
        <v>57</v>
      </c>
      <c r="F673" t="s">
        <v>35</v>
      </c>
      <c r="G673">
        <v>897615</v>
      </c>
      <c r="H673">
        <f t="shared" ca="1" si="10"/>
        <v>322</v>
      </c>
      <c r="I673">
        <v>20.11</v>
      </c>
      <c r="J673">
        <v>24.43</v>
      </c>
      <c r="K673" t="s">
        <v>1284</v>
      </c>
      <c r="L673">
        <f>_INVESTEMENTDATA[[#This Row],[Investment_Amount]]*0.18</f>
        <v>161570.69999999998</v>
      </c>
      <c r="M673">
        <f>_INVESTEMENTDATA[[#This Row],[Investment_Amount]]*0.18*25</f>
        <v>4039267.4999999995</v>
      </c>
    </row>
    <row r="674" spans="1:13" x14ac:dyDescent="0.25">
      <c r="A674" t="s">
        <v>1285</v>
      </c>
      <c r="B674" t="s">
        <v>17</v>
      </c>
      <c r="C674">
        <v>54</v>
      </c>
      <c r="D674" t="s">
        <v>38</v>
      </c>
      <c r="E674" t="s">
        <v>19</v>
      </c>
      <c r="F674" t="s">
        <v>20</v>
      </c>
      <c r="G674">
        <v>103103</v>
      </c>
      <c r="H674">
        <f t="shared" ca="1" si="10"/>
        <v>338</v>
      </c>
      <c r="I674">
        <v>8.6300000000000008</v>
      </c>
      <c r="J674">
        <v>23.92</v>
      </c>
      <c r="K674" t="s">
        <v>1286</v>
      </c>
      <c r="L674">
        <f>_INVESTEMENTDATA[[#This Row],[Investment_Amount]]*0.18</f>
        <v>18558.54</v>
      </c>
      <c r="M674">
        <f>_INVESTEMENTDATA[[#This Row],[Investment_Amount]]*0.18*25</f>
        <v>463963.5</v>
      </c>
    </row>
    <row r="675" spans="1:13" x14ac:dyDescent="0.25">
      <c r="A675" t="s">
        <v>1287</v>
      </c>
      <c r="B675" t="s">
        <v>17</v>
      </c>
      <c r="C675">
        <v>26</v>
      </c>
      <c r="D675" t="s">
        <v>38</v>
      </c>
      <c r="E675" t="s">
        <v>19</v>
      </c>
      <c r="F675" t="s">
        <v>35</v>
      </c>
      <c r="G675">
        <v>1254071</v>
      </c>
      <c r="H675">
        <f t="shared" ca="1" si="10"/>
        <v>79</v>
      </c>
      <c r="I675">
        <v>25.94</v>
      </c>
      <c r="J675">
        <v>17.5</v>
      </c>
      <c r="K675" t="s">
        <v>954</v>
      </c>
      <c r="L675">
        <f>_INVESTEMENTDATA[[#This Row],[Investment_Amount]]*0.18</f>
        <v>225732.78</v>
      </c>
      <c r="M675">
        <f>_INVESTEMENTDATA[[#This Row],[Investment_Amount]]*0.18*25</f>
        <v>5643319.5</v>
      </c>
    </row>
    <row r="676" spans="1:13" x14ac:dyDescent="0.25">
      <c r="A676" t="s">
        <v>1288</v>
      </c>
      <c r="B676" t="s">
        <v>11</v>
      </c>
      <c r="C676">
        <v>37</v>
      </c>
      <c r="D676" t="s">
        <v>38</v>
      </c>
      <c r="E676" t="s">
        <v>23</v>
      </c>
      <c r="F676" t="s">
        <v>35</v>
      </c>
      <c r="G676">
        <v>3316216</v>
      </c>
      <c r="H676">
        <f t="shared" ca="1" si="10"/>
        <v>108</v>
      </c>
      <c r="I676">
        <v>27.13</v>
      </c>
      <c r="J676">
        <v>1.99</v>
      </c>
      <c r="K676" t="s">
        <v>1289</v>
      </c>
      <c r="L676">
        <f>_INVESTEMENTDATA[[#This Row],[Investment_Amount]]*0.18</f>
        <v>596918.88</v>
      </c>
      <c r="M676">
        <f>_INVESTEMENTDATA[[#This Row],[Investment_Amount]]*0.18*25</f>
        <v>14922972</v>
      </c>
    </row>
    <row r="677" spans="1:13" x14ac:dyDescent="0.25">
      <c r="A677" t="s">
        <v>1290</v>
      </c>
      <c r="B677" t="s">
        <v>11</v>
      </c>
      <c r="C677">
        <v>44</v>
      </c>
      <c r="D677" t="s">
        <v>28</v>
      </c>
      <c r="E677" t="s">
        <v>57</v>
      </c>
      <c r="F677" t="s">
        <v>35</v>
      </c>
      <c r="G677">
        <v>1983711</v>
      </c>
      <c r="H677">
        <f t="shared" ca="1" si="10"/>
        <v>322</v>
      </c>
      <c r="I677">
        <v>13.38</v>
      </c>
      <c r="J677">
        <v>42.58</v>
      </c>
      <c r="K677" t="s">
        <v>461</v>
      </c>
      <c r="L677">
        <f>_INVESTEMENTDATA[[#This Row],[Investment_Amount]]*0.18</f>
        <v>357067.98</v>
      </c>
      <c r="M677">
        <f>_INVESTEMENTDATA[[#This Row],[Investment_Amount]]*0.18*25</f>
        <v>8926699.5</v>
      </c>
    </row>
    <row r="678" spans="1:13" x14ac:dyDescent="0.25">
      <c r="A678" t="s">
        <v>1291</v>
      </c>
      <c r="B678" t="s">
        <v>17</v>
      </c>
      <c r="C678">
        <v>38</v>
      </c>
      <c r="D678" t="s">
        <v>46</v>
      </c>
      <c r="E678" t="s">
        <v>57</v>
      </c>
      <c r="F678" t="s">
        <v>14</v>
      </c>
      <c r="G678">
        <v>86043</v>
      </c>
      <c r="H678">
        <f t="shared" ca="1" si="10"/>
        <v>166</v>
      </c>
      <c r="I678">
        <v>21.5</v>
      </c>
      <c r="J678">
        <v>-1.31</v>
      </c>
      <c r="K678" t="s">
        <v>1292</v>
      </c>
      <c r="L678">
        <f>_INVESTEMENTDATA[[#This Row],[Investment_Amount]]*0.18</f>
        <v>15487.74</v>
      </c>
      <c r="M678">
        <f>_INVESTEMENTDATA[[#This Row],[Investment_Amount]]*0.18*25</f>
        <v>387193.5</v>
      </c>
    </row>
    <row r="679" spans="1:13" x14ac:dyDescent="0.25">
      <c r="A679" t="s">
        <v>1293</v>
      </c>
      <c r="B679" t="s">
        <v>17</v>
      </c>
      <c r="C679">
        <v>36</v>
      </c>
      <c r="D679" t="s">
        <v>28</v>
      </c>
      <c r="E679" t="s">
        <v>29</v>
      </c>
      <c r="F679" t="s">
        <v>30</v>
      </c>
      <c r="G679">
        <v>4656840</v>
      </c>
      <c r="H679">
        <f t="shared" ca="1" si="10"/>
        <v>360</v>
      </c>
      <c r="I679">
        <v>33.950000000000003</v>
      </c>
      <c r="J679">
        <v>31.64</v>
      </c>
      <c r="K679" t="s">
        <v>1294</v>
      </c>
      <c r="L679">
        <f>_INVESTEMENTDATA[[#This Row],[Investment_Amount]]*0.18</f>
        <v>838231.2</v>
      </c>
      <c r="M679">
        <f>_INVESTEMENTDATA[[#This Row],[Investment_Amount]]*0.18*25</f>
        <v>20955780</v>
      </c>
    </row>
    <row r="680" spans="1:13" x14ac:dyDescent="0.25">
      <c r="A680" t="s">
        <v>1295</v>
      </c>
      <c r="B680" t="s">
        <v>11</v>
      </c>
      <c r="C680">
        <v>30</v>
      </c>
      <c r="D680" t="s">
        <v>12</v>
      </c>
      <c r="E680" t="s">
        <v>19</v>
      </c>
      <c r="F680" t="s">
        <v>41</v>
      </c>
      <c r="G680">
        <v>3869445</v>
      </c>
      <c r="H680">
        <f t="shared" ca="1" si="10"/>
        <v>278</v>
      </c>
      <c r="I680">
        <v>18.8</v>
      </c>
      <c r="J680">
        <v>22.67</v>
      </c>
      <c r="K680" t="s">
        <v>1296</v>
      </c>
      <c r="L680">
        <f>_INVESTEMENTDATA[[#This Row],[Investment_Amount]]*0.18</f>
        <v>696500.1</v>
      </c>
      <c r="M680">
        <f>_INVESTEMENTDATA[[#This Row],[Investment_Amount]]*0.18*25</f>
        <v>17412502.5</v>
      </c>
    </row>
    <row r="681" spans="1:13" x14ac:dyDescent="0.25">
      <c r="A681" t="s">
        <v>1297</v>
      </c>
      <c r="B681" t="s">
        <v>17</v>
      </c>
      <c r="C681">
        <v>48</v>
      </c>
      <c r="D681" t="s">
        <v>46</v>
      </c>
      <c r="E681" t="s">
        <v>57</v>
      </c>
      <c r="F681" t="s">
        <v>35</v>
      </c>
      <c r="G681">
        <v>740201</v>
      </c>
      <c r="H681">
        <f t="shared" ca="1" si="10"/>
        <v>144</v>
      </c>
      <c r="I681">
        <v>28.07</v>
      </c>
      <c r="J681">
        <v>4.26</v>
      </c>
      <c r="K681" t="s">
        <v>21</v>
      </c>
      <c r="L681">
        <f>_INVESTEMENTDATA[[#This Row],[Investment_Amount]]*0.18</f>
        <v>133236.18</v>
      </c>
      <c r="M681">
        <f>_INVESTEMENTDATA[[#This Row],[Investment_Amount]]*0.18*25</f>
        <v>3330904.5</v>
      </c>
    </row>
    <row r="682" spans="1:13" x14ac:dyDescent="0.25">
      <c r="A682" t="s">
        <v>1298</v>
      </c>
      <c r="B682" t="s">
        <v>11</v>
      </c>
      <c r="C682">
        <v>45</v>
      </c>
      <c r="D682" t="s">
        <v>18</v>
      </c>
      <c r="E682" t="s">
        <v>23</v>
      </c>
      <c r="F682" t="s">
        <v>35</v>
      </c>
      <c r="G682">
        <v>2596682</v>
      </c>
      <c r="H682">
        <f t="shared" ca="1" si="10"/>
        <v>267</v>
      </c>
      <c r="I682">
        <v>24.31</v>
      </c>
      <c r="J682">
        <v>34.18</v>
      </c>
      <c r="K682" t="s">
        <v>519</v>
      </c>
      <c r="L682">
        <f>_INVESTEMENTDATA[[#This Row],[Investment_Amount]]*0.18</f>
        <v>467402.76</v>
      </c>
      <c r="M682">
        <f>_INVESTEMENTDATA[[#This Row],[Investment_Amount]]*0.18*25</f>
        <v>11685069</v>
      </c>
    </row>
    <row r="683" spans="1:13" x14ac:dyDescent="0.25">
      <c r="A683" t="s">
        <v>1299</v>
      </c>
      <c r="B683" t="s">
        <v>11</v>
      </c>
      <c r="C683">
        <v>31</v>
      </c>
      <c r="D683" t="s">
        <v>12</v>
      </c>
      <c r="E683" t="s">
        <v>19</v>
      </c>
      <c r="F683" t="s">
        <v>20</v>
      </c>
      <c r="G683">
        <v>1344396</v>
      </c>
      <c r="H683">
        <f t="shared" ca="1" si="10"/>
        <v>340</v>
      </c>
      <c r="I683">
        <v>33.6</v>
      </c>
      <c r="J683">
        <v>-1.36</v>
      </c>
      <c r="K683" t="s">
        <v>1300</v>
      </c>
      <c r="L683">
        <f>_INVESTEMENTDATA[[#This Row],[Investment_Amount]]*0.18</f>
        <v>241991.28</v>
      </c>
      <c r="M683">
        <f>_INVESTEMENTDATA[[#This Row],[Investment_Amount]]*0.18*25</f>
        <v>6049782</v>
      </c>
    </row>
    <row r="684" spans="1:13" x14ac:dyDescent="0.25">
      <c r="A684" t="s">
        <v>1301</v>
      </c>
      <c r="B684" t="s">
        <v>17</v>
      </c>
      <c r="C684">
        <v>24</v>
      </c>
      <c r="D684" t="s">
        <v>28</v>
      </c>
      <c r="E684" t="s">
        <v>57</v>
      </c>
      <c r="F684" t="s">
        <v>41</v>
      </c>
      <c r="G684">
        <v>1473450</v>
      </c>
      <c r="H684">
        <f t="shared" ca="1" si="10"/>
        <v>173</v>
      </c>
      <c r="I684">
        <v>23.74</v>
      </c>
      <c r="J684">
        <v>36.42</v>
      </c>
      <c r="K684" t="s">
        <v>1302</v>
      </c>
      <c r="L684">
        <f>_INVESTEMENTDATA[[#This Row],[Investment_Amount]]*0.18</f>
        <v>265221</v>
      </c>
      <c r="M684">
        <f>_INVESTEMENTDATA[[#This Row],[Investment_Amount]]*0.18*25</f>
        <v>6630525</v>
      </c>
    </row>
    <row r="685" spans="1:13" x14ac:dyDescent="0.25">
      <c r="A685" t="s">
        <v>1303</v>
      </c>
      <c r="B685" t="s">
        <v>17</v>
      </c>
      <c r="C685">
        <v>31</v>
      </c>
      <c r="D685" t="s">
        <v>12</v>
      </c>
      <c r="E685" t="s">
        <v>23</v>
      </c>
      <c r="F685" t="s">
        <v>14</v>
      </c>
      <c r="G685">
        <v>849728</v>
      </c>
      <c r="H685">
        <f t="shared" ca="1" si="10"/>
        <v>221</v>
      </c>
      <c r="I685">
        <v>23.79</v>
      </c>
      <c r="J685">
        <v>11.86</v>
      </c>
      <c r="K685" t="s">
        <v>78</v>
      </c>
      <c r="L685">
        <f>_INVESTEMENTDATA[[#This Row],[Investment_Amount]]*0.18</f>
        <v>152951.04000000001</v>
      </c>
      <c r="M685">
        <f>_INVESTEMENTDATA[[#This Row],[Investment_Amount]]*0.18*25</f>
        <v>3823776</v>
      </c>
    </row>
    <row r="686" spans="1:13" x14ac:dyDescent="0.25">
      <c r="A686" t="s">
        <v>1304</v>
      </c>
      <c r="B686" t="s">
        <v>17</v>
      </c>
      <c r="C686">
        <v>60</v>
      </c>
      <c r="D686" t="s">
        <v>12</v>
      </c>
      <c r="E686" t="s">
        <v>50</v>
      </c>
      <c r="F686" t="s">
        <v>14</v>
      </c>
      <c r="G686">
        <v>201061</v>
      </c>
      <c r="H686">
        <f t="shared" ca="1" si="10"/>
        <v>181</v>
      </c>
      <c r="I686">
        <v>19.04</v>
      </c>
      <c r="J686">
        <v>-2.69</v>
      </c>
      <c r="K686" t="s">
        <v>1305</v>
      </c>
      <c r="L686">
        <f>_INVESTEMENTDATA[[#This Row],[Investment_Amount]]*0.18</f>
        <v>36190.979999999996</v>
      </c>
      <c r="M686">
        <f>_INVESTEMENTDATA[[#This Row],[Investment_Amount]]*0.18*25</f>
        <v>904774.49999999988</v>
      </c>
    </row>
    <row r="687" spans="1:13" x14ac:dyDescent="0.25">
      <c r="A687" t="s">
        <v>1306</v>
      </c>
      <c r="B687" t="s">
        <v>11</v>
      </c>
      <c r="C687">
        <v>56</v>
      </c>
      <c r="D687" t="s">
        <v>12</v>
      </c>
      <c r="E687" t="s">
        <v>57</v>
      </c>
      <c r="F687" t="s">
        <v>14</v>
      </c>
      <c r="G687">
        <v>1116643</v>
      </c>
      <c r="H687">
        <f t="shared" ca="1" si="10"/>
        <v>322</v>
      </c>
      <c r="I687">
        <v>12.74</v>
      </c>
      <c r="J687">
        <v>8.1199999999999992</v>
      </c>
      <c r="K687" t="s">
        <v>1307</v>
      </c>
      <c r="L687">
        <f>_INVESTEMENTDATA[[#This Row],[Investment_Amount]]*0.18</f>
        <v>200995.74</v>
      </c>
      <c r="M687">
        <f>_INVESTEMENTDATA[[#This Row],[Investment_Amount]]*0.18*25</f>
        <v>5024893.5</v>
      </c>
    </row>
    <row r="688" spans="1:13" x14ac:dyDescent="0.25">
      <c r="A688" t="s">
        <v>1308</v>
      </c>
      <c r="B688" t="s">
        <v>11</v>
      </c>
      <c r="C688">
        <v>28</v>
      </c>
      <c r="D688" t="s">
        <v>12</v>
      </c>
      <c r="E688" t="s">
        <v>19</v>
      </c>
      <c r="F688" t="s">
        <v>14</v>
      </c>
      <c r="G688">
        <v>4005681</v>
      </c>
      <c r="H688">
        <f t="shared" ca="1" si="10"/>
        <v>43</v>
      </c>
      <c r="I688">
        <v>9.2799999999999994</v>
      </c>
      <c r="J688">
        <v>13.87</v>
      </c>
      <c r="K688" t="s">
        <v>1309</v>
      </c>
      <c r="L688">
        <f>_INVESTEMENTDATA[[#This Row],[Investment_Amount]]*0.18</f>
        <v>721022.58</v>
      </c>
      <c r="M688">
        <f>_INVESTEMENTDATA[[#This Row],[Investment_Amount]]*0.18*25</f>
        <v>18025564.5</v>
      </c>
    </row>
    <row r="689" spans="1:13" x14ac:dyDescent="0.25">
      <c r="A689" t="s">
        <v>1310</v>
      </c>
      <c r="B689" t="s">
        <v>11</v>
      </c>
      <c r="C689">
        <v>32</v>
      </c>
      <c r="D689" t="s">
        <v>46</v>
      </c>
      <c r="E689" t="s">
        <v>50</v>
      </c>
      <c r="F689" t="s">
        <v>41</v>
      </c>
      <c r="G689">
        <v>633961</v>
      </c>
      <c r="H689">
        <f t="shared" ca="1" si="10"/>
        <v>36</v>
      </c>
      <c r="I689">
        <v>17.28</v>
      </c>
      <c r="J689">
        <v>42.13</v>
      </c>
      <c r="K689" t="s">
        <v>1311</v>
      </c>
      <c r="L689">
        <f>_INVESTEMENTDATA[[#This Row],[Investment_Amount]]*0.18</f>
        <v>114112.98</v>
      </c>
      <c r="M689">
        <f>_INVESTEMENTDATA[[#This Row],[Investment_Amount]]*0.18*25</f>
        <v>2852824.5</v>
      </c>
    </row>
    <row r="690" spans="1:13" x14ac:dyDescent="0.25">
      <c r="A690" t="s">
        <v>1312</v>
      </c>
      <c r="B690" t="s">
        <v>11</v>
      </c>
      <c r="C690">
        <v>31</v>
      </c>
      <c r="D690" t="s">
        <v>46</v>
      </c>
      <c r="E690" t="s">
        <v>50</v>
      </c>
      <c r="F690" t="s">
        <v>20</v>
      </c>
      <c r="G690">
        <v>4956620</v>
      </c>
      <c r="H690">
        <f t="shared" ca="1" si="10"/>
        <v>123</v>
      </c>
      <c r="I690">
        <v>32.74</v>
      </c>
      <c r="J690">
        <v>35.76</v>
      </c>
      <c r="K690" t="s">
        <v>1313</v>
      </c>
      <c r="L690">
        <f>_INVESTEMENTDATA[[#This Row],[Investment_Amount]]*0.18</f>
        <v>892191.6</v>
      </c>
      <c r="M690">
        <f>_INVESTEMENTDATA[[#This Row],[Investment_Amount]]*0.18*25</f>
        <v>22304790</v>
      </c>
    </row>
    <row r="691" spans="1:13" x14ac:dyDescent="0.25">
      <c r="A691" t="s">
        <v>1314</v>
      </c>
      <c r="B691" t="s">
        <v>11</v>
      </c>
      <c r="C691">
        <v>56</v>
      </c>
      <c r="D691" t="s">
        <v>28</v>
      </c>
      <c r="E691" t="s">
        <v>19</v>
      </c>
      <c r="F691" t="s">
        <v>20</v>
      </c>
      <c r="G691">
        <v>233054</v>
      </c>
      <c r="H691">
        <f t="shared" ca="1" si="10"/>
        <v>150</v>
      </c>
      <c r="I691">
        <v>22.43</v>
      </c>
      <c r="J691">
        <v>16.05</v>
      </c>
      <c r="K691" t="s">
        <v>1315</v>
      </c>
      <c r="L691">
        <f>_INVESTEMENTDATA[[#This Row],[Investment_Amount]]*0.18</f>
        <v>41949.72</v>
      </c>
      <c r="M691">
        <f>_INVESTEMENTDATA[[#This Row],[Investment_Amount]]*0.18*25</f>
        <v>1048743</v>
      </c>
    </row>
    <row r="692" spans="1:13" x14ac:dyDescent="0.25">
      <c r="A692" t="s">
        <v>1316</v>
      </c>
      <c r="B692" t="s">
        <v>17</v>
      </c>
      <c r="C692">
        <v>52</v>
      </c>
      <c r="D692" t="s">
        <v>38</v>
      </c>
      <c r="E692" t="s">
        <v>50</v>
      </c>
      <c r="F692" t="s">
        <v>35</v>
      </c>
      <c r="G692">
        <v>1620974</v>
      </c>
      <c r="H692">
        <f t="shared" ca="1" si="10"/>
        <v>133</v>
      </c>
      <c r="I692">
        <v>21.78</v>
      </c>
      <c r="J692">
        <v>36.68</v>
      </c>
      <c r="K692" t="s">
        <v>1317</v>
      </c>
      <c r="L692">
        <f>_INVESTEMENTDATA[[#This Row],[Investment_Amount]]*0.18</f>
        <v>291775.32</v>
      </c>
      <c r="M692">
        <f>_INVESTEMENTDATA[[#This Row],[Investment_Amount]]*0.18*25</f>
        <v>7294383</v>
      </c>
    </row>
    <row r="693" spans="1:13" x14ac:dyDescent="0.25">
      <c r="A693" t="s">
        <v>1318</v>
      </c>
      <c r="B693" t="s">
        <v>11</v>
      </c>
      <c r="C693">
        <v>38</v>
      </c>
      <c r="D693" t="s">
        <v>46</v>
      </c>
      <c r="E693" t="s">
        <v>29</v>
      </c>
      <c r="F693" t="s">
        <v>20</v>
      </c>
      <c r="G693">
        <v>532942</v>
      </c>
      <c r="H693">
        <f t="shared" ca="1" si="10"/>
        <v>265</v>
      </c>
      <c r="I693">
        <v>22.59</v>
      </c>
      <c r="J693">
        <v>2.4</v>
      </c>
      <c r="K693" t="s">
        <v>1319</v>
      </c>
      <c r="L693">
        <f>_INVESTEMENTDATA[[#This Row],[Investment_Amount]]*0.18</f>
        <v>95929.56</v>
      </c>
      <c r="M693">
        <f>_INVESTEMENTDATA[[#This Row],[Investment_Amount]]*0.18*25</f>
        <v>2398239</v>
      </c>
    </row>
    <row r="694" spans="1:13" x14ac:dyDescent="0.25">
      <c r="A694" t="s">
        <v>1320</v>
      </c>
      <c r="B694" t="s">
        <v>17</v>
      </c>
      <c r="C694">
        <v>30</v>
      </c>
      <c r="D694" t="s">
        <v>46</v>
      </c>
      <c r="E694" t="s">
        <v>57</v>
      </c>
      <c r="F694" t="s">
        <v>30</v>
      </c>
      <c r="G694">
        <v>2522505</v>
      </c>
      <c r="H694">
        <f t="shared" ca="1" si="10"/>
        <v>315</v>
      </c>
      <c r="I694">
        <v>23.93</v>
      </c>
      <c r="J694">
        <v>5.75</v>
      </c>
      <c r="K694" t="s">
        <v>1138</v>
      </c>
      <c r="L694">
        <f>_INVESTEMENTDATA[[#This Row],[Investment_Amount]]*0.18</f>
        <v>454050.89999999997</v>
      </c>
      <c r="M694">
        <f>_INVESTEMENTDATA[[#This Row],[Investment_Amount]]*0.18*25</f>
        <v>11351272.5</v>
      </c>
    </row>
    <row r="695" spans="1:13" x14ac:dyDescent="0.25">
      <c r="A695" t="s">
        <v>1321</v>
      </c>
      <c r="B695" t="s">
        <v>11</v>
      </c>
      <c r="C695">
        <v>33</v>
      </c>
      <c r="D695" t="s">
        <v>18</v>
      </c>
      <c r="E695" t="s">
        <v>50</v>
      </c>
      <c r="F695" t="s">
        <v>35</v>
      </c>
      <c r="G695">
        <v>2747966</v>
      </c>
      <c r="H695">
        <f t="shared" ca="1" si="10"/>
        <v>293</v>
      </c>
      <c r="I695">
        <v>21.53</v>
      </c>
      <c r="J695">
        <v>37.130000000000003</v>
      </c>
      <c r="K695" t="s">
        <v>1322</v>
      </c>
      <c r="L695">
        <f>_INVESTEMENTDATA[[#This Row],[Investment_Amount]]*0.18</f>
        <v>494633.88</v>
      </c>
      <c r="M695">
        <f>_INVESTEMENTDATA[[#This Row],[Investment_Amount]]*0.18*25</f>
        <v>12365847</v>
      </c>
    </row>
    <row r="696" spans="1:13" x14ac:dyDescent="0.25">
      <c r="A696" t="s">
        <v>1323</v>
      </c>
      <c r="B696" t="s">
        <v>17</v>
      </c>
      <c r="C696">
        <v>59</v>
      </c>
      <c r="D696" t="s">
        <v>28</v>
      </c>
      <c r="E696" t="s">
        <v>13</v>
      </c>
      <c r="F696" t="s">
        <v>35</v>
      </c>
      <c r="G696">
        <v>4782664</v>
      </c>
      <c r="H696">
        <f t="shared" ca="1" si="10"/>
        <v>356</v>
      </c>
      <c r="I696">
        <v>11.67</v>
      </c>
      <c r="J696">
        <v>3.88</v>
      </c>
      <c r="K696" t="s">
        <v>70</v>
      </c>
      <c r="L696">
        <f>_INVESTEMENTDATA[[#This Row],[Investment_Amount]]*0.18</f>
        <v>860879.52</v>
      </c>
      <c r="M696">
        <f>_INVESTEMENTDATA[[#This Row],[Investment_Amount]]*0.18*25</f>
        <v>21521988</v>
      </c>
    </row>
    <row r="697" spans="1:13" x14ac:dyDescent="0.25">
      <c r="A697" t="s">
        <v>1324</v>
      </c>
      <c r="B697" t="s">
        <v>11</v>
      </c>
      <c r="C697">
        <v>47</v>
      </c>
      <c r="D697" t="s">
        <v>12</v>
      </c>
      <c r="E697" t="s">
        <v>50</v>
      </c>
      <c r="F697" t="s">
        <v>30</v>
      </c>
      <c r="G697">
        <v>4000484</v>
      </c>
      <c r="H697">
        <f t="shared" ca="1" si="10"/>
        <v>318</v>
      </c>
      <c r="I697">
        <v>12.31</v>
      </c>
      <c r="J697">
        <v>34.270000000000003</v>
      </c>
      <c r="K697" t="s">
        <v>1325</v>
      </c>
      <c r="L697">
        <f>_INVESTEMENTDATA[[#This Row],[Investment_Amount]]*0.18</f>
        <v>720087.12</v>
      </c>
      <c r="M697">
        <f>_INVESTEMENTDATA[[#This Row],[Investment_Amount]]*0.18*25</f>
        <v>18002178</v>
      </c>
    </row>
    <row r="698" spans="1:13" x14ac:dyDescent="0.25">
      <c r="A698" t="s">
        <v>1326</v>
      </c>
      <c r="B698" t="s">
        <v>17</v>
      </c>
      <c r="C698">
        <v>35</v>
      </c>
      <c r="D698" t="s">
        <v>12</v>
      </c>
      <c r="E698" t="s">
        <v>50</v>
      </c>
      <c r="F698" t="s">
        <v>41</v>
      </c>
      <c r="G698">
        <v>241953</v>
      </c>
      <c r="H698">
        <f t="shared" ca="1" si="10"/>
        <v>97</v>
      </c>
      <c r="I698">
        <v>6.95</v>
      </c>
      <c r="J698">
        <v>9.48</v>
      </c>
      <c r="K698" t="s">
        <v>1327</v>
      </c>
      <c r="L698">
        <f>_INVESTEMENTDATA[[#This Row],[Investment_Amount]]*0.18</f>
        <v>43551.54</v>
      </c>
      <c r="M698">
        <f>_INVESTEMENTDATA[[#This Row],[Investment_Amount]]*0.18*25</f>
        <v>1088788.5</v>
      </c>
    </row>
    <row r="699" spans="1:13" x14ac:dyDescent="0.25">
      <c r="A699" t="s">
        <v>1328</v>
      </c>
      <c r="B699" t="s">
        <v>17</v>
      </c>
      <c r="C699">
        <v>28</v>
      </c>
      <c r="D699" t="s">
        <v>28</v>
      </c>
      <c r="E699" t="s">
        <v>13</v>
      </c>
      <c r="F699" t="s">
        <v>20</v>
      </c>
      <c r="G699">
        <v>3950101</v>
      </c>
      <c r="H699">
        <f t="shared" ca="1" si="10"/>
        <v>261</v>
      </c>
      <c r="I699">
        <v>34.17</v>
      </c>
      <c r="J699">
        <v>30.21</v>
      </c>
      <c r="K699" t="s">
        <v>1329</v>
      </c>
      <c r="L699">
        <f>_INVESTEMENTDATA[[#This Row],[Investment_Amount]]*0.18</f>
        <v>711018.17999999993</v>
      </c>
      <c r="M699">
        <f>_INVESTEMENTDATA[[#This Row],[Investment_Amount]]*0.18*25</f>
        <v>17775454.5</v>
      </c>
    </row>
    <row r="700" spans="1:13" x14ac:dyDescent="0.25">
      <c r="A700" t="s">
        <v>1330</v>
      </c>
      <c r="B700" t="s">
        <v>11</v>
      </c>
      <c r="C700">
        <v>40</v>
      </c>
      <c r="D700" t="s">
        <v>28</v>
      </c>
      <c r="E700" t="s">
        <v>50</v>
      </c>
      <c r="F700" t="s">
        <v>47</v>
      </c>
      <c r="G700">
        <v>3873032</v>
      </c>
      <c r="H700">
        <f t="shared" ca="1" si="10"/>
        <v>71</v>
      </c>
      <c r="I700">
        <v>18.98</v>
      </c>
      <c r="J700">
        <v>-4.1100000000000003</v>
      </c>
      <c r="K700" t="s">
        <v>1331</v>
      </c>
      <c r="L700">
        <f>_INVESTEMENTDATA[[#This Row],[Investment_Amount]]*0.18</f>
        <v>697145.76</v>
      </c>
      <c r="M700">
        <f>_INVESTEMENTDATA[[#This Row],[Investment_Amount]]*0.18*25</f>
        <v>17428644</v>
      </c>
    </row>
    <row r="701" spans="1:13" x14ac:dyDescent="0.25">
      <c r="A701" t="s">
        <v>1332</v>
      </c>
      <c r="B701" t="s">
        <v>11</v>
      </c>
      <c r="C701">
        <v>47</v>
      </c>
      <c r="D701" t="s">
        <v>38</v>
      </c>
      <c r="E701" t="s">
        <v>23</v>
      </c>
      <c r="F701" t="s">
        <v>14</v>
      </c>
      <c r="G701">
        <v>2271365</v>
      </c>
      <c r="H701">
        <f t="shared" ca="1" si="10"/>
        <v>187</v>
      </c>
      <c r="I701">
        <v>19.64</v>
      </c>
      <c r="J701">
        <v>-2.48</v>
      </c>
      <c r="K701" t="s">
        <v>1333</v>
      </c>
      <c r="L701">
        <f>_INVESTEMENTDATA[[#This Row],[Investment_Amount]]*0.18</f>
        <v>408845.7</v>
      </c>
      <c r="M701">
        <f>_INVESTEMENTDATA[[#This Row],[Investment_Amount]]*0.18*25</f>
        <v>10221142.5</v>
      </c>
    </row>
    <row r="702" spans="1:13" x14ac:dyDescent="0.25">
      <c r="A702" t="s">
        <v>1334</v>
      </c>
      <c r="B702" t="s">
        <v>17</v>
      </c>
      <c r="C702">
        <v>65</v>
      </c>
      <c r="D702" t="s">
        <v>46</v>
      </c>
      <c r="E702" t="s">
        <v>23</v>
      </c>
      <c r="F702" t="s">
        <v>47</v>
      </c>
      <c r="G702">
        <v>1887173</v>
      </c>
      <c r="H702">
        <f t="shared" ca="1" si="10"/>
        <v>179</v>
      </c>
      <c r="I702">
        <v>16.91</v>
      </c>
      <c r="J702">
        <v>19.190000000000001</v>
      </c>
      <c r="K702" t="s">
        <v>1138</v>
      </c>
      <c r="L702">
        <f>_INVESTEMENTDATA[[#This Row],[Investment_Amount]]*0.18</f>
        <v>339691.14</v>
      </c>
      <c r="M702">
        <f>_INVESTEMENTDATA[[#This Row],[Investment_Amount]]*0.18*25</f>
        <v>8492278.5</v>
      </c>
    </row>
    <row r="703" spans="1:13" x14ac:dyDescent="0.25">
      <c r="A703" t="s">
        <v>1335</v>
      </c>
      <c r="B703" t="s">
        <v>11</v>
      </c>
      <c r="C703">
        <v>54</v>
      </c>
      <c r="D703" t="s">
        <v>12</v>
      </c>
      <c r="E703" t="s">
        <v>57</v>
      </c>
      <c r="F703" t="s">
        <v>41</v>
      </c>
      <c r="G703">
        <v>1708504</v>
      </c>
      <c r="H703">
        <f t="shared" ca="1" si="10"/>
        <v>113</v>
      </c>
      <c r="I703">
        <v>14.71</v>
      </c>
      <c r="J703">
        <v>5.84</v>
      </c>
      <c r="K703" t="s">
        <v>1336</v>
      </c>
      <c r="L703">
        <f>_INVESTEMENTDATA[[#This Row],[Investment_Amount]]*0.18</f>
        <v>307530.71999999997</v>
      </c>
      <c r="M703">
        <f>_INVESTEMENTDATA[[#This Row],[Investment_Amount]]*0.18*25</f>
        <v>7688267.9999999991</v>
      </c>
    </row>
    <row r="704" spans="1:13" x14ac:dyDescent="0.25">
      <c r="A704" t="s">
        <v>1337</v>
      </c>
      <c r="B704" t="s">
        <v>11</v>
      </c>
      <c r="C704">
        <v>36</v>
      </c>
      <c r="D704" t="s">
        <v>38</v>
      </c>
      <c r="E704" t="s">
        <v>29</v>
      </c>
      <c r="F704" t="s">
        <v>35</v>
      </c>
      <c r="G704">
        <v>3141401</v>
      </c>
      <c r="H704">
        <f t="shared" ca="1" si="10"/>
        <v>212</v>
      </c>
      <c r="I704">
        <v>22.35</v>
      </c>
      <c r="J704">
        <v>13.14</v>
      </c>
      <c r="K704" t="s">
        <v>1194</v>
      </c>
      <c r="L704">
        <f>_INVESTEMENTDATA[[#This Row],[Investment_Amount]]*0.18</f>
        <v>565452.17999999993</v>
      </c>
      <c r="M704">
        <f>_INVESTEMENTDATA[[#This Row],[Investment_Amount]]*0.18*25</f>
        <v>14136304.499999998</v>
      </c>
    </row>
    <row r="705" spans="1:13" x14ac:dyDescent="0.25">
      <c r="A705" t="s">
        <v>1338</v>
      </c>
      <c r="B705" t="s">
        <v>11</v>
      </c>
      <c r="C705">
        <v>38</v>
      </c>
      <c r="D705" t="s">
        <v>28</v>
      </c>
      <c r="E705" t="s">
        <v>19</v>
      </c>
      <c r="F705" t="s">
        <v>30</v>
      </c>
      <c r="G705">
        <v>962213</v>
      </c>
      <c r="H705">
        <f t="shared" ca="1" si="10"/>
        <v>331</v>
      </c>
      <c r="I705">
        <v>29.78</v>
      </c>
      <c r="J705">
        <v>42.32</v>
      </c>
      <c r="K705" t="s">
        <v>1339</v>
      </c>
      <c r="L705">
        <f>_INVESTEMENTDATA[[#This Row],[Investment_Amount]]*0.18</f>
        <v>173198.34</v>
      </c>
      <c r="M705">
        <f>_INVESTEMENTDATA[[#This Row],[Investment_Amount]]*0.18*25</f>
        <v>4329958.5</v>
      </c>
    </row>
    <row r="706" spans="1:13" x14ac:dyDescent="0.25">
      <c r="A706" t="s">
        <v>1340</v>
      </c>
      <c r="B706" t="s">
        <v>17</v>
      </c>
      <c r="C706">
        <v>63</v>
      </c>
      <c r="D706" t="s">
        <v>46</v>
      </c>
      <c r="E706" t="s">
        <v>50</v>
      </c>
      <c r="F706" t="s">
        <v>14</v>
      </c>
      <c r="G706">
        <v>1770643</v>
      </c>
      <c r="H706">
        <f t="shared" ref="H706:H769" ca="1" si="11">RANDBETWEEN(7,365)</f>
        <v>317</v>
      </c>
      <c r="I706">
        <v>5.81</v>
      </c>
      <c r="J706">
        <v>23.48</v>
      </c>
      <c r="K706" t="s">
        <v>1341</v>
      </c>
      <c r="L706">
        <f>_INVESTEMENTDATA[[#This Row],[Investment_Amount]]*0.18</f>
        <v>318715.74</v>
      </c>
      <c r="M706">
        <f>_INVESTEMENTDATA[[#This Row],[Investment_Amount]]*0.18*25</f>
        <v>7967893.5</v>
      </c>
    </row>
    <row r="707" spans="1:13" x14ac:dyDescent="0.25">
      <c r="A707" t="s">
        <v>1342</v>
      </c>
      <c r="B707" t="s">
        <v>11</v>
      </c>
      <c r="C707">
        <v>56</v>
      </c>
      <c r="D707" t="s">
        <v>46</v>
      </c>
      <c r="E707" t="s">
        <v>23</v>
      </c>
      <c r="F707" t="s">
        <v>14</v>
      </c>
      <c r="G707">
        <v>4862856</v>
      </c>
      <c r="H707">
        <f t="shared" ca="1" si="11"/>
        <v>79</v>
      </c>
      <c r="I707">
        <v>5.16</v>
      </c>
      <c r="J707">
        <v>-4.96</v>
      </c>
      <c r="K707" t="s">
        <v>1343</v>
      </c>
      <c r="L707">
        <f>_INVESTEMENTDATA[[#This Row],[Investment_Amount]]*0.18</f>
        <v>875314.08</v>
      </c>
      <c r="M707">
        <f>_INVESTEMENTDATA[[#This Row],[Investment_Amount]]*0.18*25</f>
        <v>21882852</v>
      </c>
    </row>
    <row r="708" spans="1:13" x14ac:dyDescent="0.25">
      <c r="A708" t="s">
        <v>1344</v>
      </c>
      <c r="B708" t="s">
        <v>11</v>
      </c>
      <c r="C708">
        <v>24</v>
      </c>
      <c r="D708" t="s">
        <v>38</v>
      </c>
      <c r="E708" t="s">
        <v>23</v>
      </c>
      <c r="F708" t="s">
        <v>14</v>
      </c>
      <c r="G708">
        <v>2305415</v>
      </c>
      <c r="H708">
        <f t="shared" ca="1" si="11"/>
        <v>353</v>
      </c>
      <c r="I708">
        <v>26.18</v>
      </c>
      <c r="J708">
        <v>2.61</v>
      </c>
      <c r="K708" t="s">
        <v>1345</v>
      </c>
      <c r="L708">
        <f>_INVESTEMENTDATA[[#This Row],[Investment_Amount]]*0.18</f>
        <v>414974.7</v>
      </c>
      <c r="M708">
        <f>_INVESTEMENTDATA[[#This Row],[Investment_Amount]]*0.18*25</f>
        <v>10374367.5</v>
      </c>
    </row>
    <row r="709" spans="1:13" x14ac:dyDescent="0.25">
      <c r="A709" t="s">
        <v>1346</v>
      </c>
      <c r="B709" t="s">
        <v>11</v>
      </c>
      <c r="C709">
        <v>61</v>
      </c>
      <c r="D709" t="s">
        <v>38</v>
      </c>
      <c r="E709" t="s">
        <v>19</v>
      </c>
      <c r="F709" t="s">
        <v>30</v>
      </c>
      <c r="G709">
        <v>984840</v>
      </c>
      <c r="H709">
        <f t="shared" ca="1" si="11"/>
        <v>243</v>
      </c>
      <c r="I709">
        <v>10.28</v>
      </c>
      <c r="J709">
        <v>19.760000000000002</v>
      </c>
      <c r="K709" t="s">
        <v>1347</v>
      </c>
      <c r="L709">
        <f>_INVESTEMENTDATA[[#This Row],[Investment_Amount]]*0.18</f>
        <v>177271.19999999998</v>
      </c>
      <c r="M709">
        <f>_INVESTEMENTDATA[[#This Row],[Investment_Amount]]*0.18*25</f>
        <v>4431780</v>
      </c>
    </row>
    <row r="710" spans="1:13" x14ac:dyDescent="0.25">
      <c r="A710" t="s">
        <v>1348</v>
      </c>
      <c r="B710" t="s">
        <v>11</v>
      </c>
      <c r="C710">
        <v>25</v>
      </c>
      <c r="D710" t="s">
        <v>28</v>
      </c>
      <c r="E710" t="s">
        <v>23</v>
      </c>
      <c r="F710" t="s">
        <v>20</v>
      </c>
      <c r="G710">
        <v>2399554</v>
      </c>
      <c r="H710">
        <f t="shared" ca="1" si="11"/>
        <v>194</v>
      </c>
      <c r="I710">
        <v>27.39</v>
      </c>
      <c r="J710">
        <v>43.78</v>
      </c>
      <c r="K710" t="s">
        <v>1349</v>
      </c>
      <c r="L710">
        <f>_INVESTEMENTDATA[[#This Row],[Investment_Amount]]*0.18</f>
        <v>431919.72</v>
      </c>
      <c r="M710">
        <f>_INVESTEMENTDATA[[#This Row],[Investment_Amount]]*0.18*25</f>
        <v>10797993</v>
      </c>
    </row>
    <row r="711" spans="1:13" x14ac:dyDescent="0.25">
      <c r="A711" t="s">
        <v>1350</v>
      </c>
      <c r="B711" t="s">
        <v>11</v>
      </c>
      <c r="C711">
        <v>40</v>
      </c>
      <c r="D711" t="s">
        <v>12</v>
      </c>
      <c r="E711" t="s">
        <v>50</v>
      </c>
      <c r="F711" t="s">
        <v>30</v>
      </c>
      <c r="G711">
        <v>2374424</v>
      </c>
      <c r="H711">
        <f t="shared" ca="1" si="11"/>
        <v>117</v>
      </c>
      <c r="I711">
        <v>22.52</v>
      </c>
      <c r="J711">
        <v>35.29</v>
      </c>
      <c r="K711" t="s">
        <v>1351</v>
      </c>
      <c r="L711">
        <f>_INVESTEMENTDATA[[#This Row],[Investment_Amount]]*0.18</f>
        <v>427396.32</v>
      </c>
      <c r="M711">
        <f>_INVESTEMENTDATA[[#This Row],[Investment_Amount]]*0.18*25</f>
        <v>10684908</v>
      </c>
    </row>
    <row r="712" spans="1:13" x14ac:dyDescent="0.25">
      <c r="A712" t="s">
        <v>1352</v>
      </c>
      <c r="B712" t="s">
        <v>11</v>
      </c>
      <c r="C712">
        <v>45</v>
      </c>
      <c r="D712" t="s">
        <v>28</v>
      </c>
      <c r="E712" t="s">
        <v>19</v>
      </c>
      <c r="F712" t="s">
        <v>41</v>
      </c>
      <c r="G712">
        <v>373328</v>
      </c>
      <c r="H712">
        <f t="shared" ca="1" si="11"/>
        <v>42</v>
      </c>
      <c r="I712">
        <v>21.87</v>
      </c>
      <c r="J712">
        <v>-2.63</v>
      </c>
      <c r="K712" t="s">
        <v>1353</v>
      </c>
      <c r="L712">
        <f>_INVESTEMENTDATA[[#This Row],[Investment_Amount]]*0.18</f>
        <v>67199.039999999994</v>
      </c>
      <c r="M712">
        <f>_INVESTEMENTDATA[[#This Row],[Investment_Amount]]*0.18*25</f>
        <v>1679975.9999999998</v>
      </c>
    </row>
    <row r="713" spans="1:13" x14ac:dyDescent="0.25">
      <c r="A713" t="s">
        <v>1354</v>
      </c>
      <c r="B713" t="s">
        <v>11</v>
      </c>
      <c r="C713">
        <v>32</v>
      </c>
      <c r="D713" t="s">
        <v>18</v>
      </c>
      <c r="E713" t="s">
        <v>50</v>
      </c>
      <c r="F713" t="s">
        <v>41</v>
      </c>
      <c r="G713">
        <v>3900272</v>
      </c>
      <c r="H713">
        <f t="shared" ca="1" si="11"/>
        <v>75</v>
      </c>
      <c r="I713">
        <v>19.5</v>
      </c>
      <c r="J713">
        <v>21.86</v>
      </c>
      <c r="K713" t="s">
        <v>1355</v>
      </c>
      <c r="L713">
        <f>_INVESTEMENTDATA[[#This Row],[Investment_Amount]]*0.18</f>
        <v>702048.96</v>
      </c>
      <c r="M713">
        <f>_INVESTEMENTDATA[[#This Row],[Investment_Amount]]*0.18*25</f>
        <v>17551224</v>
      </c>
    </row>
    <row r="714" spans="1:13" x14ac:dyDescent="0.25">
      <c r="A714" t="s">
        <v>1356</v>
      </c>
      <c r="B714" t="s">
        <v>17</v>
      </c>
      <c r="C714">
        <v>49</v>
      </c>
      <c r="D714" t="s">
        <v>38</v>
      </c>
      <c r="E714" t="s">
        <v>57</v>
      </c>
      <c r="F714" t="s">
        <v>14</v>
      </c>
      <c r="G714">
        <v>3432511</v>
      </c>
      <c r="H714">
        <f t="shared" ca="1" si="11"/>
        <v>167</v>
      </c>
      <c r="I714">
        <v>28.87</v>
      </c>
      <c r="J714">
        <v>16.09</v>
      </c>
      <c r="K714" t="s">
        <v>1357</v>
      </c>
      <c r="L714">
        <f>_INVESTEMENTDATA[[#This Row],[Investment_Amount]]*0.18</f>
        <v>617851.98</v>
      </c>
      <c r="M714">
        <f>_INVESTEMENTDATA[[#This Row],[Investment_Amount]]*0.18*25</f>
        <v>15446299.5</v>
      </c>
    </row>
    <row r="715" spans="1:13" x14ac:dyDescent="0.25">
      <c r="A715" t="s">
        <v>1358</v>
      </c>
      <c r="B715" t="s">
        <v>17</v>
      </c>
      <c r="C715">
        <v>22</v>
      </c>
      <c r="D715" t="s">
        <v>38</v>
      </c>
      <c r="E715" t="s">
        <v>57</v>
      </c>
      <c r="F715" t="s">
        <v>47</v>
      </c>
      <c r="G715">
        <v>2180825</v>
      </c>
      <c r="H715">
        <f t="shared" ca="1" si="11"/>
        <v>27</v>
      </c>
      <c r="I715">
        <v>25.72</v>
      </c>
      <c r="J715">
        <v>8.81</v>
      </c>
      <c r="K715" t="s">
        <v>1359</v>
      </c>
      <c r="L715">
        <f>_INVESTEMENTDATA[[#This Row],[Investment_Amount]]*0.18</f>
        <v>392548.5</v>
      </c>
      <c r="M715">
        <f>_INVESTEMENTDATA[[#This Row],[Investment_Amount]]*0.18*25</f>
        <v>9813712.5</v>
      </c>
    </row>
    <row r="716" spans="1:13" x14ac:dyDescent="0.25">
      <c r="A716" t="s">
        <v>1360</v>
      </c>
      <c r="B716" t="s">
        <v>17</v>
      </c>
      <c r="C716">
        <v>23</v>
      </c>
      <c r="D716" t="s">
        <v>12</v>
      </c>
      <c r="E716" t="s">
        <v>50</v>
      </c>
      <c r="F716" t="s">
        <v>47</v>
      </c>
      <c r="G716">
        <v>4971000</v>
      </c>
      <c r="H716">
        <f t="shared" ca="1" si="11"/>
        <v>193</v>
      </c>
      <c r="I716">
        <v>27.48</v>
      </c>
      <c r="J716">
        <v>44.1</v>
      </c>
      <c r="K716" t="s">
        <v>1361</v>
      </c>
      <c r="L716">
        <f>_INVESTEMENTDATA[[#This Row],[Investment_Amount]]*0.18</f>
        <v>894780</v>
      </c>
      <c r="M716">
        <f>_INVESTEMENTDATA[[#This Row],[Investment_Amount]]*0.18*25</f>
        <v>22369500</v>
      </c>
    </row>
    <row r="717" spans="1:13" x14ac:dyDescent="0.25">
      <c r="A717" t="s">
        <v>1362</v>
      </c>
      <c r="B717" t="s">
        <v>11</v>
      </c>
      <c r="C717">
        <v>58</v>
      </c>
      <c r="D717" t="s">
        <v>28</v>
      </c>
      <c r="E717" t="s">
        <v>50</v>
      </c>
      <c r="F717" t="s">
        <v>47</v>
      </c>
      <c r="G717">
        <v>1714720</v>
      </c>
      <c r="H717">
        <f t="shared" ca="1" si="11"/>
        <v>156</v>
      </c>
      <c r="I717">
        <v>11.54</v>
      </c>
      <c r="J717">
        <v>39.590000000000003</v>
      </c>
      <c r="K717" t="s">
        <v>572</v>
      </c>
      <c r="L717">
        <f>_INVESTEMENTDATA[[#This Row],[Investment_Amount]]*0.18</f>
        <v>308649.59999999998</v>
      </c>
      <c r="M717">
        <f>_INVESTEMENTDATA[[#This Row],[Investment_Amount]]*0.18*25</f>
        <v>7716239.9999999991</v>
      </c>
    </row>
    <row r="718" spans="1:13" x14ac:dyDescent="0.25">
      <c r="A718" t="s">
        <v>1363</v>
      </c>
      <c r="B718" t="s">
        <v>17</v>
      </c>
      <c r="C718">
        <v>38</v>
      </c>
      <c r="D718" t="s">
        <v>28</v>
      </c>
      <c r="E718" t="s">
        <v>57</v>
      </c>
      <c r="F718" t="s">
        <v>47</v>
      </c>
      <c r="G718">
        <v>687393</v>
      </c>
      <c r="H718">
        <f t="shared" ca="1" si="11"/>
        <v>118</v>
      </c>
      <c r="I718">
        <v>23.74</v>
      </c>
      <c r="J718">
        <v>41.69</v>
      </c>
      <c r="K718" t="s">
        <v>1364</v>
      </c>
      <c r="L718">
        <f>_INVESTEMENTDATA[[#This Row],[Investment_Amount]]*0.18</f>
        <v>123730.73999999999</v>
      </c>
      <c r="M718">
        <f>_INVESTEMENTDATA[[#This Row],[Investment_Amount]]*0.18*25</f>
        <v>3093268.5</v>
      </c>
    </row>
    <row r="719" spans="1:13" x14ac:dyDescent="0.25">
      <c r="A719" t="s">
        <v>1365</v>
      </c>
      <c r="B719" t="s">
        <v>11</v>
      </c>
      <c r="C719">
        <v>32</v>
      </c>
      <c r="D719" t="s">
        <v>46</v>
      </c>
      <c r="E719" t="s">
        <v>57</v>
      </c>
      <c r="F719" t="s">
        <v>41</v>
      </c>
      <c r="G719">
        <v>280770</v>
      </c>
      <c r="H719">
        <f t="shared" ca="1" si="11"/>
        <v>57</v>
      </c>
      <c r="I719">
        <v>30.09</v>
      </c>
      <c r="J719">
        <v>28.72</v>
      </c>
      <c r="K719" t="s">
        <v>1366</v>
      </c>
      <c r="L719">
        <f>_INVESTEMENTDATA[[#This Row],[Investment_Amount]]*0.18</f>
        <v>50538.6</v>
      </c>
      <c r="M719">
        <f>_INVESTEMENTDATA[[#This Row],[Investment_Amount]]*0.18*25</f>
        <v>1263465</v>
      </c>
    </row>
    <row r="720" spans="1:13" x14ac:dyDescent="0.25">
      <c r="A720" t="s">
        <v>1367</v>
      </c>
      <c r="B720" t="s">
        <v>11</v>
      </c>
      <c r="C720">
        <v>24</v>
      </c>
      <c r="D720" t="s">
        <v>28</v>
      </c>
      <c r="E720" t="s">
        <v>57</v>
      </c>
      <c r="F720" t="s">
        <v>47</v>
      </c>
      <c r="G720">
        <v>3408817</v>
      </c>
      <c r="H720">
        <f t="shared" ca="1" si="11"/>
        <v>185</v>
      </c>
      <c r="I720">
        <v>32.9</v>
      </c>
      <c r="J720">
        <v>17.260000000000002</v>
      </c>
      <c r="K720" t="s">
        <v>465</v>
      </c>
      <c r="L720">
        <f>_INVESTEMENTDATA[[#This Row],[Investment_Amount]]*0.18</f>
        <v>613587.05999999994</v>
      </c>
      <c r="M720">
        <f>_INVESTEMENTDATA[[#This Row],[Investment_Amount]]*0.18*25</f>
        <v>15339676.499999998</v>
      </c>
    </row>
    <row r="721" spans="1:13" x14ac:dyDescent="0.25">
      <c r="A721" t="s">
        <v>1368</v>
      </c>
      <c r="B721" t="s">
        <v>17</v>
      </c>
      <c r="C721">
        <v>29</v>
      </c>
      <c r="D721" t="s">
        <v>38</v>
      </c>
      <c r="E721" t="s">
        <v>13</v>
      </c>
      <c r="F721" t="s">
        <v>35</v>
      </c>
      <c r="G721">
        <v>220487</v>
      </c>
      <c r="H721">
        <f t="shared" ca="1" si="11"/>
        <v>267</v>
      </c>
      <c r="I721">
        <v>26.9</v>
      </c>
      <c r="J721">
        <v>10.6</v>
      </c>
      <c r="K721" t="s">
        <v>1369</v>
      </c>
      <c r="L721">
        <f>_INVESTEMENTDATA[[#This Row],[Investment_Amount]]*0.18</f>
        <v>39687.659999999996</v>
      </c>
      <c r="M721">
        <f>_INVESTEMENTDATA[[#This Row],[Investment_Amount]]*0.18*25</f>
        <v>992191.49999999988</v>
      </c>
    </row>
    <row r="722" spans="1:13" x14ac:dyDescent="0.25">
      <c r="A722" t="s">
        <v>1370</v>
      </c>
      <c r="B722" t="s">
        <v>11</v>
      </c>
      <c r="C722">
        <v>36</v>
      </c>
      <c r="D722" t="s">
        <v>38</v>
      </c>
      <c r="E722" t="s">
        <v>13</v>
      </c>
      <c r="F722" t="s">
        <v>35</v>
      </c>
      <c r="G722">
        <v>4623231</v>
      </c>
      <c r="H722">
        <f t="shared" ca="1" si="11"/>
        <v>121</v>
      </c>
      <c r="I722">
        <v>27.46</v>
      </c>
      <c r="J722">
        <v>17.79</v>
      </c>
      <c r="K722" t="s">
        <v>1371</v>
      </c>
      <c r="L722">
        <f>_INVESTEMENTDATA[[#This Row],[Investment_Amount]]*0.18</f>
        <v>832181.58</v>
      </c>
      <c r="M722">
        <f>_INVESTEMENTDATA[[#This Row],[Investment_Amount]]*0.18*25</f>
        <v>20804539.5</v>
      </c>
    </row>
    <row r="723" spans="1:13" x14ac:dyDescent="0.25">
      <c r="A723" t="s">
        <v>1372</v>
      </c>
      <c r="B723" t="s">
        <v>17</v>
      </c>
      <c r="C723">
        <v>25</v>
      </c>
      <c r="D723" t="s">
        <v>46</v>
      </c>
      <c r="E723" t="s">
        <v>19</v>
      </c>
      <c r="F723" t="s">
        <v>20</v>
      </c>
      <c r="G723">
        <v>1309422</v>
      </c>
      <c r="H723">
        <f t="shared" ca="1" si="11"/>
        <v>245</v>
      </c>
      <c r="I723">
        <v>11.94</v>
      </c>
      <c r="J723">
        <v>13.54</v>
      </c>
      <c r="K723" t="s">
        <v>1373</v>
      </c>
      <c r="L723">
        <f>_INVESTEMENTDATA[[#This Row],[Investment_Amount]]*0.18</f>
        <v>235695.96</v>
      </c>
      <c r="M723">
        <f>_INVESTEMENTDATA[[#This Row],[Investment_Amount]]*0.18*25</f>
        <v>5892399</v>
      </c>
    </row>
    <row r="724" spans="1:13" x14ac:dyDescent="0.25">
      <c r="A724" t="s">
        <v>1374</v>
      </c>
      <c r="B724" t="s">
        <v>17</v>
      </c>
      <c r="C724">
        <v>38</v>
      </c>
      <c r="D724" t="s">
        <v>28</v>
      </c>
      <c r="E724" t="s">
        <v>29</v>
      </c>
      <c r="F724" t="s">
        <v>47</v>
      </c>
      <c r="G724">
        <v>1290238</v>
      </c>
      <c r="H724">
        <f t="shared" ca="1" si="11"/>
        <v>355</v>
      </c>
      <c r="I724">
        <v>8.5500000000000007</v>
      </c>
      <c r="J724">
        <v>21.61</v>
      </c>
      <c r="K724" t="s">
        <v>1375</v>
      </c>
      <c r="L724">
        <f>_INVESTEMENTDATA[[#This Row],[Investment_Amount]]*0.18</f>
        <v>232242.84</v>
      </c>
      <c r="M724">
        <f>_INVESTEMENTDATA[[#This Row],[Investment_Amount]]*0.18*25</f>
        <v>5806071</v>
      </c>
    </row>
    <row r="725" spans="1:13" x14ac:dyDescent="0.25">
      <c r="A725" t="s">
        <v>1376</v>
      </c>
      <c r="B725" t="s">
        <v>17</v>
      </c>
      <c r="C725">
        <v>29</v>
      </c>
      <c r="D725" t="s">
        <v>38</v>
      </c>
      <c r="E725" t="s">
        <v>13</v>
      </c>
      <c r="F725" t="s">
        <v>35</v>
      </c>
      <c r="G725">
        <v>3506004</v>
      </c>
      <c r="H725">
        <f t="shared" ca="1" si="11"/>
        <v>240</v>
      </c>
      <c r="I725">
        <v>33.47</v>
      </c>
      <c r="J725">
        <v>23.2</v>
      </c>
      <c r="K725" t="s">
        <v>1377</v>
      </c>
      <c r="L725">
        <f>_INVESTEMENTDATA[[#This Row],[Investment_Amount]]*0.18</f>
        <v>631080.72</v>
      </c>
      <c r="M725">
        <f>_INVESTEMENTDATA[[#This Row],[Investment_Amount]]*0.18*25</f>
        <v>15777018</v>
      </c>
    </row>
    <row r="726" spans="1:13" x14ac:dyDescent="0.25">
      <c r="A726" t="s">
        <v>1378</v>
      </c>
      <c r="B726" t="s">
        <v>11</v>
      </c>
      <c r="C726">
        <v>42</v>
      </c>
      <c r="D726" t="s">
        <v>28</v>
      </c>
      <c r="E726" t="s">
        <v>13</v>
      </c>
      <c r="F726" t="s">
        <v>30</v>
      </c>
      <c r="G726">
        <v>4331268</v>
      </c>
      <c r="H726">
        <f t="shared" ca="1" si="11"/>
        <v>249</v>
      </c>
      <c r="I726">
        <v>34.770000000000003</v>
      </c>
      <c r="J726">
        <v>17.21</v>
      </c>
      <c r="K726" t="s">
        <v>570</v>
      </c>
      <c r="L726">
        <f>_INVESTEMENTDATA[[#This Row],[Investment_Amount]]*0.18</f>
        <v>779628.24</v>
      </c>
      <c r="M726">
        <f>_INVESTEMENTDATA[[#This Row],[Investment_Amount]]*0.18*25</f>
        <v>19490706</v>
      </c>
    </row>
    <row r="727" spans="1:13" x14ac:dyDescent="0.25">
      <c r="A727" t="s">
        <v>1379</v>
      </c>
      <c r="B727" t="s">
        <v>11</v>
      </c>
      <c r="C727">
        <v>62</v>
      </c>
      <c r="D727" t="s">
        <v>12</v>
      </c>
      <c r="E727" t="s">
        <v>19</v>
      </c>
      <c r="F727" t="s">
        <v>30</v>
      </c>
      <c r="G727">
        <v>1124107</v>
      </c>
      <c r="H727">
        <f t="shared" ca="1" si="11"/>
        <v>12</v>
      </c>
      <c r="I727">
        <v>16.329999999999998</v>
      </c>
      <c r="J727">
        <v>32.14</v>
      </c>
      <c r="K727" t="s">
        <v>386</v>
      </c>
      <c r="L727">
        <f>_INVESTEMENTDATA[[#This Row],[Investment_Amount]]*0.18</f>
        <v>202339.25999999998</v>
      </c>
      <c r="M727">
        <f>_INVESTEMENTDATA[[#This Row],[Investment_Amount]]*0.18*25</f>
        <v>5058481.4999999991</v>
      </c>
    </row>
    <row r="728" spans="1:13" x14ac:dyDescent="0.25">
      <c r="A728" t="s">
        <v>1380</v>
      </c>
      <c r="B728" t="s">
        <v>11</v>
      </c>
      <c r="C728">
        <v>49</v>
      </c>
      <c r="D728" t="s">
        <v>28</v>
      </c>
      <c r="E728" t="s">
        <v>50</v>
      </c>
      <c r="F728" t="s">
        <v>41</v>
      </c>
      <c r="G728">
        <v>3724564</v>
      </c>
      <c r="H728">
        <f t="shared" ca="1" si="11"/>
        <v>125</v>
      </c>
      <c r="I728">
        <v>21.53</v>
      </c>
      <c r="J728">
        <v>3.52</v>
      </c>
      <c r="K728" t="s">
        <v>1381</v>
      </c>
      <c r="L728">
        <f>_INVESTEMENTDATA[[#This Row],[Investment_Amount]]*0.18</f>
        <v>670421.52</v>
      </c>
      <c r="M728">
        <f>_INVESTEMENTDATA[[#This Row],[Investment_Amount]]*0.18*25</f>
        <v>16760538</v>
      </c>
    </row>
    <row r="729" spans="1:13" x14ac:dyDescent="0.25">
      <c r="A729" t="s">
        <v>1382</v>
      </c>
      <c r="B729" t="s">
        <v>11</v>
      </c>
      <c r="C729">
        <v>52</v>
      </c>
      <c r="D729" t="s">
        <v>46</v>
      </c>
      <c r="E729" t="s">
        <v>50</v>
      </c>
      <c r="F729" t="s">
        <v>14</v>
      </c>
      <c r="G729">
        <v>322496</v>
      </c>
      <c r="H729">
        <f t="shared" ca="1" si="11"/>
        <v>214</v>
      </c>
      <c r="I729">
        <v>18.760000000000002</v>
      </c>
      <c r="J729">
        <v>27.81</v>
      </c>
      <c r="K729" t="s">
        <v>1383</v>
      </c>
      <c r="L729">
        <f>_INVESTEMENTDATA[[#This Row],[Investment_Amount]]*0.18</f>
        <v>58049.279999999999</v>
      </c>
      <c r="M729">
        <f>_INVESTEMENTDATA[[#This Row],[Investment_Amount]]*0.18*25</f>
        <v>1451232</v>
      </c>
    </row>
    <row r="730" spans="1:13" x14ac:dyDescent="0.25">
      <c r="A730" t="s">
        <v>1384</v>
      </c>
      <c r="B730" t="s">
        <v>11</v>
      </c>
      <c r="C730">
        <v>46</v>
      </c>
      <c r="D730" t="s">
        <v>46</v>
      </c>
      <c r="E730" t="s">
        <v>57</v>
      </c>
      <c r="F730" t="s">
        <v>41</v>
      </c>
      <c r="G730">
        <v>1052970</v>
      </c>
      <c r="H730">
        <f t="shared" ca="1" si="11"/>
        <v>198</v>
      </c>
      <c r="I730">
        <v>28.17</v>
      </c>
      <c r="J730">
        <v>15.62</v>
      </c>
      <c r="K730" t="s">
        <v>1385</v>
      </c>
      <c r="L730">
        <f>_INVESTEMENTDATA[[#This Row],[Investment_Amount]]*0.18</f>
        <v>189534.6</v>
      </c>
      <c r="M730">
        <f>_INVESTEMENTDATA[[#This Row],[Investment_Amount]]*0.18*25</f>
        <v>4738365</v>
      </c>
    </row>
    <row r="731" spans="1:13" x14ac:dyDescent="0.25">
      <c r="A731" t="s">
        <v>1386</v>
      </c>
      <c r="B731" t="s">
        <v>17</v>
      </c>
      <c r="C731">
        <v>43</v>
      </c>
      <c r="D731" t="s">
        <v>46</v>
      </c>
      <c r="E731" t="s">
        <v>50</v>
      </c>
      <c r="F731" t="s">
        <v>20</v>
      </c>
      <c r="G731">
        <v>4071943</v>
      </c>
      <c r="H731">
        <f t="shared" ca="1" si="11"/>
        <v>210</v>
      </c>
      <c r="I731">
        <v>29.97</v>
      </c>
      <c r="J731">
        <v>9.7100000000000009</v>
      </c>
      <c r="K731" t="s">
        <v>1387</v>
      </c>
      <c r="L731">
        <f>_INVESTEMENTDATA[[#This Row],[Investment_Amount]]*0.18</f>
        <v>732949.74</v>
      </c>
      <c r="M731">
        <f>_INVESTEMENTDATA[[#This Row],[Investment_Amount]]*0.18*25</f>
        <v>18323743.5</v>
      </c>
    </row>
    <row r="732" spans="1:13" x14ac:dyDescent="0.25">
      <c r="A732" t="s">
        <v>1388</v>
      </c>
      <c r="B732" t="s">
        <v>11</v>
      </c>
      <c r="C732">
        <v>47</v>
      </c>
      <c r="D732" t="s">
        <v>12</v>
      </c>
      <c r="E732" t="s">
        <v>13</v>
      </c>
      <c r="F732" t="s">
        <v>30</v>
      </c>
      <c r="G732">
        <v>2649219</v>
      </c>
      <c r="H732">
        <f t="shared" ca="1" si="11"/>
        <v>205</v>
      </c>
      <c r="I732">
        <v>29.02</v>
      </c>
      <c r="J732">
        <v>42.89</v>
      </c>
      <c r="K732" t="s">
        <v>220</v>
      </c>
      <c r="L732">
        <f>_INVESTEMENTDATA[[#This Row],[Investment_Amount]]*0.18</f>
        <v>476859.42</v>
      </c>
      <c r="M732">
        <f>_INVESTEMENTDATA[[#This Row],[Investment_Amount]]*0.18*25</f>
        <v>11921485.5</v>
      </c>
    </row>
    <row r="733" spans="1:13" x14ac:dyDescent="0.25">
      <c r="A733" t="s">
        <v>1389</v>
      </c>
      <c r="B733" t="s">
        <v>17</v>
      </c>
      <c r="C733">
        <v>49</v>
      </c>
      <c r="D733" t="s">
        <v>12</v>
      </c>
      <c r="E733" t="s">
        <v>29</v>
      </c>
      <c r="F733" t="s">
        <v>14</v>
      </c>
      <c r="G733">
        <v>829757</v>
      </c>
      <c r="H733">
        <f t="shared" ca="1" si="11"/>
        <v>137</v>
      </c>
      <c r="I733">
        <v>25.21</v>
      </c>
      <c r="J733">
        <v>4.79</v>
      </c>
      <c r="K733" t="s">
        <v>417</v>
      </c>
      <c r="L733">
        <f>_INVESTEMENTDATA[[#This Row],[Investment_Amount]]*0.18</f>
        <v>149356.25999999998</v>
      </c>
      <c r="M733">
        <f>_INVESTEMENTDATA[[#This Row],[Investment_Amount]]*0.18*25</f>
        <v>3733906.4999999995</v>
      </c>
    </row>
    <row r="734" spans="1:13" x14ac:dyDescent="0.25">
      <c r="A734" t="s">
        <v>1390</v>
      </c>
      <c r="B734" t="s">
        <v>17</v>
      </c>
      <c r="C734">
        <v>51</v>
      </c>
      <c r="D734" t="s">
        <v>28</v>
      </c>
      <c r="E734" t="s">
        <v>57</v>
      </c>
      <c r="F734" t="s">
        <v>14</v>
      </c>
      <c r="G734">
        <v>3041634</v>
      </c>
      <c r="H734">
        <f t="shared" ca="1" si="11"/>
        <v>82</v>
      </c>
      <c r="I734">
        <v>17.350000000000001</v>
      </c>
      <c r="J734">
        <v>29.18</v>
      </c>
      <c r="K734" t="s">
        <v>1391</v>
      </c>
      <c r="L734">
        <f>_INVESTEMENTDATA[[#This Row],[Investment_Amount]]*0.18</f>
        <v>547494.12</v>
      </c>
      <c r="M734">
        <f>_INVESTEMENTDATA[[#This Row],[Investment_Amount]]*0.18*25</f>
        <v>13687353</v>
      </c>
    </row>
    <row r="735" spans="1:13" x14ac:dyDescent="0.25">
      <c r="A735" t="s">
        <v>1392</v>
      </c>
      <c r="B735" t="s">
        <v>11</v>
      </c>
      <c r="C735">
        <v>42</v>
      </c>
      <c r="D735" t="s">
        <v>28</v>
      </c>
      <c r="E735" t="s">
        <v>50</v>
      </c>
      <c r="F735" t="s">
        <v>14</v>
      </c>
      <c r="G735">
        <v>595959</v>
      </c>
      <c r="H735">
        <f t="shared" ca="1" si="11"/>
        <v>12</v>
      </c>
      <c r="I735">
        <v>16.89</v>
      </c>
      <c r="J735">
        <v>11.29</v>
      </c>
      <c r="K735" t="s">
        <v>1393</v>
      </c>
      <c r="L735">
        <f>_INVESTEMENTDATA[[#This Row],[Investment_Amount]]*0.18</f>
        <v>107272.62</v>
      </c>
      <c r="M735">
        <f>_INVESTEMENTDATA[[#This Row],[Investment_Amount]]*0.18*25</f>
        <v>2681815.5</v>
      </c>
    </row>
    <row r="736" spans="1:13" x14ac:dyDescent="0.25">
      <c r="A736" t="s">
        <v>1394</v>
      </c>
      <c r="B736" t="s">
        <v>11</v>
      </c>
      <c r="C736">
        <v>26</v>
      </c>
      <c r="D736" t="s">
        <v>38</v>
      </c>
      <c r="E736" t="s">
        <v>19</v>
      </c>
      <c r="F736" t="s">
        <v>20</v>
      </c>
      <c r="G736">
        <v>3947200</v>
      </c>
      <c r="H736">
        <f t="shared" ca="1" si="11"/>
        <v>147</v>
      </c>
      <c r="I736">
        <v>13.82</v>
      </c>
      <c r="J736">
        <v>31.57</v>
      </c>
      <c r="K736" t="s">
        <v>1395</v>
      </c>
      <c r="L736">
        <f>_INVESTEMENTDATA[[#This Row],[Investment_Amount]]*0.18</f>
        <v>710496</v>
      </c>
      <c r="M736">
        <f>_INVESTEMENTDATA[[#This Row],[Investment_Amount]]*0.18*25</f>
        <v>17762400</v>
      </c>
    </row>
    <row r="737" spans="1:13" x14ac:dyDescent="0.25">
      <c r="A737" t="s">
        <v>1396</v>
      </c>
      <c r="B737" t="s">
        <v>17</v>
      </c>
      <c r="C737">
        <v>56</v>
      </c>
      <c r="D737" t="s">
        <v>38</v>
      </c>
      <c r="E737" t="s">
        <v>13</v>
      </c>
      <c r="F737" t="s">
        <v>35</v>
      </c>
      <c r="G737">
        <v>1491429</v>
      </c>
      <c r="H737">
        <f t="shared" ca="1" si="11"/>
        <v>175</v>
      </c>
      <c r="I737">
        <v>24.75</v>
      </c>
      <c r="J737">
        <v>21.5</v>
      </c>
      <c r="K737" t="s">
        <v>1397</v>
      </c>
      <c r="L737">
        <f>_INVESTEMENTDATA[[#This Row],[Investment_Amount]]*0.18</f>
        <v>268457.21999999997</v>
      </c>
      <c r="M737">
        <f>_INVESTEMENTDATA[[#This Row],[Investment_Amount]]*0.18*25</f>
        <v>6711430.4999999991</v>
      </c>
    </row>
    <row r="738" spans="1:13" x14ac:dyDescent="0.25">
      <c r="A738" t="s">
        <v>1398</v>
      </c>
      <c r="B738" t="s">
        <v>11</v>
      </c>
      <c r="C738">
        <v>63</v>
      </c>
      <c r="D738" t="s">
        <v>28</v>
      </c>
      <c r="E738" t="s">
        <v>57</v>
      </c>
      <c r="F738" t="s">
        <v>14</v>
      </c>
      <c r="G738">
        <v>1415363</v>
      </c>
      <c r="H738">
        <f t="shared" ca="1" si="11"/>
        <v>150</v>
      </c>
      <c r="I738">
        <v>19.78</v>
      </c>
      <c r="J738">
        <v>6.71</v>
      </c>
      <c r="K738" t="s">
        <v>283</v>
      </c>
      <c r="L738">
        <f>_INVESTEMENTDATA[[#This Row],[Investment_Amount]]*0.18</f>
        <v>254765.34</v>
      </c>
      <c r="M738">
        <f>_INVESTEMENTDATA[[#This Row],[Investment_Amount]]*0.18*25</f>
        <v>6369133.5</v>
      </c>
    </row>
    <row r="739" spans="1:13" x14ac:dyDescent="0.25">
      <c r="A739" t="s">
        <v>1399</v>
      </c>
      <c r="B739" t="s">
        <v>11</v>
      </c>
      <c r="C739">
        <v>41</v>
      </c>
      <c r="D739" t="s">
        <v>38</v>
      </c>
      <c r="E739" t="s">
        <v>23</v>
      </c>
      <c r="F739" t="s">
        <v>30</v>
      </c>
      <c r="G739">
        <v>1856954</v>
      </c>
      <c r="H739">
        <f t="shared" ca="1" si="11"/>
        <v>260</v>
      </c>
      <c r="I739">
        <v>23.18</v>
      </c>
      <c r="J739">
        <v>-8.5399999999999991</v>
      </c>
      <c r="K739" t="s">
        <v>1327</v>
      </c>
      <c r="L739">
        <f>_INVESTEMENTDATA[[#This Row],[Investment_Amount]]*0.18</f>
        <v>334251.71999999997</v>
      </c>
      <c r="M739">
        <f>_INVESTEMENTDATA[[#This Row],[Investment_Amount]]*0.18*25</f>
        <v>8356292.9999999991</v>
      </c>
    </row>
    <row r="740" spans="1:13" x14ac:dyDescent="0.25">
      <c r="A740" t="s">
        <v>1400</v>
      </c>
      <c r="B740" t="s">
        <v>11</v>
      </c>
      <c r="C740">
        <v>37</v>
      </c>
      <c r="D740" t="s">
        <v>38</v>
      </c>
      <c r="E740" t="s">
        <v>19</v>
      </c>
      <c r="F740" t="s">
        <v>30</v>
      </c>
      <c r="G740">
        <v>4455611</v>
      </c>
      <c r="H740">
        <f t="shared" ca="1" si="11"/>
        <v>247</v>
      </c>
      <c r="I740">
        <v>21.17</v>
      </c>
      <c r="J740">
        <v>13.28</v>
      </c>
      <c r="K740" t="s">
        <v>1401</v>
      </c>
      <c r="L740">
        <f>_INVESTEMENTDATA[[#This Row],[Investment_Amount]]*0.18</f>
        <v>802009.98</v>
      </c>
      <c r="M740">
        <f>_INVESTEMENTDATA[[#This Row],[Investment_Amount]]*0.18*25</f>
        <v>20050249.5</v>
      </c>
    </row>
    <row r="741" spans="1:13" x14ac:dyDescent="0.25">
      <c r="A741" t="s">
        <v>1402</v>
      </c>
      <c r="B741" t="s">
        <v>11</v>
      </c>
      <c r="C741">
        <v>58</v>
      </c>
      <c r="D741" t="s">
        <v>46</v>
      </c>
      <c r="E741" t="s">
        <v>57</v>
      </c>
      <c r="F741" t="s">
        <v>35</v>
      </c>
      <c r="G741">
        <v>4627987</v>
      </c>
      <c r="H741">
        <f t="shared" ca="1" si="11"/>
        <v>247</v>
      </c>
      <c r="I741">
        <v>14.38</v>
      </c>
      <c r="J741">
        <v>30.84</v>
      </c>
      <c r="K741" t="s">
        <v>1381</v>
      </c>
      <c r="L741">
        <f>_INVESTEMENTDATA[[#This Row],[Investment_Amount]]*0.18</f>
        <v>833037.65999999992</v>
      </c>
      <c r="M741">
        <f>_INVESTEMENTDATA[[#This Row],[Investment_Amount]]*0.18*25</f>
        <v>20825941.499999996</v>
      </c>
    </row>
    <row r="742" spans="1:13" x14ac:dyDescent="0.25">
      <c r="A742" t="s">
        <v>1403</v>
      </c>
      <c r="B742" t="s">
        <v>17</v>
      </c>
      <c r="C742">
        <v>27</v>
      </c>
      <c r="D742" t="s">
        <v>28</v>
      </c>
      <c r="E742" t="s">
        <v>23</v>
      </c>
      <c r="F742" t="s">
        <v>35</v>
      </c>
      <c r="G742">
        <v>2740355</v>
      </c>
      <c r="H742">
        <f t="shared" ca="1" si="11"/>
        <v>275</v>
      </c>
      <c r="I742">
        <v>30.95</v>
      </c>
      <c r="J742">
        <v>-0.61</v>
      </c>
      <c r="K742" t="s">
        <v>1404</v>
      </c>
      <c r="L742">
        <f>_INVESTEMENTDATA[[#This Row],[Investment_Amount]]*0.18</f>
        <v>493263.89999999997</v>
      </c>
      <c r="M742">
        <f>_INVESTEMENTDATA[[#This Row],[Investment_Amount]]*0.18*25</f>
        <v>12331597.5</v>
      </c>
    </row>
    <row r="743" spans="1:13" x14ac:dyDescent="0.25">
      <c r="A743" t="s">
        <v>1405</v>
      </c>
      <c r="B743" t="s">
        <v>17</v>
      </c>
      <c r="C743">
        <v>35</v>
      </c>
      <c r="D743" t="s">
        <v>18</v>
      </c>
      <c r="E743" t="s">
        <v>57</v>
      </c>
      <c r="F743" t="s">
        <v>41</v>
      </c>
      <c r="G743">
        <v>2189186</v>
      </c>
      <c r="H743">
        <f t="shared" ca="1" si="11"/>
        <v>316</v>
      </c>
      <c r="I743">
        <v>24.82</v>
      </c>
      <c r="J743">
        <v>23.8</v>
      </c>
      <c r="K743" t="s">
        <v>1406</v>
      </c>
      <c r="L743">
        <f>_INVESTEMENTDATA[[#This Row],[Investment_Amount]]*0.18</f>
        <v>394053.48</v>
      </c>
      <c r="M743">
        <f>_INVESTEMENTDATA[[#This Row],[Investment_Amount]]*0.18*25</f>
        <v>9851337</v>
      </c>
    </row>
    <row r="744" spans="1:13" x14ac:dyDescent="0.25">
      <c r="A744" t="s">
        <v>1407</v>
      </c>
      <c r="B744" t="s">
        <v>11</v>
      </c>
      <c r="C744">
        <v>31</v>
      </c>
      <c r="D744" t="s">
        <v>46</v>
      </c>
      <c r="E744" t="s">
        <v>50</v>
      </c>
      <c r="F744" t="s">
        <v>14</v>
      </c>
      <c r="G744">
        <v>3658738</v>
      </c>
      <c r="H744">
        <f t="shared" ca="1" si="11"/>
        <v>199</v>
      </c>
      <c r="I744">
        <v>6.4</v>
      </c>
      <c r="J744">
        <v>21.78</v>
      </c>
      <c r="K744" t="s">
        <v>1408</v>
      </c>
      <c r="L744">
        <f>_INVESTEMENTDATA[[#This Row],[Investment_Amount]]*0.18</f>
        <v>658572.84</v>
      </c>
      <c r="M744">
        <f>_INVESTEMENTDATA[[#This Row],[Investment_Amount]]*0.18*25</f>
        <v>16464321</v>
      </c>
    </row>
    <row r="745" spans="1:13" x14ac:dyDescent="0.25">
      <c r="A745" t="s">
        <v>1409</v>
      </c>
      <c r="B745" t="s">
        <v>11</v>
      </c>
      <c r="C745">
        <v>28</v>
      </c>
      <c r="D745" t="s">
        <v>38</v>
      </c>
      <c r="E745" t="s">
        <v>50</v>
      </c>
      <c r="F745" t="s">
        <v>20</v>
      </c>
      <c r="G745">
        <v>3382437</v>
      </c>
      <c r="H745">
        <f t="shared" ca="1" si="11"/>
        <v>167</v>
      </c>
      <c r="I745">
        <v>8.64</v>
      </c>
      <c r="J745">
        <v>24.06</v>
      </c>
      <c r="K745" t="s">
        <v>1410</v>
      </c>
      <c r="L745">
        <f>_INVESTEMENTDATA[[#This Row],[Investment_Amount]]*0.18</f>
        <v>608838.66</v>
      </c>
      <c r="M745">
        <f>_INVESTEMENTDATA[[#This Row],[Investment_Amount]]*0.18*25</f>
        <v>15220966.5</v>
      </c>
    </row>
    <row r="746" spans="1:13" x14ac:dyDescent="0.25">
      <c r="A746" t="s">
        <v>1411</v>
      </c>
      <c r="B746" t="s">
        <v>11</v>
      </c>
      <c r="C746">
        <v>54</v>
      </c>
      <c r="D746" t="s">
        <v>12</v>
      </c>
      <c r="E746" t="s">
        <v>57</v>
      </c>
      <c r="F746" t="s">
        <v>35</v>
      </c>
      <c r="G746">
        <v>3524546</v>
      </c>
      <c r="H746">
        <f t="shared" ca="1" si="11"/>
        <v>217</v>
      </c>
      <c r="I746">
        <v>33.57</v>
      </c>
      <c r="J746">
        <v>5.82</v>
      </c>
      <c r="K746" t="s">
        <v>1412</v>
      </c>
      <c r="L746">
        <f>_INVESTEMENTDATA[[#This Row],[Investment_Amount]]*0.18</f>
        <v>634418.28</v>
      </c>
      <c r="M746">
        <f>_INVESTEMENTDATA[[#This Row],[Investment_Amount]]*0.18*25</f>
        <v>15860457</v>
      </c>
    </row>
    <row r="747" spans="1:13" x14ac:dyDescent="0.25">
      <c r="A747" t="s">
        <v>1413</v>
      </c>
      <c r="B747" t="s">
        <v>11</v>
      </c>
      <c r="C747">
        <v>23</v>
      </c>
      <c r="D747" t="s">
        <v>18</v>
      </c>
      <c r="E747" t="s">
        <v>13</v>
      </c>
      <c r="F747" t="s">
        <v>35</v>
      </c>
      <c r="G747">
        <v>825656</v>
      </c>
      <c r="H747">
        <f t="shared" ca="1" si="11"/>
        <v>129</v>
      </c>
      <c r="I747">
        <v>8.02</v>
      </c>
      <c r="J747">
        <v>24.81</v>
      </c>
      <c r="K747" t="s">
        <v>364</v>
      </c>
      <c r="L747">
        <f>_INVESTEMENTDATA[[#This Row],[Investment_Amount]]*0.18</f>
        <v>148618.07999999999</v>
      </c>
      <c r="M747">
        <f>_INVESTEMENTDATA[[#This Row],[Investment_Amount]]*0.18*25</f>
        <v>3715451.9999999995</v>
      </c>
    </row>
    <row r="748" spans="1:13" x14ac:dyDescent="0.25">
      <c r="A748" t="s">
        <v>1414</v>
      </c>
      <c r="B748" t="s">
        <v>17</v>
      </c>
      <c r="C748">
        <v>30</v>
      </c>
      <c r="D748" t="s">
        <v>38</v>
      </c>
      <c r="E748" t="s">
        <v>13</v>
      </c>
      <c r="F748" t="s">
        <v>20</v>
      </c>
      <c r="G748">
        <v>55103</v>
      </c>
      <c r="H748">
        <f t="shared" ca="1" si="11"/>
        <v>266</v>
      </c>
      <c r="I748">
        <v>33.99</v>
      </c>
      <c r="J748">
        <v>2.98</v>
      </c>
      <c r="K748" t="s">
        <v>1415</v>
      </c>
      <c r="L748">
        <f>_INVESTEMENTDATA[[#This Row],[Investment_Amount]]*0.18</f>
        <v>9918.5399999999991</v>
      </c>
      <c r="M748">
        <f>_INVESTEMENTDATA[[#This Row],[Investment_Amount]]*0.18*25</f>
        <v>247963.49999999997</v>
      </c>
    </row>
    <row r="749" spans="1:13" x14ac:dyDescent="0.25">
      <c r="A749" t="s">
        <v>1416</v>
      </c>
      <c r="B749" t="s">
        <v>17</v>
      </c>
      <c r="C749">
        <v>63</v>
      </c>
      <c r="D749" t="s">
        <v>28</v>
      </c>
      <c r="E749" t="s">
        <v>13</v>
      </c>
      <c r="F749" t="s">
        <v>35</v>
      </c>
      <c r="G749">
        <v>2200034</v>
      </c>
      <c r="H749">
        <f t="shared" ca="1" si="11"/>
        <v>311</v>
      </c>
      <c r="I749">
        <v>27.55</v>
      </c>
      <c r="J749">
        <v>38.369999999999997</v>
      </c>
      <c r="K749" t="s">
        <v>1417</v>
      </c>
      <c r="L749">
        <f>_INVESTEMENTDATA[[#This Row],[Investment_Amount]]*0.18</f>
        <v>396006.12</v>
      </c>
      <c r="M749">
        <f>_INVESTEMENTDATA[[#This Row],[Investment_Amount]]*0.18*25</f>
        <v>9900153</v>
      </c>
    </row>
    <row r="750" spans="1:13" x14ac:dyDescent="0.25">
      <c r="A750" t="s">
        <v>1418</v>
      </c>
      <c r="B750" t="s">
        <v>17</v>
      </c>
      <c r="C750">
        <v>43</v>
      </c>
      <c r="D750" t="s">
        <v>46</v>
      </c>
      <c r="E750" t="s">
        <v>50</v>
      </c>
      <c r="F750" t="s">
        <v>35</v>
      </c>
      <c r="G750">
        <v>103377</v>
      </c>
      <c r="H750">
        <f t="shared" ca="1" si="11"/>
        <v>294</v>
      </c>
      <c r="I750">
        <v>23.26</v>
      </c>
      <c r="J750">
        <v>40.21</v>
      </c>
      <c r="K750" t="s">
        <v>1250</v>
      </c>
      <c r="L750">
        <f>_INVESTEMENTDATA[[#This Row],[Investment_Amount]]*0.18</f>
        <v>18607.86</v>
      </c>
      <c r="M750">
        <f>_INVESTEMENTDATA[[#This Row],[Investment_Amount]]*0.18*25</f>
        <v>465196.5</v>
      </c>
    </row>
    <row r="751" spans="1:13" x14ac:dyDescent="0.25">
      <c r="A751" t="s">
        <v>1419</v>
      </c>
      <c r="B751" t="s">
        <v>11</v>
      </c>
      <c r="C751">
        <v>30</v>
      </c>
      <c r="D751" t="s">
        <v>38</v>
      </c>
      <c r="E751" t="s">
        <v>13</v>
      </c>
      <c r="F751" t="s">
        <v>47</v>
      </c>
      <c r="G751">
        <v>3552187</v>
      </c>
      <c r="H751">
        <f t="shared" ca="1" si="11"/>
        <v>61</v>
      </c>
      <c r="I751">
        <v>26.36</v>
      </c>
      <c r="J751">
        <v>23.61</v>
      </c>
      <c r="K751" t="s">
        <v>1420</v>
      </c>
      <c r="L751">
        <f>_INVESTEMENTDATA[[#This Row],[Investment_Amount]]*0.18</f>
        <v>639393.66</v>
      </c>
      <c r="M751">
        <f>_INVESTEMENTDATA[[#This Row],[Investment_Amount]]*0.18*25</f>
        <v>15984841.5</v>
      </c>
    </row>
    <row r="752" spans="1:13" x14ac:dyDescent="0.25">
      <c r="A752" t="s">
        <v>1421</v>
      </c>
      <c r="B752" t="s">
        <v>17</v>
      </c>
      <c r="C752">
        <v>26</v>
      </c>
      <c r="D752" t="s">
        <v>18</v>
      </c>
      <c r="E752" t="s">
        <v>13</v>
      </c>
      <c r="F752" t="s">
        <v>35</v>
      </c>
      <c r="G752">
        <v>1061564</v>
      </c>
      <c r="H752">
        <f t="shared" ca="1" si="11"/>
        <v>55</v>
      </c>
      <c r="I752">
        <v>17.3</v>
      </c>
      <c r="J752">
        <v>0.26</v>
      </c>
      <c r="K752" t="s">
        <v>1422</v>
      </c>
      <c r="L752">
        <f>_INVESTEMENTDATA[[#This Row],[Investment_Amount]]*0.18</f>
        <v>191081.52</v>
      </c>
      <c r="M752">
        <f>_INVESTEMENTDATA[[#This Row],[Investment_Amount]]*0.18*25</f>
        <v>4777038</v>
      </c>
    </row>
    <row r="753" spans="1:13" x14ac:dyDescent="0.25">
      <c r="A753" t="s">
        <v>1423</v>
      </c>
      <c r="B753" t="s">
        <v>17</v>
      </c>
      <c r="C753">
        <v>61</v>
      </c>
      <c r="D753" t="s">
        <v>46</v>
      </c>
      <c r="E753" t="s">
        <v>29</v>
      </c>
      <c r="F753" t="s">
        <v>35</v>
      </c>
      <c r="G753">
        <v>1469805</v>
      </c>
      <c r="H753">
        <f t="shared" ca="1" si="11"/>
        <v>179</v>
      </c>
      <c r="I753">
        <v>13.06</v>
      </c>
      <c r="J753">
        <v>18.52</v>
      </c>
      <c r="K753" t="s">
        <v>977</v>
      </c>
      <c r="L753">
        <f>_INVESTEMENTDATA[[#This Row],[Investment_Amount]]*0.18</f>
        <v>264564.89999999997</v>
      </c>
      <c r="M753">
        <f>_INVESTEMENTDATA[[#This Row],[Investment_Amount]]*0.18*25</f>
        <v>6614122.4999999991</v>
      </c>
    </row>
    <row r="754" spans="1:13" x14ac:dyDescent="0.25">
      <c r="A754" t="s">
        <v>1424</v>
      </c>
      <c r="B754" t="s">
        <v>17</v>
      </c>
      <c r="C754">
        <v>22</v>
      </c>
      <c r="D754" t="s">
        <v>38</v>
      </c>
      <c r="E754" t="s">
        <v>50</v>
      </c>
      <c r="F754" t="s">
        <v>20</v>
      </c>
      <c r="G754">
        <v>2918307</v>
      </c>
      <c r="H754">
        <f t="shared" ca="1" si="11"/>
        <v>69</v>
      </c>
      <c r="I754">
        <v>31.61</v>
      </c>
      <c r="J754">
        <v>8.2100000000000009</v>
      </c>
      <c r="K754" t="s">
        <v>1425</v>
      </c>
      <c r="L754">
        <f>_INVESTEMENTDATA[[#This Row],[Investment_Amount]]*0.18</f>
        <v>525295.26</v>
      </c>
      <c r="M754">
        <f>_INVESTEMENTDATA[[#This Row],[Investment_Amount]]*0.18*25</f>
        <v>13132381.5</v>
      </c>
    </row>
    <row r="755" spans="1:13" x14ac:dyDescent="0.25">
      <c r="A755" t="s">
        <v>1426</v>
      </c>
      <c r="B755" t="s">
        <v>11</v>
      </c>
      <c r="C755">
        <v>22</v>
      </c>
      <c r="D755" t="s">
        <v>28</v>
      </c>
      <c r="E755" t="s">
        <v>19</v>
      </c>
      <c r="F755" t="s">
        <v>47</v>
      </c>
      <c r="G755">
        <v>3491151</v>
      </c>
      <c r="H755">
        <f t="shared" ca="1" si="11"/>
        <v>254</v>
      </c>
      <c r="I755">
        <v>19.43</v>
      </c>
      <c r="J755">
        <v>42.1</v>
      </c>
      <c r="K755" t="s">
        <v>1427</v>
      </c>
      <c r="L755">
        <f>_INVESTEMENTDATA[[#This Row],[Investment_Amount]]*0.18</f>
        <v>628407.17999999993</v>
      </c>
      <c r="M755">
        <f>_INVESTEMENTDATA[[#This Row],[Investment_Amount]]*0.18*25</f>
        <v>15710179.499999998</v>
      </c>
    </row>
    <row r="756" spans="1:13" x14ac:dyDescent="0.25">
      <c r="A756" t="s">
        <v>1428</v>
      </c>
      <c r="B756" t="s">
        <v>17</v>
      </c>
      <c r="C756">
        <v>51</v>
      </c>
      <c r="D756" t="s">
        <v>12</v>
      </c>
      <c r="E756" t="s">
        <v>57</v>
      </c>
      <c r="F756" t="s">
        <v>14</v>
      </c>
      <c r="G756">
        <v>939414</v>
      </c>
      <c r="H756">
        <f t="shared" ca="1" si="11"/>
        <v>85</v>
      </c>
      <c r="I756">
        <v>16.38</v>
      </c>
      <c r="J756">
        <v>-5.66</v>
      </c>
      <c r="K756" t="s">
        <v>1429</v>
      </c>
      <c r="L756">
        <f>_INVESTEMENTDATA[[#This Row],[Investment_Amount]]*0.18</f>
        <v>169094.52</v>
      </c>
      <c r="M756">
        <f>_INVESTEMENTDATA[[#This Row],[Investment_Amount]]*0.18*25</f>
        <v>4227363</v>
      </c>
    </row>
    <row r="757" spans="1:13" x14ac:dyDescent="0.25">
      <c r="A757" t="s">
        <v>1430</v>
      </c>
      <c r="B757" t="s">
        <v>11</v>
      </c>
      <c r="C757">
        <v>64</v>
      </c>
      <c r="D757" t="s">
        <v>46</v>
      </c>
      <c r="E757" t="s">
        <v>23</v>
      </c>
      <c r="F757" t="s">
        <v>47</v>
      </c>
      <c r="G757">
        <v>1540792</v>
      </c>
      <c r="H757">
        <f t="shared" ca="1" si="11"/>
        <v>342</v>
      </c>
      <c r="I757">
        <v>23.77</v>
      </c>
      <c r="J757">
        <v>29.36</v>
      </c>
      <c r="K757" t="s">
        <v>1431</v>
      </c>
      <c r="L757">
        <f>_INVESTEMENTDATA[[#This Row],[Investment_Amount]]*0.18</f>
        <v>277342.56</v>
      </c>
      <c r="M757">
        <f>_INVESTEMENTDATA[[#This Row],[Investment_Amount]]*0.18*25</f>
        <v>6933564</v>
      </c>
    </row>
    <row r="758" spans="1:13" x14ac:dyDescent="0.25">
      <c r="A758" t="s">
        <v>1432</v>
      </c>
      <c r="B758" t="s">
        <v>11</v>
      </c>
      <c r="C758">
        <v>37</v>
      </c>
      <c r="D758" t="s">
        <v>28</v>
      </c>
      <c r="E758" t="s">
        <v>57</v>
      </c>
      <c r="F758" t="s">
        <v>20</v>
      </c>
      <c r="G758">
        <v>1694202</v>
      </c>
      <c r="H758">
        <f t="shared" ca="1" si="11"/>
        <v>297</v>
      </c>
      <c r="I758">
        <v>21.93</v>
      </c>
      <c r="J758">
        <v>-0.09</v>
      </c>
      <c r="K758" t="s">
        <v>1433</v>
      </c>
      <c r="L758">
        <f>_INVESTEMENTDATA[[#This Row],[Investment_Amount]]*0.18</f>
        <v>304956.36</v>
      </c>
      <c r="M758">
        <f>_INVESTEMENTDATA[[#This Row],[Investment_Amount]]*0.18*25</f>
        <v>7623909</v>
      </c>
    </row>
    <row r="759" spans="1:13" x14ac:dyDescent="0.25">
      <c r="A759" t="s">
        <v>1434</v>
      </c>
      <c r="B759" t="s">
        <v>17</v>
      </c>
      <c r="C759">
        <v>43</v>
      </c>
      <c r="D759" t="s">
        <v>12</v>
      </c>
      <c r="E759" t="s">
        <v>29</v>
      </c>
      <c r="F759" t="s">
        <v>47</v>
      </c>
      <c r="G759">
        <v>642476</v>
      </c>
      <c r="H759">
        <f t="shared" ca="1" si="11"/>
        <v>211</v>
      </c>
      <c r="I759">
        <v>27.27</v>
      </c>
      <c r="J759">
        <v>20.9</v>
      </c>
      <c r="K759" t="s">
        <v>1435</v>
      </c>
      <c r="L759">
        <f>_INVESTEMENTDATA[[#This Row],[Investment_Amount]]*0.18</f>
        <v>115645.68</v>
      </c>
      <c r="M759">
        <f>_INVESTEMENTDATA[[#This Row],[Investment_Amount]]*0.18*25</f>
        <v>2891142</v>
      </c>
    </row>
    <row r="760" spans="1:13" x14ac:dyDescent="0.25">
      <c r="A760" t="s">
        <v>1436</v>
      </c>
      <c r="B760" t="s">
        <v>11</v>
      </c>
      <c r="C760">
        <v>61</v>
      </c>
      <c r="D760" t="s">
        <v>46</v>
      </c>
      <c r="E760" t="s">
        <v>57</v>
      </c>
      <c r="F760" t="s">
        <v>20</v>
      </c>
      <c r="G760">
        <v>4094784</v>
      </c>
      <c r="H760">
        <f t="shared" ca="1" si="11"/>
        <v>236</v>
      </c>
      <c r="I760">
        <v>23.74</v>
      </c>
      <c r="J760">
        <v>32.75</v>
      </c>
      <c r="K760" t="s">
        <v>507</v>
      </c>
      <c r="L760">
        <f>_INVESTEMENTDATA[[#This Row],[Investment_Amount]]*0.18</f>
        <v>737061.12</v>
      </c>
      <c r="M760">
        <f>_INVESTEMENTDATA[[#This Row],[Investment_Amount]]*0.18*25</f>
        <v>18426528</v>
      </c>
    </row>
    <row r="761" spans="1:13" x14ac:dyDescent="0.25">
      <c r="A761" t="s">
        <v>1437</v>
      </c>
      <c r="B761" t="s">
        <v>17</v>
      </c>
      <c r="C761">
        <v>37</v>
      </c>
      <c r="D761" t="s">
        <v>12</v>
      </c>
      <c r="E761" t="s">
        <v>19</v>
      </c>
      <c r="F761" t="s">
        <v>47</v>
      </c>
      <c r="G761">
        <v>3437388</v>
      </c>
      <c r="H761">
        <f t="shared" ca="1" si="11"/>
        <v>87</v>
      </c>
      <c r="I761">
        <v>32.549999999999997</v>
      </c>
      <c r="J761">
        <v>2.69</v>
      </c>
      <c r="K761" t="s">
        <v>1438</v>
      </c>
      <c r="L761">
        <f>_INVESTEMENTDATA[[#This Row],[Investment_Amount]]*0.18</f>
        <v>618729.84</v>
      </c>
      <c r="M761">
        <f>_INVESTEMENTDATA[[#This Row],[Investment_Amount]]*0.18*25</f>
        <v>15468246</v>
      </c>
    </row>
    <row r="762" spans="1:13" x14ac:dyDescent="0.25">
      <c r="A762" t="s">
        <v>1439</v>
      </c>
      <c r="B762" t="s">
        <v>17</v>
      </c>
      <c r="C762">
        <v>59</v>
      </c>
      <c r="D762" t="s">
        <v>12</v>
      </c>
      <c r="E762" t="s">
        <v>29</v>
      </c>
      <c r="F762" t="s">
        <v>41</v>
      </c>
      <c r="G762">
        <v>323182</v>
      </c>
      <c r="H762">
        <f t="shared" ca="1" si="11"/>
        <v>100</v>
      </c>
      <c r="I762">
        <v>20.79</v>
      </c>
      <c r="J762">
        <v>36.97</v>
      </c>
      <c r="K762" t="s">
        <v>1440</v>
      </c>
      <c r="L762">
        <f>_INVESTEMENTDATA[[#This Row],[Investment_Amount]]*0.18</f>
        <v>58172.759999999995</v>
      </c>
      <c r="M762">
        <f>_INVESTEMENTDATA[[#This Row],[Investment_Amount]]*0.18*25</f>
        <v>1454318.9999999998</v>
      </c>
    </row>
    <row r="763" spans="1:13" x14ac:dyDescent="0.25">
      <c r="A763" t="s">
        <v>1441</v>
      </c>
      <c r="B763" t="s">
        <v>17</v>
      </c>
      <c r="C763">
        <v>63</v>
      </c>
      <c r="D763" t="s">
        <v>28</v>
      </c>
      <c r="E763" t="s">
        <v>57</v>
      </c>
      <c r="F763" t="s">
        <v>14</v>
      </c>
      <c r="G763">
        <v>864407</v>
      </c>
      <c r="H763">
        <f t="shared" ca="1" si="11"/>
        <v>28</v>
      </c>
      <c r="I763">
        <v>9.89</v>
      </c>
      <c r="J763">
        <v>-0.21</v>
      </c>
      <c r="K763" t="s">
        <v>1442</v>
      </c>
      <c r="L763">
        <f>_INVESTEMENTDATA[[#This Row],[Investment_Amount]]*0.18</f>
        <v>155593.25999999998</v>
      </c>
      <c r="M763">
        <f>_INVESTEMENTDATA[[#This Row],[Investment_Amount]]*0.18*25</f>
        <v>3889831.4999999995</v>
      </c>
    </row>
    <row r="764" spans="1:13" x14ac:dyDescent="0.25">
      <c r="A764" t="s">
        <v>1443</v>
      </c>
      <c r="B764" t="s">
        <v>17</v>
      </c>
      <c r="C764">
        <v>59</v>
      </c>
      <c r="D764" t="s">
        <v>46</v>
      </c>
      <c r="E764" t="s">
        <v>57</v>
      </c>
      <c r="F764" t="s">
        <v>30</v>
      </c>
      <c r="G764">
        <v>4863873</v>
      </c>
      <c r="H764">
        <f t="shared" ca="1" si="11"/>
        <v>218</v>
      </c>
      <c r="I764">
        <v>29.15</v>
      </c>
      <c r="J764">
        <v>-5.25</v>
      </c>
      <c r="K764" t="s">
        <v>263</v>
      </c>
      <c r="L764">
        <f>_INVESTEMENTDATA[[#This Row],[Investment_Amount]]*0.18</f>
        <v>875497.14</v>
      </c>
      <c r="M764">
        <f>_INVESTEMENTDATA[[#This Row],[Investment_Amount]]*0.18*25</f>
        <v>21887428.5</v>
      </c>
    </row>
    <row r="765" spans="1:13" x14ac:dyDescent="0.25">
      <c r="A765" t="s">
        <v>1444</v>
      </c>
      <c r="B765" t="s">
        <v>11</v>
      </c>
      <c r="C765">
        <v>57</v>
      </c>
      <c r="D765" t="s">
        <v>46</v>
      </c>
      <c r="E765" t="s">
        <v>19</v>
      </c>
      <c r="F765" t="s">
        <v>30</v>
      </c>
      <c r="G765">
        <v>1721130</v>
      </c>
      <c r="H765">
        <f t="shared" ca="1" si="11"/>
        <v>187</v>
      </c>
      <c r="I765">
        <v>26.09</v>
      </c>
      <c r="J765">
        <v>15.32</v>
      </c>
      <c r="K765" t="s">
        <v>1445</v>
      </c>
      <c r="L765">
        <f>_INVESTEMENTDATA[[#This Row],[Investment_Amount]]*0.18</f>
        <v>309803.39999999997</v>
      </c>
      <c r="M765">
        <f>_INVESTEMENTDATA[[#This Row],[Investment_Amount]]*0.18*25</f>
        <v>7745084.9999999991</v>
      </c>
    </row>
    <row r="766" spans="1:13" x14ac:dyDescent="0.25">
      <c r="A766" t="s">
        <v>1446</v>
      </c>
      <c r="B766" t="s">
        <v>17</v>
      </c>
      <c r="C766">
        <v>24</v>
      </c>
      <c r="D766" t="s">
        <v>28</v>
      </c>
      <c r="E766" t="s">
        <v>50</v>
      </c>
      <c r="F766" t="s">
        <v>14</v>
      </c>
      <c r="G766">
        <v>201496</v>
      </c>
      <c r="H766">
        <f t="shared" ca="1" si="11"/>
        <v>109</v>
      </c>
      <c r="I766">
        <v>21.21</v>
      </c>
      <c r="J766">
        <v>15.25</v>
      </c>
      <c r="K766" t="s">
        <v>1447</v>
      </c>
      <c r="L766">
        <f>_INVESTEMENTDATA[[#This Row],[Investment_Amount]]*0.18</f>
        <v>36269.279999999999</v>
      </c>
      <c r="M766">
        <f>_INVESTEMENTDATA[[#This Row],[Investment_Amount]]*0.18*25</f>
        <v>906732</v>
      </c>
    </row>
    <row r="767" spans="1:13" x14ac:dyDescent="0.25">
      <c r="A767" t="s">
        <v>1448</v>
      </c>
      <c r="B767" t="s">
        <v>17</v>
      </c>
      <c r="C767">
        <v>57</v>
      </c>
      <c r="D767" t="s">
        <v>46</v>
      </c>
      <c r="E767" t="s">
        <v>50</v>
      </c>
      <c r="F767" t="s">
        <v>35</v>
      </c>
      <c r="G767">
        <v>2724321</v>
      </c>
      <c r="H767">
        <f t="shared" ca="1" si="11"/>
        <v>46</v>
      </c>
      <c r="I767">
        <v>28.82</v>
      </c>
      <c r="J767">
        <v>30</v>
      </c>
      <c r="K767" t="s">
        <v>1449</v>
      </c>
      <c r="L767">
        <f>_INVESTEMENTDATA[[#This Row],[Investment_Amount]]*0.18</f>
        <v>490377.77999999997</v>
      </c>
      <c r="M767">
        <f>_INVESTEMENTDATA[[#This Row],[Investment_Amount]]*0.18*25</f>
        <v>12259444.5</v>
      </c>
    </row>
    <row r="768" spans="1:13" x14ac:dyDescent="0.25">
      <c r="A768" t="s">
        <v>1450</v>
      </c>
      <c r="B768" t="s">
        <v>11</v>
      </c>
      <c r="C768">
        <v>25</v>
      </c>
      <c r="D768" t="s">
        <v>18</v>
      </c>
      <c r="E768" t="s">
        <v>50</v>
      </c>
      <c r="F768" t="s">
        <v>14</v>
      </c>
      <c r="G768">
        <v>1290912</v>
      </c>
      <c r="H768">
        <f t="shared" ca="1" si="11"/>
        <v>340</v>
      </c>
      <c r="I768">
        <v>16.22</v>
      </c>
      <c r="J768">
        <v>24.73</v>
      </c>
      <c r="K768" t="s">
        <v>1451</v>
      </c>
      <c r="L768">
        <f>_INVESTEMENTDATA[[#This Row],[Investment_Amount]]*0.18</f>
        <v>232364.16</v>
      </c>
      <c r="M768">
        <f>_INVESTEMENTDATA[[#This Row],[Investment_Amount]]*0.18*25</f>
        <v>5809104</v>
      </c>
    </row>
    <row r="769" spans="1:13" x14ac:dyDescent="0.25">
      <c r="A769" t="s">
        <v>1452</v>
      </c>
      <c r="B769" t="s">
        <v>17</v>
      </c>
      <c r="C769">
        <v>43</v>
      </c>
      <c r="D769" t="s">
        <v>46</v>
      </c>
      <c r="E769" t="s">
        <v>19</v>
      </c>
      <c r="F769" t="s">
        <v>14</v>
      </c>
      <c r="G769">
        <v>1116994</v>
      </c>
      <c r="H769">
        <f t="shared" ca="1" si="11"/>
        <v>69</v>
      </c>
      <c r="I769">
        <v>18.899999999999999</v>
      </c>
      <c r="J769">
        <v>5.37</v>
      </c>
      <c r="K769" t="s">
        <v>1453</v>
      </c>
      <c r="L769">
        <f>_INVESTEMENTDATA[[#This Row],[Investment_Amount]]*0.18</f>
        <v>201058.91999999998</v>
      </c>
      <c r="M769">
        <f>_INVESTEMENTDATA[[#This Row],[Investment_Amount]]*0.18*25</f>
        <v>5026473</v>
      </c>
    </row>
    <row r="770" spans="1:13" x14ac:dyDescent="0.25">
      <c r="A770" t="s">
        <v>1454</v>
      </c>
      <c r="B770" t="s">
        <v>17</v>
      </c>
      <c r="C770">
        <v>64</v>
      </c>
      <c r="D770" t="s">
        <v>46</v>
      </c>
      <c r="E770" t="s">
        <v>19</v>
      </c>
      <c r="F770" t="s">
        <v>35</v>
      </c>
      <c r="G770">
        <v>146645</v>
      </c>
      <c r="H770">
        <f t="shared" ref="H770:H833" ca="1" si="12">RANDBETWEEN(7,365)</f>
        <v>303</v>
      </c>
      <c r="I770">
        <v>34.29</v>
      </c>
      <c r="J770">
        <v>36.89</v>
      </c>
      <c r="K770" t="s">
        <v>1455</v>
      </c>
      <c r="L770">
        <f>_INVESTEMENTDATA[[#This Row],[Investment_Amount]]*0.18</f>
        <v>26396.1</v>
      </c>
      <c r="M770">
        <f>_INVESTEMENTDATA[[#This Row],[Investment_Amount]]*0.18*25</f>
        <v>659902.5</v>
      </c>
    </row>
    <row r="771" spans="1:13" x14ac:dyDescent="0.25">
      <c r="A771" t="s">
        <v>1456</v>
      </c>
      <c r="B771" t="s">
        <v>11</v>
      </c>
      <c r="C771">
        <v>63</v>
      </c>
      <c r="D771" t="s">
        <v>18</v>
      </c>
      <c r="E771" t="s">
        <v>50</v>
      </c>
      <c r="F771" t="s">
        <v>47</v>
      </c>
      <c r="G771">
        <v>3517318</v>
      </c>
      <c r="H771">
        <f t="shared" ca="1" si="12"/>
        <v>141</v>
      </c>
      <c r="I771">
        <v>29.48</v>
      </c>
      <c r="J771">
        <v>-2.52</v>
      </c>
      <c r="K771" t="s">
        <v>1457</v>
      </c>
      <c r="L771">
        <f>_INVESTEMENTDATA[[#This Row],[Investment_Amount]]*0.18</f>
        <v>633117.24</v>
      </c>
      <c r="M771">
        <f>_INVESTEMENTDATA[[#This Row],[Investment_Amount]]*0.18*25</f>
        <v>15827931</v>
      </c>
    </row>
    <row r="772" spans="1:13" x14ac:dyDescent="0.25">
      <c r="A772" t="s">
        <v>1458</v>
      </c>
      <c r="B772" t="s">
        <v>11</v>
      </c>
      <c r="C772">
        <v>25</v>
      </c>
      <c r="D772" t="s">
        <v>46</v>
      </c>
      <c r="E772" t="s">
        <v>13</v>
      </c>
      <c r="F772" t="s">
        <v>35</v>
      </c>
      <c r="G772">
        <v>4793838</v>
      </c>
      <c r="H772">
        <f t="shared" ca="1" si="12"/>
        <v>125</v>
      </c>
      <c r="I772">
        <v>11.42</v>
      </c>
      <c r="J772">
        <v>31.22</v>
      </c>
      <c r="K772" t="s">
        <v>1459</v>
      </c>
      <c r="L772">
        <f>_INVESTEMENTDATA[[#This Row],[Investment_Amount]]*0.18</f>
        <v>862890.84</v>
      </c>
      <c r="M772">
        <f>_INVESTEMENTDATA[[#This Row],[Investment_Amount]]*0.18*25</f>
        <v>21572271</v>
      </c>
    </row>
    <row r="773" spans="1:13" x14ac:dyDescent="0.25">
      <c r="A773" t="s">
        <v>1460</v>
      </c>
      <c r="B773" t="s">
        <v>17</v>
      </c>
      <c r="C773">
        <v>39</v>
      </c>
      <c r="D773" t="s">
        <v>12</v>
      </c>
      <c r="E773" t="s">
        <v>29</v>
      </c>
      <c r="F773" t="s">
        <v>30</v>
      </c>
      <c r="G773">
        <v>3183595</v>
      </c>
      <c r="H773">
        <f t="shared" ca="1" si="12"/>
        <v>349</v>
      </c>
      <c r="I773">
        <v>22.13</v>
      </c>
      <c r="J773">
        <v>37.76</v>
      </c>
      <c r="K773" t="s">
        <v>1461</v>
      </c>
      <c r="L773">
        <f>_INVESTEMENTDATA[[#This Row],[Investment_Amount]]*0.18</f>
        <v>573047.1</v>
      </c>
      <c r="M773">
        <f>_INVESTEMENTDATA[[#This Row],[Investment_Amount]]*0.18*25</f>
        <v>14326177.5</v>
      </c>
    </row>
    <row r="774" spans="1:13" x14ac:dyDescent="0.25">
      <c r="A774" t="s">
        <v>1462</v>
      </c>
      <c r="B774" t="s">
        <v>11</v>
      </c>
      <c r="C774">
        <v>22</v>
      </c>
      <c r="D774" t="s">
        <v>12</v>
      </c>
      <c r="E774" t="s">
        <v>23</v>
      </c>
      <c r="F774" t="s">
        <v>35</v>
      </c>
      <c r="G774">
        <v>4031009</v>
      </c>
      <c r="H774">
        <f t="shared" ca="1" si="12"/>
        <v>144</v>
      </c>
      <c r="I774">
        <v>18.61</v>
      </c>
      <c r="J774">
        <v>-0.94</v>
      </c>
      <c r="K774" t="s">
        <v>1463</v>
      </c>
      <c r="L774">
        <f>_INVESTEMENTDATA[[#This Row],[Investment_Amount]]*0.18</f>
        <v>725581.62</v>
      </c>
      <c r="M774">
        <f>_INVESTEMENTDATA[[#This Row],[Investment_Amount]]*0.18*25</f>
        <v>18139540.5</v>
      </c>
    </row>
    <row r="775" spans="1:13" x14ac:dyDescent="0.25">
      <c r="A775" t="s">
        <v>1464</v>
      </c>
      <c r="B775" t="s">
        <v>11</v>
      </c>
      <c r="C775">
        <v>22</v>
      </c>
      <c r="D775" t="s">
        <v>18</v>
      </c>
      <c r="E775" t="s">
        <v>19</v>
      </c>
      <c r="F775" t="s">
        <v>20</v>
      </c>
      <c r="G775">
        <v>3752496</v>
      </c>
      <c r="H775">
        <f t="shared" ca="1" si="12"/>
        <v>79</v>
      </c>
      <c r="I775">
        <v>30.4</v>
      </c>
      <c r="J775">
        <v>37.92</v>
      </c>
      <c r="K775" t="s">
        <v>1027</v>
      </c>
      <c r="L775">
        <f>_INVESTEMENTDATA[[#This Row],[Investment_Amount]]*0.18</f>
        <v>675449.28</v>
      </c>
      <c r="M775">
        <f>_INVESTEMENTDATA[[#This Row],[Investment_Amount]]*0.18*25</f>
        <v>16886232</v>
      </c>
    </row>
    <row r="776" spans="1:13" x14ac:dyDescent="0.25">
      <c r="A776" t="s">
        <v>1465</v>
      </c>
      <c r="B776" t="s">
        <v>17</v>
      </c>
      <c r="C776">
        <v>49</v>
      </c>
      <c r="D776" t="s">
        <v>12</v>
      </c>
      <c r="E776" t="s">
        <v>19</v>
      </c>
      <c r="F776" t="s">
        <v>30</v>
      </c>
      <c r="G776">
        <v>2291477</v>
      </c>
      <c r="H776">
        <f t="shared" ca="1" si="12"/>
        <v>216</v>
      </c>
      <c r="I776">
        <v>23.92</v>
      </c>
      <c r="J776">
        <v>-5.36</v>
      </c>
      <c r="K776" t="s">
        <v>1466</v>
      </c>
      <c r="L776">
        <f>_INVESTEMENTDATA[[#This Row],[Investment_Amount]]*0.18</f>
        <v>412465.86</v>
      </c>
      <c r="M776">
        <f>_INVESTEMENTDATA[[#This Row],[Investment_Amount]]*0.18*25</f>
        <v>10311646.5</v>
      </c>
    </row>
    <row r="777" spans="1:13" x14ac:dyDescent="0.25">
      <c r="A777" t="s">
        <v>1467</v>
      </c>
      <c r="B777" t="s">
        <v>11</v>
      </c>
      <c r="C777">
        <v>65</v>
      </c>
      <c r="D777" t="s">
        <v>38</v>
      </c>
      <c r="E777" t="s">
        <v>19</v>
      </c>
      <c r="F777" t="s">
        <v>20</v>
      </c>
      <c r="G777">
        <v>2016163</v>
      </c>
      <c r="H777">
        <f t="shared" ca="1" si="12"/>
        <v>92</v>
      </c>
      <c r="I777">
        <v>27.14</v>
      </c>
      <c r="J777">
        <v>-7.36</v>
      </c>
      <c r="K777" t="s">
        <v>1468</v>
      </c>
      <c r="L777">
        <f>_INVESTEMENTDATA[[#This Row],[Investment_Amount]]*0.18</f>
        <v>362909.33999999997</v>
      </c>
      <c r="M777">
        <f>_INVESTEMENTDATA[[#This Row],[Investment_Amount]]*0.18*25</f>
        <v>9072733.5</v>
      </c>
    </row>
    <row r="778" spans="1:13" x14ac:dyDescent="0.25">
      <c r="A778" t="s">
        <v>1469</v>
      </c>
      <c r="B778" t="s">
        <v>17</v>
      </c>
      <c r="C778">
        <v>49</v>
      </c>
      <c r="D778" t="s">
        <v>28</v>
      </c>
      <c r="E778" t="s">
        <v>29</v>
      </c>
      <c r="F778" t="s">
        <v>47</v>
      </c>
      <c r="G778">
        <v>4391653</v>
      </c>
      <c r="H778">
        <f t="shared" ca="1" si="12"/>
        <v>25</v>
      </c>
      <c r="I778">
        <v>31.75</v>
      </c>
      <c r="J778">
        <v>-2.19</v>
      </c>
      <c r="K778" t="s">
        <v>324</v>
      </c>
      <c r="L778">
        <f>_INVESTEMENTDATA[[#This Row],[Investment_Amount]]*0.18</f>
        <v>790497.53999999992</v>
      </c>
      <c r="M778">
        <f>_INVESTEMENTDATA[[#This Row],[Investment_Amount]]*0.18*25</f>
        <v>19762438.499999996</v>
      </c>
    </row>
    <row r="779" spans="1:13" x14ac:dyDescent="0.25">
      <c r="A779" t="s">
        <v>1470</v>
      </c>
      <c r="B779" t="s">
        <v>11</v>
      </c>
      <c r="C779">
        <v>24</v>
      </c>
      <c r="D779" t="s">
        <v>46</v>
      </c>
      <c r="E779" t="s">
        <v>19</v>
      </c>
      <c r="F779" t="s">
        <v>47</v>
      </c>
      <c r="G779">
        <v>497662</v>
      </c>
      <c r="H779">
        <f t="shared" ca="1" si="12"/>
        <v>123</v>
      </c>
      <c r="I779">
        <v>28.15</v>
      </c>
      <c r="J779">
        <v>-8.98</v>
      </c>
      <c r="K779" t="s">
        <v>1471</v>
      </c>
      <c r="L779">
        <f>_INVESTEMENTDATA[[#This Row],[Investment_Amount]]*0.18</f>
        <v>89579.16</v>
      </c>
      <c r="M779">
        <f>_INVESTEMENTDATA[[#This Row],[Investment_Amount]]*0.18*25</f>
        <v>2239479</v>
      </c>
    </row>
    <row r="780" spans="1:13" x14ac:dyDescent="0.25">
      <c r="A780" t="s">
        <v>1472</v>
      </c>
      <c r="B780" t="s">
        <v>17</v>
      </c>
      <c r="C780">
        <v>21</v>
      </c>
      <c r="D780" t="s">
        <v>28</v>
      </c>
      <c r="E780" t="s">
        <v>23</v>
      </c>
      <c r="F780" t="s">
        <v>35</v>
      </c>
      <c r="G780">
        <v>3391695</v>
      </c>
      <c r="H780">
        <f t="shared" ca="1" si="12"/>
        <v>339</v>
      </c>
      <c r="I780">
        <v>17.95</v>
      </c>
      <c r="J780">
        <v>26.87</v>
      </c>
      <c r="K780" t="s">
        <v>1473</v>
      </c>
      <c r="L780">
        <f>_INVESTEMENTDATA[[#This Row],[Investment_Amount]]*0.18</f>
        <v>610505.1</v>
      </c>
      <c r="M780">
        <f>_INVESTEMENTDATA[[#This Row],[Investment_Amount]]*0.18*25</f>
        <v>15262627.5</v>
      </c>
    </row>
    <row r="781" spans="1:13" x14ac:dyDescent="0.25">
      <c r="A781" t="s">
        <v>1474</v>
      </c>
      <c r="B781" t="s">
        <v>17</v>
      </c>
      <c r="C781">
        <v>53</v>
      </c>
      <c r="D781" t="s">
        <v>38</v>
      </c>
      <c r="E781" t="s">
        <v>29</v>
      </c>
      <c r="F781" t="s">
        <v>35</v>
      </c>
      <c r="G781">
        <v>3074876</v>
      </c>
      <c r="H781">
        <f t="shared" ca="1" si="12"/>
        <v>345</v>
      </c>
      <c r="I781">
        <v>11.38</v>
      </c>
      <c r="J781">
        <v>42.86</v>
      </c>
      <c r="K781" t="s">
        <v>1475</v>
      </c>
      <c r="L781">
        <f>_INVESTEMENTDATA[[#This Row],[Investment_Amount]]*0.18</f>
        <v>553477.67999999993</v>
      </c>
      <c r="M781">
        <f>_INVESTEMENTDATA[[#This Row],[Investment_Amount]]*0.18*25</f>
        <v>13836941.999999998</v>
      </c>
    </row>
    <row r="782" spans="1:13" x14ac:dyDescent="0.25">
      <c r="A782" t="s">
        <v>1476</v>
      </c>
      <c r="B782" t="s">
        <v>11</v>
      </c>
      <c r="C782">
        <v>24</v>
      </c>
      <c r="D782" t="s">
        <v>12</v>
      </c>
      <c r="E782" t="s">
        <v>19</v>
      </c>
      <c r="F782" t="s">
        <v>30</v>
      </c>
      <c r="G782">
        <v>3785531</v>
      </c>
      <c r="H782">
        <f t="shared" ca="1" si="12"/>
        <v>210</v>
      </c>
      <c r="I782">
        <v>27.49</v>
      </c>
      <c r="J782">
        <v>42.57</v>
      </c>
      <c r="K782" t="s">
        <v>1477</v>
      </c>
      <c r="L782">
        <f>_INVESTEMENTDATA[[#This Row],[Investment_Amount]]*0.18</f>
        <v>681395.58</v>
      </c>
      <c r="M782">
        <f>_INVESTEMENTDATA[[#This Row],[Investment_Amount]]*0.18*25</f>
        <v>17034889.5</v>
      </c>
    </row>
    <row r="783" spans="1:13" x14ac:dyDescent="0.25">
      <c r="A783" t="s">
        <v>1478</v>
      </c>
      <c r="B783" t="s">
        <v>11</v>
      </c>
      <c r="C783">
        <v>55</v>
      </c>
      <c r="D783" t="s">
        <v>12</v>
      </c>
      <c r="E783" t="s">
        <v>50</v>
      </c>
      <c r="F783" t="s">
        <v>30</v>
      </c>
      <c r="G783">
        <v>627822</v>
      </c>
      <c r="H783">
        <f t="shared" ca="1" si="12"/>
        <v>15</v>
      </c>
      <c r="I783">
        <v>32.68</v>
      </c>
      <c r="J783">
        <v>0.39</v>
      </c>
      <c r="K783" t="s">
        <v>1479</v>
      </c>
      <c r="L783">
        <f>_INVESTEMENTDATA[[#This Row],[Investment_Amount]]*0.18</f>
        <v>113007.95999999999</v>
      </c>
      <c r="M783">
        <f>_INVESTEMENTDATA[[#This Row],[Investment_Amount]]*0.18*25</f>
        <v>2825199</v>
      </c>
    </row>
    <row r="784" spans="1:13" x14ac:dyDescent="0.25">
      <c r="A784" t="s">
        <v>1480</v>
      </c>
      <c r="B784" t="s">
        <v>11</v>
      </c>
      <c r="C784">
        <v>29</v>
      </c>
      <c r="D784" t="s">
        <v>28</v>
      </c>
      <c r="E784" t="s">
        <v>29</v>
      </c>
      <c r="F784" t="s">
        <v>20</v>
      </c>
      <c r="G784">
        <v>1814434</v>
      </c>
      <c r="H784">
        <f t="shared" ca="1" si="12"/>
        <v>160</v>
      </c>
      <c r="I784">
        <v>26.18</v>
      </c>
      <c r="J784">
        <v>2.0099999999999998</v>
      </c>
      <c r="K784" t="s">
        <v>1481</v>
      </c>
      <c r="L784">
        <f>_INVESTEMENTDATA[[#This Row],[Investment_Amount]]*0.18</f>
        <v>326598.12</v>
      </c>
      <c r="M784">
        <f>_INVESTEMENTDATA[[#This Row],[Investment_Amount]]*0.18*25</f>
        <v>8164953</v>
      </c>
    </row>
    <row r="785" spans="1:13" x14ac:dyDescent="0.25">
      <c r="A785" t="s">
        <v>1482</v>
      </c>
      <c r="B785" t="s">
        <v>11</v>
      </c>
      <c r="C785">
        <v>46</v>
      </c>
      <c r="D785" t="s">
        <v>12</v>
      </c>
      <c r="E785" t="s">
        <v>13</v>
      </c>
      <c r="F785" t="s">
        <v>20</v>
      </c>
      <c r="G785">
        <v>4328832</v>
      </c>
      <c r="H785">
        <f t="shared" ca="1" si="12"/>
        <v>24</v>
      </c>
      <c r="I785">
        <v>28.17</v>
      </c>
      <c r="J785">
        <v>-7.03</v>
      </c>
      <c r="K785" t="s">
        <v>1483</v>
      </c>
      <c r="L785">
        <f>_INVESTEMENTDATA[[#This Row],[Investment_Amount]]*0.18</f>
        <v>779189.76000000001</v>
      </c>
      <c r="M785">
        <f>_INVESTEMENTDATA[[#This Row],[Investment_Amount]]*0.18*25</f>
        <v>19479744</v>
      </c>
    </row>
    <row r="786" spans="1:13" x14ac:dyDescent="0.25">
      <c r="A786" t="s">
        <v>1484</v>
      </c>
      <c r="B786" t="s">
        <v>17</v>
      </c>
      <c r="C786">
        <v>42</v>
      </c>
      <c r="D786" t="s">
        <v>46</v>
      </c>
      <c r="E786" t="s">
        <v>19</v>
      </c>
      <c r="F786" t="s">
        <v>14</v>
      </c>
      <c r="G786">
        <v>3097765</v>
      </c>
      <c r="H786">
        <f t="shared" ca="1" si="12"/>
        <v>237</v>
      </c>
      <c r="I786">
        <v>16.03</v>
      </c>
      <c r="J786">
        <v>0.2</v>
      </c>
      <c r="K786" t="s">
        <v>1485</v>
      </c>
      <c r="L786">
        <f>_INVESTEMENTDATA[[#This Row],[Investment_Amount]]*0.18</f>
        <v>557597.69999999995</v>
      </c>
      <c r="M786">
        <f>_INVESTEMENTDATA[[#This Row],[Investment_Amount]]*0.18*25</f>
        <v>13939942.499999998</v>
      </c>
    </row>
    <row r="787" spans="1:13" x14ac:dyDescent="0.25">
      <c r="A787" t="s">
        <v>1486</v>
      </c>
      <c r="B787" t="s">
        <v>11</v>
      </c>
      <c r="C787">
        <v>32</v>
      </c>
      <c r="D787" t="s">
        <v>28</v>
      </c>
      <c r="E787" t="s">
        <v>19</v>
      </c>
      <c r="F787" t="s">
        <v>47</v>
      </c>
      <c r="G787">
        <v>1917451</v>
      </c>
      <c r="H787">
        <f t="shared" ca="1" si="12"/>
        <v>114</v>
      </c>
      <c r="I787">
        <v>34.06</v>
      </c>
      <c r="J787">
        <v>30.71</v>
      </c>
      <c r="K787" t="s">
        <v>1487</v>
      </c>
      <c r="L787">
        <f>_INVESTEMENTDATA[[#This Row],[Investment_Amount]]*0.18</f>
        <v>345141.18</v>
      </c>
      <c r="M787">
        <f>_INVESTEMENTDATA[[#This Row],[Investment_Amount]]*0.18*25</f>
        <v>8628529.5</v>
      </c>
    </row>
    <row r="788" spans="1:13" x14ac:dyDescent="0.25">
      <c r="A788" t="s">
        <v>1488</v>
      </c>
      <c r="B788" t="s">
        <v>17</v>
      </c>
      <c r="C788">
        <v>65</v>
      </c>
      <c r="D788" t="s">
        <v>46</v>
      </c>
      <c r="E788" t="s">
        <v>29</v>
      </c>
      <c r="F788" t="s">
        <v>20</v>
      </c>
      <c r="G788">
        <v>728977</v>
      </c>
      <c r="H788">
        <f t="shared" ca="1" si="12"/>
        <v>210</v>
      </c>
      <c r="I788">
        <v>29.94</v>
      </c>
      <c r="J788">
        <v>-5.33</v>
      </c>
      <c r="K788" t="s">
        <v>1489</v>
      </c>
      <c r="L788">
        <f>_INVESTEMENTDATA[[#This Row],[Investment_Amount]]*0.18</f>
        <v>131215.85999999999</v>
      </c>
      <c r="M788">
        <f>_INVESTEMENTDATA[[#This Row],[Investment_Amount]]*0.18*25</f>
        <v>3280396.4999999995</v>
      </c>
    </row>
    <row r="789" spans="1:13" x14ac:dyDescent="0.25">
      <c r="A789" t="s">
        <v>1490</v>
      </c>
      <c r="B789" t="s">
        <v>17</v>
      </c>
      <c r="C789">
        <v>28</v>
      </c>
      <c r="D789" t="s">
        <v>46</v>
      </c>
      <c r="E789" t="s">
        <v>19</v>
      </c>
      <c r="F789" t="s">
        <v>14</v>
      </c>
      <c r="G789">
        <v>4318796</v>
      </c>
      <c r="H789">
        <f t="shared" ca="1" si="12"/>
        <v>194</v>
      </c>
      <c r="I789">
        <v>18.3</v>
      </c>
      <c r="J789">
        <v>4.58</v>
      </c>
      <c r="K789" t="s">
        <v>1415</v>
      </c>
      <c r="L789">
        <f>_INVESTEMENTDATA[[#This Row],[Investment_Amount]]*0.18</f>
        <v>777383.28</v>
      </c>
      <c r="M789">
        <f>_INVESTEMENTDATA[[#This Row],[Investment_Amount]]*0.18*25</f>
        <v>19434582</v>
      </c>
    </row>
    <row r="790" spans="1:13" x14ac:dyDescent="0.25">
      <c r="A790" t="s">
        <v>1491</v>
      </c>
      <c r="B790" t="s">
        <v>17</v>
      </c>
      <c r="C790">
        <v>36</v>
      </c>
      <c r="D790" t="s">
        <v>12</v>
      </c>
      <c r="E790" t="s">
        <v>19</v>
      </c>
      <c r="F790" t="s">
        <v>30</v>
      </c>
      <c r="G790">
        <v>639383</v>
      </c>
      <c r="H790">
        <f t="shared" ca="1" si="12"/>
        <v>13</v>
      </c>
      <c r="I790">
        <v>6.15</v>
      </c>
      <c r="J790">
        <v>-4.4000000000000004</v>
      </c>
      <c r="K790" t="s">
        <v>1492</v>
      </c>
      <c r="L790">
        <f>_INVESTEMENTDATA[[#This Row],[Investment_Amount]]*0.18</f>
        <v>115088.94</v>
      </c>
      <c r="M790">
        <f>_INVESTEMENTDATA[[#This Row],[Investment_Amount]]*0.18*25</f>
        <v>2877223.5</v>
      </c>
    </row>
    <row r="791" spans="1:13" x14ac:dyDescent="0.25">
      <c r="A791" t="s">
        <v>1493</v>
      </c>
      <c r="B791" t="s">
        <v>17</v>
      </c>
      <c r="C791">
        <v>56</v>
      </c>
      <c r="D791" t="s">
        <v>28</v>
      </c>
      <c r="E791" t="s">
        <v>50</v>
      </c>
      <c r="F791" t="s">
        <v>14</v>
      </c>
      <c r="G791">
        <v>3809487</v>
      </c>
      <c r="H791">
        <f t="shared" ca="1" si="12"/>
        <v>41</v>
      </c>
      <c r="I791">
        <v>11.3</v>
      </c>
      <c r="J791">
        <v>44.24</v>
      </c>
      <c r="K791" t="s">
        <v>1377</v>
      </c>
      <c r="L791">
        <f>_INVESTEMENTDATA[[#This Row],[Investment_Amount]]*0.18</f>
        <v>685707.66</v>
      </c>
      <c r="M791">
        <f>_INVESTEMENTDATA[[#This Row],[Investment_Amount]]*0.18*25</f>
        <v>17142691.5</v>
      </c>
    </row>
    <row r="792" spans="1:13" x14ac:dyDescent="0.25">
      <c r="A792" t="s">
        <v>1494</v>
      </c>
      <c r="B792" t="s">
        <v>17</v>
      </c>
      <c r="C792">
        <v>47</v>
      </c>
      <c r="D792" t="s">
        <v>28</v>
      </c>
      <c r="E792" t="s">
        <v>29</v>
      </c>
      <c r="F792" t="s">
        <v>47</v>
      </c>
      <c r="G792">
        <v>3794067</v>
      </c>
      <c r="H792">
        <f t="shared" ca="1" si="12"/>
        <v>250</v>
      </c>
      <c r="I792">
        <v>9.73</v>
      </c>
      <c r="J792">
        <v>32.619999999999997</v>
      </c>
      <c r="K792" t="s">
        <v>1495</v>
      </c>
      <c r="L792">
        <f>_INVESTEMENTDATA[[#This Row],[Investment_Amount]]*0.18</f>
        <v>682932.05999999994</v>
      </c>
      <c r="M792">
        <f>_INVESTEMENTDATA[[#This Row],[Investment_Amount]]*0.18*25</f>
        <v>17073301.5</v>
      </c>
    </row>
    <row r="793" spans="1:13" x14ac:dyDescent="0.25">
      <c r="A793" t="s">
        <v>1496</v>
      </c>
      <c r="B793" t="s">
        <v>17</v>
      </c>
      <c r="C793">
        <v>26</v>
      </c>
      <c r="D793" t="s">
        <v>38</v>
      </c>
      <c r="E793" t="s">
        <v>19</v>
      </c>
      <c r="F793" t="s">
        <v>47</v>
      </c>
      <c r="G793">
        <v>2348038</v>
      </c>
      <c r="H793">
        <f t="shared" ca="1" si="12"/>
        <v>202</v>
      </c>
      <c r="I793">
        <v>12.54</v>
      </c>
      <c r="J793">
        <v>23.91</v>
      </c>
      <c r="K793" t="s">
        <v>1497</v>
      </c>
      <c r="L793">
        <f>_INVESTEMENTDATA[[#This Row],[Investment_Amount]]*0.18</f>
        <v>422646.83999999997</v>
      </c>
      <c r="M793">
        <f>_INVESTEMENTDATA[[#This Row],[Investment_Amount]]*0.18*25</f>
        <v>10566171</v>
      </c>
    </row>
    <row r="794" spans="1:13" x14ac:dyDescent="0.25">
      <c r="A794" t="s">
        <v>1498</v>
      </c>
      <c r="B794" t="s">
        <v>17</v>
      </c>
      <c r="C794">
        <v>23</v>
      </c>
      <c r="D794" t="s">
        <v>46</v>
      </c>
      <c r="E794" t="s">
        <v>19</v>
      </c>
      <c r="F794" t="s">
        <v>20</v>
      </c>
      <c r="G794">
        <v>3216003</v>
      </c>
      <c r="H794">
        <f t="shared" ca="1" si="12"/>
        <v>278</v>
      </c>
      <c r="I794">
        <v>23.62</v>
      </c>
      <c r="J794">
        <v>14.64</v>
      </c>
      <c r="K794" t="s">
        <v>1499</v>
      </c>
      <c r="L794">
        <f>_INVESTEMENTDATA[[#This Row],[Investment_Amount]]*0.18</f>
        <v>578880.53999999992</v>
      </c>
      <c r="M794">
        <f>_INVESTEMENTDATA[[#This Row],[Investment_Amount]]*0.18*25</f>
        <v>14472013.499999998</v>
      </c>
    </row>
    <row r="795" spans="1:13" x14ac:dyDescent="0.25">
      <c r="A795" t="s">
        <v>1500</v>
      </c>
      <c r="B795" t="s">
        <v>17</v>
      </c>
      <c r="C795">
        <v>47</v>
      </c>
      <c r="D795" t="s">
        <v>46</v>
      </c>
      <c r="E795" t="s">
        <v>13</v>
      </c>
      <c r="F795" t="s">
        <v>30</v>
      </c>
      <c r="G795">
        <v>3353117</v>
      </c>
      <c r="H795">
        <f t="shared" ca="1" si="12"/>
        <v>53</v>
      </c>
      <c r="I795">
        <v>11.22</v>
      </c>
      <c r="J795">
        <v>5.51</v>
      </c>
      <c r="K795" t="s">
        <v>1501</v>
      </c>
      <c r="L795">
        <f>_INVESTEMENTDATA[[#This Row],[Investment_Amount]]*0.18</f>
        <v>603561.05999999994</v>
      </c>
      <c r="M795">
        <f>_INVESTEMENTDATA[[#This Row],[Investment_Amount]]*0.18*25</f>
        <v>15089026.499999998</v>
      </c>
    </row>
    <row r="796" spans="1:13" x14ac:dyDescent="0.25">
      <c r="A796" t="s">
        <v>1502</v>
      </c>
      <c r="B796" t="s">
        <v>11</v>
      </c>
      <c r="C796">
        <v>23</v>
      </c>
      <c r="D796" t="s">
        <v>18</v>
      </c>
      <c r="E796" t="s">
        <v>19</v>
      </c>
      <c r="F796" t="s">
        <v>41</v>
      </c>
      <c r="G796">
        <v>286127</v>
      </c>
      <c r="H796">
        <f t="shared" ca="1" si="12"/>
        <v>160</v>
      </c>
      <c r="I796">
        <v>10.67</v>
      </c>
      <c r="J796">
        <v>34.64</v>
      </c>
      <c r="K796" t="s">
        <v>856</v>
      </c>
      <c r="L796">
        <f>_INVESTEMENTDATA[[#This Row],[Investment_Amount]]*0.18</f>
        <v>51502.86</v>
      </c>
      <c r="M796">
        <f>_INVESTEMENTDATA[[#This Row],[Investment_Amount]]*0.18*25</f>
        <v>1287571.5</v>
      </c>
    </row>
    <row r="797" spans="1:13" x14ac:dyDescent="0.25">
      <c r="A797" t="s">
        <v>1503</v>
      </c>
      <c r="B797" t="s">
        <v>11</v>
      </c>
      <c r="C797">
        <v>34</v>
      </c>
      <c r="D797" t="s">
        <v>38</v>
      </c>
      <c r="E797" t="s">
        <v>13</v>
      </c>
      <c r="F797" t="s">
        <v>30</v>
      </c>
      <c r="G797">
        <v>2712188</v>
      </c>
      <c r="H797">
        <f t="shared" ca="1" si="12"/>
        <v>166</v>
      </c>
      <c r="I797">
        <v>10.34</v>
      </c>
      <c r="J797">
        <v>25.91</v>
      </c>
      <c r="K797" t="s">
        <v>1504</v>
      </c>
      <c r="L797">
        <f>_INVESTEMENTDATA[[#This Row],[Investment_Amount]]*0.18</f>
        <v>488193.83999999997</v>
      </c>
      <c r="M797">
        <f>_INVESTEMENTDATA[[#This Row],[Investment_Amount]]*0.18*25</f>
        <v>12204846</v>
      </c>
    </row>
    <row r="798" spans="1:13" x14ac:dyDescent="0.25">
      <c r="A798" t="s">
        <v>1505</v>
      </c>
      <c r="B798" t="s">
        <v>17</v>
      </c>
      <c r="C798">
        <v>28</v>
      </c>
      <c r="D798" t="s">
        <v>38</v>
      </c>
      <c r="E798" t="s">
        <v>50</v>
      </c>
      <c r="F798" t="s">
        <v>35</v>
      </c>
      <c r="G798">
        <v>4743325</v>
      </c>
      <c r="H798">
        <f t="shared" ca="1" si="12"/>
        <v>7</v>
      </c>
      <c r="I798">
        <v>32.82</v>
      </c>
      <c r="J798">
        <v>-2.54</v>
      </c>
      <c r="K798" t="s">
        <v>1333</v>
      </c>
      <c r="L798">
        <f>_INVESTEMENTDATA[[#This Row],[Investment_Amount]]*0.18</f>
        <v>853798.5</v>
      </c>
      <c r="M798">
        <f>_INVESTEMENTDATA[[#This Row],[Investment_Amount]]*0.18*25</f>
        <v>21344962.5</v>
      </c>
    </row>
    <row r="799" spans="1:13" x14ac:dyDescent="0.25">
      <c r="A799" t="s">
        <v>1506</v>
      </c>
      <c r="B799" t="s">
        <v>17</v>
      </c>
      <c r="C799">
        <v>50</v>
      </c>
      <c r="D799" t="s">
        <v>38</v>
      </c>
      <c r="E799" t="s">
        <v>23</v>
      </c>
      <c r="F799" t="s">
        <v>14</v>
      </c>
      <c r="G799">
        <v>1585733</v>
      </c>
      <c r="H799">
        <f t="shared" ca="1" si="12"/>
        <v>102</v>
      </c>
      <c r="I799">
        <v>6.88</v>
      </c>
      <c r="J799">
        <v>41.62</v>
      </c>
      <c r="K799" t="s">
        <v>870</v>
      </c>
      <c r="L799">
        <f>_INVESTEMENTDATA[[#This Row],[Investment_Amount]]*0.18</f>
        <v>285431.94</v>
      </c>
      <c r="M799">
        <f>_INVESTEMENTDATA[[#This Row],[Investment_Amount]]*0.18*25</f>
        <v>7135798.5</v>
      </c>
    </row>
    <row r="800" spans="1:13" x14ac:dyDescent="0.25">
      <c r="A800" t="s">
        <v>1507</v>
      </c>
      <c r="B800" t="s">
        <v>11</v>
      </c>
      <c r="C800">
        <v>40</v>
      </c>
      <c r="D800" t="s">
        <v>38</v>
      </c>
      <c r="E800" t="s">
        <v>23</v>
      </c>
      <c r="F800" t="s">
        <v>14</v>
      </c>
      <c r="G800">
        <v>2561999</v>
      </c>
      <c r="H800">
        <f t="shared" ca="1" si="12"/>
        <v>49</v>
      </c>
      <c r="I800">
        <v>16.52</v>
      </c>
      <c r="J800">
        <v>21.02</v>
      </c>
      <c r="K800" t="s">
        <v>1508</v>
      </c>
      <c r="L800">
        <f>_INVESTEMENTDATA[[#This Row],[Investment_Amount]]*0.18</f>
        <v>461159.82</v>
      </c>
      <c r="M800">
        <f>_INVESTEMENTDATA[[#This Row],[Investment_Amount]]*0.18*25</f>
        <v>11528995.5</v>
      </c>
    </row>
    <row r="801" spans="1:13" x14ac:dyDescent="0.25">
      <c r="A801" t="s">
        <v>1509</v>
      </c>
      <c r="B801" t="s">
        <v>17</v>
      </c>
      <c r="C801">
        <v>38</v>
      </c>
      <c r="D801" t="s">
        <v>46</v>
      </c>
      <c r="E801" t="s">
        <v>57</v>
      </c>
      <c r="F801" t="s">
        <v>47</v>
      </c>
      <c r="G801">
        <v>972057</v>
      </c>
      <c r="H801">
        <f t="shared" ca="1" si="12"/>
        <v>70</v>
      </c>
      <c r="I801">
        <v>19.079999999999998</v>
      </c>
      <c r="J801">
        <v>41.79</v>
      </c>
      <c r="K801" t="s">
        <v>1510</v>
      </c>
      <c r="L801">
        <f>_INVESTEMENTDATA[[#This Row],[Investment_Amount]]*0.18</f>
        <v>174970.25999999998</v>
      </c>
      <c r="M801">
        <f>_INVESTEMENTDATA[[#This Row],[Investment_Amount]]*0.18*25</f>
        <v>4374256.4999999991</v>
      </c>
    </row>
    <row r="802" spans="1:13" x14ac:dyDescent="0.25">
      <c r="A802" t="s">
        <v>1511</v>
      </c>
      <c r="B802" t="s">
        <v>17</v>
      </c>
      <c r="C802">
        <v>31</v>
      </c>
      <c r="D802" t="s">
        <v>18</v>
      </c>
      <c r="E802" t="s">
        <v>19</v>
      </c>
      <c r="F802" t="s">
        <v>14</v>
      </c>
      <c r="G802">
        <v>955484</v>
      </c>
      <c r="H802">
        <f t="shared" ca="1" si="12"/>
        <v>95</v>
      </c>
      <c r="I802">
        <v>29.86</v>
      </c>
      <c r="J802">
        <v>-4.96</v>
      </c>
      <c r="K802" t="s">
        <v>1512</v>
      </c>
      <c r="L802">
        <f>_INVESTEMENTDATA[[#This Row],[Investment_Amount]]*0.18</f>
        <v>171987.12</v>
      </c>
      <c r="M802">
        <f>_INVESTEMENTDATA[[#This Row],[Investment_Amount]]*0.18*25</f>
        <v>4299678</v>
      </c>
    </row>
    <row r="803" spans="1:13" x14ac:dyDescent="0.25">
      <c r="A803" t="s">
        <v>1513</v>
      </c>
      <c r="B803" t="s">
        <v>17</v>
      </c>
      <c r="C803">
        <v>36</v>
      </c>
      <c r="D803" t="s">
        <v>18</v>
      </c>
      <c r="E803" t="s">
        <v>13</v>
      </c>
      <c r="F803" t="s">
        <v>30</v>
      </c>
      <c r="G803">
        <v>2799652</v>
      </c>
      <c r="H803">
        <f t="shared" ca="1" si="12"/>
        <v>74</v>
      </c>
      <c r="I803">
        <v>32.43</v>
      </c>
      <c r="J803">
        <v>26.53</v>
      </c>
      <c r="K803" t="s">
        <v>62</v>
      </c>
      <c r="L803">
        <f>_INVESTEMENTDATA[[#This Row],[Investment_Amount]]*0.18</f>
        <v>503937.36</v>
      </c>
      <c r="M803">
        <f>_INVESTEMENTDATA[[#This Row],[Investment_Amount]]*0.18*25</f>
        <v>12598434</v>
      </c>
    </row>
    <row r="804" spans="1:13" x14ac:dyDescent="0.25">
      <c r="A804" t="s">
        <v>1514</v>
      </c>
      <c r="B804" t="s">
        <v>11</v>
      </c>
      <c r="C804">
        <v>58</v>
      </c>
      <c r="D804" t="s">
        <v>28</v>
      </c>
      <c r="E804" t="s">
        <v>57</v>
      </c>
      <c r="F804" t="s">
        <v>47</v>
      </c>
      <c r="G804">
        <v>4323888</v>
      </c>
      <c r="H804">
        <f t="shared" ca="1" si="12"/>
        <v>347</v>
      </c>
      <c r="I804">
        <v>28.76</v>
      </c>
      <c r="J804">
        <v>39.82</v>
      </c>
      <c r="K804" t="s">
        <v>581</v>
      </c>
      <c r="L804">
        <f>_INVESTEMENTDATA[[#This Row],[Investment_Amount]]*0.18</f>
        <v>778299.84</v>
      </c>
      <c r="M804">
        <f>_INVESTEMENTDATA[[#This Row],[Investment_Amount]]*0.18*25</f>
        <v>19457496</v>
      </c>
    </row>
    <row r="805" spans="1:13" x14ac:dyDescent="0.25">
      <c r="A805" t="s">
        <v>1515</v>
      </c>
      <c r="B805" t="s">
        <v>17</v>
      </c>
      <c r="C805">
        <v>53</v>
      </c>
      <c r="D805" t="s">
        <v>38</v>
      </c>
      <c r="E805" t="s">
        <v>29</v>
      </c>
      <c r="F805" t="s">
        <v>14</v>
      </c>
      <c r="G805">
        <v>1543502</v>
      </c>
      <c r="H805">
        <f t="shared" ca="1" si="12"/>
        <v>317</v>
      </c>
      <c r="I805">
        <v>15.17</v>
      </c>
      <c r="J805">
        <v>20.3</v>
      </c>
      <c r="K805" t="s">
        <v>1516</v>
      </c>
      <c r="L805">
        <f>_INVESTEMENTDATA[[#This Row],[Investment_Amount]]*0.18</f>
        <v>277830.36</v>
      </c>
      <c r="M805">
        <f>_INVESTEMENTDATA[[#This Row],[Investment_Amount]]*0.18*25</f>
        <v>6945759</v>
      </c>
    </row>
    <row r="806" spans="1:13" x14ac:dyDescent="0.25">
      <c r="A806" t="s">
        <v>1517</v>
      </c>
      <c r="B806" t="s">
        <v>17</v>
      </c>
      <c r="C806">
        <v>31</v>
      </c>
      <c r="D806" t="s">
        <v>38</v>
      </c>
      <c r="E806" t="s">
        <v>29</v>
      </c>
      <c r="F806" t="s">
        <v>30</v>
      </c>
      <c r="G806">
        <v>4350330</v>
      </c>
      <c r="H806">
        <f t="shared" ca="1" si="12"/>
        <v>69</v>
      </c>
      <c r="I806">
        <v>24.67</v>
      </c>
      <c r="J806">
        <v>8.31</v>
      </c>
      <c r="K806" t="s">
        <v>1518</v>
      </c>
      <c r="L806">
        <f>_INVESTEMENTDATA[[#This Row],[Investment_Amount]]*0.18</f>
        <v>783059.4</v>
      </c>
      <c r="M806">
        <f>_INVESTEMENTDATA[[#This Row],[Investment_Amount]]*0.18*25</f>
        <v>19576485</v>
      </c>
    </row>
    <row r="807" spans="1:13" x14ac:dyDescent="0.25">
      <c r="A807" t="s">
        <v>1519</v>
      </c>
      <c r="B807" t="s">
        <v>11</v>
      </c>
      <c r="C807">
        <v>34</v>
      </c>
      <c r="D807" t="s">
        <v>18</v>
      </c>
      <c r="E807" t="s">
        <v>19</v>
      </c>
      <c r="F807" t="s">
        <v>35</v>
      </c>
      <c r="G807">
        <v>3678590</v>
      </c>
      <c r="H807">
        <f t="shared" ca="1" si="12"/>
        <v>348</v>
      </c>
      <c r="I807">
        <v>17.8</v>
      </c>
      <c r="J807">
        <v>37.020000000000003</v>
      </c>
      <c r="K807" t="s">
        <v>1520</v>
      </c>
      <c r="L807">
        <f>_INVESTEMENTDATA[[#This Row],[Investment_Amount]]*0.18</f>
        <v>662146.19999999995</v>
      </c>
      <c r="M807">
        <f>_INVESTEMENTDATA[[#This Row],[Investment_Amount]]*0.18*25</f>
        <v>16553654.999999998</v>
      </c>
    </row>
    <row r="808" spans="1:13" x14ac:dyDescent="0.25">
      <c r="A808" t="s">
        <v>1521</v>
      </c>
      <c r="B808" t="s">
        <v>11</v>
      </c>
      <c r="C808">
        <v>33</v>
      </c>
      <c r="D808" t="s">
        <v>38</v>
      </c>
      <c r="E808" t="s">
        <v>29</v>
      </c>
      <c r="F808" t="s">
        <v>20</v>
      </c>
      <c r="G808">
        <v>4143885</v>
      </c>
      <c r="H808">
        <f t="shared" ca="1" si="12"/>
        <v>280</v>
      </c>
      <c r="I808">
        <v>26.97</v>
      </c>
      <c r="J808">
        <v>25.04</v>
      </c>
      <c r="K808" t="s">
        <v>1522</v>
      </c>
      <c r="L808">
        <f>_INVESTEMENTDATA[[#This Row],[Investment_Amount]]*0.18</f>
        <v>745899.29999999993</v>
      </c>
      <c r="M808">
        <f>_INVESTEMENTDATA[[#This Row],[Investment_Amount]]*0.18*25</f>
        <v>18647482.5</v>
      </c>
    </row>
    <row r="809" spans="1:13" x14ac:dyDescent="0.25">
      <c r="A809" t="s">
        <v>1523</v>
      </c>
      <c r="B809" t="s">
        <v>17</v>
      </c>
      <c r="C809">
        <v>62</v>
      </c>
      <c r="D809" t="s">
        <v>28</v>
      </c>
      <c r="E809" t="s">
        <v>13</v>
      </c>
      <c r="F809" t="s">
        <v>30</v>
      </c>
      <c r="G809">
        <v>2289979</v>
      </c>
      <c r="H809">
        <f t="shared" ca="1" si="12"/>
        <v>159</v>
      </c>
      <c r="I809">
        <v>18.62</v>
      </c>
      <c r="J809">
        <v>15.59</v>
      </c>
      <c r="K809" t="s">
        <v>1524</v>
      </c>
      <c r="L809">
        <f>_INVESTEMENTDATA[[#This Row],[Investment_Amount]]*0.18</f>
        <v>412196.22</v>
      </c>
      <c r="M809">
        <f>_INVESTEMENTDATA[[#This Row],[Investment_Amount]]*0.18*25</f>
        <v>10304905.5</v>
      </c>
    </row>
    <row r="810" spans="1:13" x14ac:dyDescent="0.25">
      <c r="A810" t="s">
        <v>1525</v>
      </c>
      <c r="B810" t="s">
        <v>11</v>
      </c>
      <c r="C810">
        <v>61</v>
      </c>
      <c r="D810" t="s">
        <v>28</v>
      </c>
      <c r="E810" t="s">
        <v>50</v>
      </c>
      <c r="F810" t="s">
        <v>20</v>
      </c>
      <c r="G810">
        <v>3848191</v>
      </c>
      <c r="H810">
        <f t="shared" ca="1" si="12"/>
        <v>51</v>
      </c>
      <c r="I810">
        <v>8.94</v>
      </c>
      <c r="J810">
        <v>4.4400000000000004</v>
      </c>
      <c r="K810" t="s">
        <v>1526</v>
      </c>
      <c r="L810">
        <f>_INVESTEMENTDATA[[#This Row],[Investment_Amount]]*0.18</f>
        <v>692674.38</v>
      </c>
      <c r="M810">
        <f>_INVESTEMENTDATA[[#This Row],[Investment_Amount]]*0.18*25</f>
        <v>17316859.5</v>
      </c>
    </row>
    <row r="811" spans="1:13" x14ac:dyDescent="0.25">
      <c r="A811" t="s">
        <v>1527</v>
      </c>
      <c r="B811" t="s">
        <v>11</v>
      </c>
      <c r="C811">
        <v>38</v>
      </c>
      <c r="D811" t="s">
        <v>38</v>
      </c>
      <c r="E811" t="s">
        <v>29</v>
      </c>
      <c r="F811" t="s">
        <v>30</v>
      </c>
      <c r="G811">
        <v>894136</v>
      </c>
      <c r="H811">
        <f t="shared" ca="1" si="12"/>
        <v>243</v>
      </c>
      <c r="I811">
        <v>13.59</v>
      </c>
      <c r="J811">
        <v>41.15</v>
      </c>
      <c r="K811" t="s">
        <v>541</v>
      </c>
      <c r="L811">
        <f>_INVESTEMENTDATA[[#This Row],[Investment_Amount]]*0.18</f>
        <v>160944.47999999998</v>
      </c>
      <c r="M811">
        <f>_INVESTEMENTDATA[[#This Row],[Investment_Amount]]*0.18*25</f>
        <v>4023611.9999999995</v>
      </c>
    </row>
    <row r="812" spans="1:13" x14ac:dyDescent="0.25">
      <c r="A812" t="s">
        <v>1528</v>
      </c>
      <c r="B812" t="s">
        <v>11</v>
      </c>
      <c r="C812">
        <v>58</v>
      </c>
      <c r="D812" t="s">
        <v>12</v>
      </c>
      <c r="E812" t="s">
        <v>57</v>
      </c>
      <c r="F812" t="s">
        <v>20</v>
      </c>
      <c r="G812">
        <v>4417835</v>
      </c>
      <c r="H812">
        <f t="shared" ca="1" si="12"/>
        <v>42</v>
      </c>
      <c r="I812">
        <v>26.87</v>
      </c>
      <c r="J812">
        <v>39.14</v>
      </c>
      <c r="K812" t="s">
        <v>1529</v>
      </c>
      <c r="L812">
        <f>_INVESTEMENTDATA[[#This Row],[Investment_Amount]]*0.18</f>
        <v>795210.29999999993</v>
      </c>
      <c r="M812">
        <f>_INVESTEMENTDATA[[#This Row],[Investment_Amount]]*0.18*25</f>
        <v>19880257.5</v>
      </c>
    </row>
    <row r="813" spans="1:13" x14ac:dyDescent="0.25">
      <c r="A813" t="s">
        <v>1530</v>
      </c>
      <c r="B813" t="s">
        <v>17</v>
      </c>
      <c r="C813">
        <v>39</v>
      </c>
      <c r="D813" t="s">
        <v>28</v>
      </c>
      <c r="E813" t="s">
        <v>29</v>
      </c>
      <c r="F813" t="s">
        <v>35</v>
      </c>
      <c r="G813">
        <v>1380847</v>
      </c>
      <c r="H813">
        <f t="shared" ca="1" si="12"/>
        <v>150</v>
      </c>
      <c r="I813">
        <v>30.73</v>
      </c>
      <c r="J813">
        <v>38.81</v>
      </c>
      <c r="K813" t="s">
        <v>897</v>
      </c>
      <c r="L813">
        <f>_INVESTEMENTDATA[[#This Row],[Investment_Amount]]*0.18</f>
        <v>248552.46</v>
      </c>
      <c r="M813">
        <f>_INVESTEMENTDATA[[#This Row],[Investment_Amount]]*0.18*25</f>
        <v>6213811.5</v>
      </c>
    </row>
    <row r="814" spans="1:13" x14ac:dyDescent="0.25">
      <c r="A814" t="s">
        <v>1531</v>
      </c>
      <c r="B814" t="s">
        <v>11</v>
      </c>
      <c r="C814">
        <v>27</v>
      </c>
      <c r="D814" t="s">
        <v>12</v>
      </c>
      <c r="E814" t="s">
        <v>50</v>
      </c>
      <c r="F814" t="s">
        <v>14</v>
      </c>
      <c r="G814">
        <v>3802989</v>
      </c>
      <c r="H814">
        <f t="shared" ca="1" si="12"/>
        <v>264</v>
      </c>
      <c r="I814">
        <v>28.71</v>
      </c>
      <c r="J814">
        <v>10.33</v>
      </c>
      <c r="K814" t="s">
        <v>1532</v>
      </c>
      <c r="L814">
        <f>_INVESTEMENTDATA[[#This Row],[Investment_Amount]]*0.18</f>
        <v>684538.02</v>
      </c>
      <c r="M814">
        <f>_INVESTEMENTDATA[[#This Row],[Investment_Amount]]*0.18*25</f>
        <v>17113450.5</v>
      </c>
    </row>
    <row r="815" spans="1:13" x14ac:dyDescent="0.25">
      <c r="A815" t="s">
        <v>1533</v>
      </c>
      <c r="B815" t="s">
        <v>11</v>
      </c>
      <c r="C815">
        <v>59</v>
      </c>
      <c r="D815" t="s">
        <v>28</v>
      </c>
      <c r="E815" t="s">
        <v>50</v>
      </c>
      <c r="F815" t="s">
        <v>47</v>
      </c>
      <c r="G815">
        <v>3122004</v>
      </c>
      <c r="H815">
        <f t="shared" ca="1" si="12"/>
        <v>214</v>
      </c>
      <c r="I815">
        <v>7.73</v>
      </c>
      <c r="J815">
        <v>44.87</v>
      </c>
      <c r="K815" t="s">
        <v>1534</v>
      </c>
      <c r="L815">
        <f>_INVESTEMENTDATA[[#This Row],[Investment_Amount]]*0.18</f>
        <v>561960.72</v>
      </c>
      <c r="M815">
        <f>_INVESTEMENTDATA[[#This Row],[Investment_Amount]]*0.18*25</f>
        <v>14049018</v>
      </c>
    </row>
    <row r="816" spans="1:13" x14ac:dyDescent="0.25">
      <c r="A816" t="s">
        <v>1535</v>
      </c>
      <c r="B816" t="s">
        <v>11</v>
      </c>
      <c r="C816">
        <v>51</v>
      </c>
      <c r="D816" t="s">
        <v>12</v>
      </c>
      <c r="E816" t="s">
        <v>57</v>
      </c>
      <c r="F816" t="s">
        <v>14</v>
      </c>
      <c r="G816">
        <v>1436395</v>
      </c>
      <c r="H816">
        <f t="shared" ca="1" si="12"/>
        <v>298</v>
      </c>
      <c r="I816">
        <v>11.8</v>
      </c>
      <c r="J816">
        <v>12.73</v>
      </c>
      <c r="K816" t="s">
        <v>100</v>
      </c>
      <c r="L816">
        <f>_INVESTEMENTDATA[[#This Row],[Investment_Amount]]*0.18</f>
        <v>258551.09999999998</v>
      </c>
      <c r="M816">
        <f>_INVESTEMENTDATA[[#This Row],[Investment_Amount]]*0.18*25</f>
        <v>6463777.4999999991</v>
      </c>
    </row>
    <row r="817" spans="1:13" x14ac:dyDescent="0.25">
      <c r="A817" t="s">
        <v>1536</v>
      </c>
      <c r="B817" t="s">
        <v>11</v>
      </c>
      <c r="C817">
        <v>49</v>
      </c>
      <c r="D817" t="s">
        <v>28</v>
      </c>
      <c r="E817" t="s">
        <v>29</v>
      </c>
      <c r="F817" t="s">
        <v>35</v>
      </c>
      <c r="G817">
        <v>2938500</v>
      </c>
      <c r="H817">
        <f t="shared" ca="1" si="12"/>
        <v>89</v>
      </c>
      <c r="I817">
        <v>27.51</v>
      </c>
      <c r="J817">
        <v>16.670000000000002</v>
      </c>
      <c r="K817" t="s">
        <v>1477</v>
      </c>
      <c r="L817">
        <f>_INVESTEMENTDATA[[#This Row],[Investment_Amount]]*0.18</f>
        <v>528930</v>
      </c>
      <c r="M817">
        <f>_INVESTEMENTDATA[[#This Row],[Investment_Amount]]*0.18*25</f>
        <v>13223250</v>
      </c>
    </row>
    <row r="818" spans="1:13" x14ac:dyDescent="0.25">
      <c r="A818" t="s">
        <v>1537</v>
      </c>
      <c r="B818" t="s">
        <v>11</v>
      </c>
      <c r="C818">
        <v>23</v>
      </c>
      <c r="D818" t="s">
        <v>46</v>
      </c>
      <c r="E818" t="s">
        <v>19</v>
      </c>
      <c r="F818" t="s">
        <v>14</v>
      </c>
      <c r="G818">
        <v>3246880</v>
      </c>
      <c r="H818">
        <f t="shared" ca="1" si="12"/>
        <v>51</v>
      </c>
      <c r="I818">
        <v>16.52</v>
      </c>
      <c r="J818">
        <v>21.8</v>
      </c>
      <c r="K818" t="s">
        <v>230</v>
      </c>
      <c r="L818">
        <f>_INVESTEMENTDATA[[#This Row],[Investment_Amount]]*0.18</f>
        <v>584438.4</v>
      </c>
      <c r="M818">
        <f>_INVESTEMENTDATA[[#This Row],[Investment_Amount]]*0.18*25</f>
        <v>14610960</v>
      </c>
    </row>
    <row r="819" spans="1:13" x14ac:dyDescent="0.25">
      <c r="A819" t="s">
        <v>1538</v>
      </c>
      <c r="B819" t="s">
        <v>11</v>
      </c>
      <c r="C819">
        <v>38</v>
      </c>
      <c r="D819" t="s">
        <v>18</v>
      </c>
      <c r="E819" t="s">
        <v>29</v>
      </c>
      <c r="F819" t="s">
        <v>47</v>
      </c>
      <c r="G819">
        <v>2861149</v>
      </c>
      <c r="H819">
        <f t="shared" ca="1" si="12"/>
        <v>235</v>
      </c>
      <c r="I819">
        <v>21.7</v>
      </c>
      <c r="J819">
        <v>9.07</v>
      </c>
      <c r="K819" t="s">
        <v>1539</v>
      </c>
      <c r="L819">
        <f>_INVESTEMENTDATA[[#This Row],[Investment_Amount]]*0.18</f>
        <v>515006.82</v>
      </c>
      <c r="M819">
        <f>_INVESTEMENTDATA[[#This Row],[Investment_Amount]]*0.18*25</f>
        <v>12875170.5</v>
      </c>
    </row>
    <row r="820" spans="1:13" x14ac:dyDescent="0.25">
      <c r="A820" t="s">
        <v>1540</v>
      </c>
      <c r="B820" t="s">
        <v>11</v>
      </c>
      <c r="C820">
        <v>65</v>
      </c>
      <c r="D820" t="s">
        <v>38</v>
      </c>
      <c r="E820" t="s">
        <v>57</v>
      </c>
      <c r="F820" t="s">
        <v>35</v>
      </c>
      <c r="G820">
        <v>467774</v>
      </c>
      <c r="H820">
        <f t="shared" ca="1" si="12"/>
        <v>65</v>
      </c>
      <c r="I820">
        <v>23.89</v>
      </c>
      <c r="J820">
        <v>4.0599999999999996</v>
      </c>
      <c r="K820" t="s">
        <v>1541</v>
      </c>
      <c r="L820">
        <f>_INVESTEMENTDATA[[#This Row],[Investment_Amount]]*0.18</f>
        <v>84199.319999999992</v>
      </c>
      <c r="M820">
        <f>_INVESTEMENTDATA[[#This Row],[Investment_Amount]]*0.18*25</f>
        <v>2104983</v>
      </c>
    </row>
    <row r="821" spans="1:13" x14ac:dyDescent="0.25">
      <c r="A821" t="s">
        <v>1542</v>
      </c>
      <c r="B821" t="s">
        <v>11</v>
      </c>
      <c r="C821">
        <v>37</v>
      </c>
      <c r="D821" t="s">
        <v>28</v>
      </c>
      <c r="E821" t="s">
        <v>57</v>
      </c>
      <c r="F821" t="s">
        <v>20</v>
      </c>
      <c r="G821">
        <v>1361828</v>
      </c>
      <c r="H821">
        <f t="shared" ca="1" si="12"/>
        <v>203</v>
      </c>
      <c r="I821">
        <v>32.96</v>
      </c>
      <c r="J821">
        <v>17.12</v>
      </c>
      <c r="K821" t="s">
        <v>1543</v>
      </c>
      <c r="L821">
        <f>_INVESTEMENTDATA[[#This Row],[Investment_Amount]]*0.18</f>
        <v>245129.03999999998</v>
      </c>
      <c r="M821">
        <f>_INVESTEMENTDATA[[#This Row],[Investment_Amount]]*0.18*25</f>
        <v>6128225.9999999991</v>
      </c>
    </row>
    <row r="822" spans="1:13" x14ac:dyDescent="0.25">
      <c r="A822" t="s">
        <v>1544</v>
      </c>
      <c r="B822" t="s">
        <v>11</v>
      </c>
      <c r="C822">
        <v>36</v>
      </c>
      <c r="D822" t="s">
        <v>46</v>
      </c>
      <c r="E822" t="s">
        <v>13</v>
      </c>
      <c r="F822" t="s">
        <v>41</v>
      </c>
      <c r="G822">
        <v>4564814</v>
      </c>
      <c r="H822">
        <f t="shared" ca="1" si="12"/>
        <v>239</v>
      </c>
      <c r="I822">
        <v>6.06</v>
      </c>
      <c r="J822">
        <v>-3.32</v>
      </c>
      <c r="K822" t="s">
        <v>1545</v>
      </c>
      <c r="L822">
        <f>_INVESTEMENTDATA[[#This Row],[Investment_Amount]]*0.18</f>
        <v>821666.52</v>
      </c>
      <c r="M822">
        <f>_INVESTEMENTDATA[[#This Row],[Investment_Amount]]*0.18*25</f>
        <v>20541663</v>
      </c>
    </row>
    <row r="823" spans="1:13" x14ac:dyDescent="0.25">
      <c r="A823" t="s">
        <v>1546</v>
      </c>
      <c r="B823" t="s">
        <v>17</v>
      </c>
      <c r="C823">
        <v>62</v>
      </c>
      <c r="D823" t="s">
        <v>18</v>
      </c>
      <c r="E823" t="s">
        <v>29</v>
      </c>
      <c r="F823" t="s">
        <v>30</v>
      </c>
      <c r="G823">
        <v>234666</v>
      </c>
      <c r="H823">
        <f t="shared" ca="1" si="12"/>
        <v>55</v>
      </c>
      <c r="I823">
        <v>33.340000000000003</v>
      </c>
      <c r="J823">
        <v>28.87</v>
      </c>
      <c r="K823" t="s">
        <v>1241</v>
      </c>
      <c r="L823">
        <f>_INVESTEMENTDATA[[#This Row],[Investment_Amount]]*0.18</f>
        <v>42239.88</v>
      </c>
      <c r="M823">
        <f>_INVESTEMENTDATA[[#This Row],[Investment_Amount]]*0.18*25</f>
        <v>1055997</v>
      </c>
    </row>
    <row r="824" spans="1:13" x14ac:dyDescent="0.25">
      <c r="A824" t="s">
        <v>1547</v>
      </c>
      <c r="B824" t="s">
        <v>11</v>
      </c>
      <c r="C824">
        <v>59</v>
      </c>
      <c r="D824" t="s">
        <v>28</v>
      </c>
      <c r="E824" t="s">
        <v>57</v>
      </c>
      <c r="F824" t="s">
        <v>14</v>
      </c>
      <c r="G824">
        <v>3809179</v>
      </c>
      <c r="H824">
        <f t="shared" ca="1" si="12"/>
        <v>187</v>
      </c>
      <c r="I824">
        <v>32.090000000000003</v>
      </c>
      <c r="J824">
        <v>41.63</v>
      </c>
      <c r="K824" t="s">
        <v>904</v>
      </c>
      <c r="L824">
        <f>_INVESTEMENTDATA[[#This Row],[Investment_Amount]]*0.18</f>
        <v>685652.22</v>
      </c>
      <c r="M824">
        <f>_INVESTEMENTDATA[[#This Row],[Investment_Amount]]*0.18*25</f>
        <v>17141305.5</v>
      </c>
    </row>
    <row r="825" spans="1:13" x14ac:dyDescent="0.25">
      <c r="A825" t="s">
        <v>1548</v>
      </c>
      <c r="B825" t="s">
        <v>17</v>
      </c>
      <c r="C825">
        <v>26</v>
      </c>
      <c r="D825" t="s">
        <v>28</v>
      </c>
      <c r="E825" t="s">
        <v>29</v>
      </c>
      <c r="F825" t="s">
        <v>35</v>
      </c>
      <c r="G825">
        <v>942339</v>
      </c>
      <c r="H825">
        <f t="shared" ca="1" si="12"/>
        <v>298</v>
      </c>
      <c r="I825">
        <v>5.63</v>
      </c>
      <c r="J825">
        <v>-9.7799999999999994</v>
      </c>
      <c r="K825" t="s">
        <v>1549</v>
      </c>
      <c r="L825">
        <f>_INVESTEMENTDATA[[#This Row],[Investment_Amount]]*0.18</f>
        <v>169621.02</v>
      </c>
      <c r="M825">
        <f>_INVESTEMENTDATA[[#This Row],[Investment_Amount]]*0.18*25</f>
        <v>4240525.5</v>
      </c>
    </row>
    <row r="826" spans="1:13" x14ac:dyDescent="0.25">
      <c r="A826" t="s">
        <v>1550</v>
      </c>
      <c r="B826" t="s">
        <v>17</v>
      </c>
      <c r="C826">
        <v>44</v>
      </c>
      <c r="D826" t="s">
        <v>12</v>
      </c>
      <c r="E826" t="s">
        <v>57</v>
      </c>
      <c r="F826" t="s">
        <v>14</v>
      </c>
      <c r="G826">
        <v>745583</v>
      </c>
      <c r="H826">
        <f t="shared" ca="1" si="12"/>
        <v>176</v>
      </c>
      <c r="I826">
        <v>28.4</v>
      </c>
      <c r="J826">
        <v>8.26</v>
      </c>
      <c r="K826" t="s">
        <v>654</v>
      </c>
      <c r="L826">
        <f>_INVESTEMENTDATA[[#This Row],[Investment_Amount]]*0.18</f>
        <v>134204.94</v>
      </c>
      <c r="M826">
        <f>_INVESTEMENTDATA[[#This Row],[Investment_Amount]]*0.18*25</f>
        <v>3355123.5</v>
      </c>
    </row>
    <row r="827" spans="1:13" x14ac:dyDescent="0.25">
      <c r="A827" t="s">
        <v>1551</v>
      </c>
      <c r="B827" t="s">
        <v>17</v>
      </c>
      <c r="C827">
        <v>45</v>
      </c>
      <c r="D827" t="s">
        <v>12</v>
      </c>
      <c r="E827" t="s">
        <v>19</v>
      </c>
      <c r="F827" t="s">
        <v>14</v>
      </c>
      <c r="G827">
        <v>337855</v>
      </c>
      <c r="H827">
        <f t="shared" ca="1" si="12"/>
        <v>238</v>
      </c>
      <c r="I827">
        <v>18.09</v>
      </c>
      <c r="J827">
        <v>35.75</v>
      </c>
      <c r="K827" t="s">
        <v>196</v>
      </c>
      <c r="L827">
        <f>_INVESTEMENTDATA[[#This Row],[Investment_Amount]]*0.18</f>
        <v>60813.899999999994</v>
      </c>
      <c r="M827">
        <f>_INVESTEMENTDATA[[#This Row],[Investment_Amount]]*0.18*25</f>
        <v>1520347.4999999998</v>
      </c>
    </row>
    <row r="828" spans="1:13" x14ac:dyDescent="0.25">
      <c r="A828" t="s">
        <v>1552</v>
      </c>
      <c r="B828" t="s">
        <v>11</v>
      </c>
      <c r="C828">
        <v>32</v>
      </c>
      <c r="D828" t="s">
        <v>28</v>
      </c>
      <c r="E828" t="s">
        <v>23</v>
      </c>
      <c r="F828" t="s">
        <v>41</v>
      </c>
      <c r="G828">
        <v>4540148</v>
      </c>
      <c r="H828">
        <f t="shared" ca="1" si="12"/>
        <v>262</v>
      </c>
      <c r="I828">
        <v>23.97</v>
      </c>
      <c r="J828">
        <v>15.23</v>
      </c>
      <c r="K828" t="s">
        <v>342</v>
      </c>
      <c r="L828">
        <f>_INVESTEMENTDATA[[#This Row],[Investment_Amount]]*0.18</f>
        <v>817226.64</v>
      </c>
      <c r="M828">
        <f>_INVESTEMENTDATA[[#This Row],[Investment_Amount]]*0.18*25</f>
        <v>20430666</v>
      </c>
    </row>
    <row r="829" spans="1:13" x14ac:dyDescent="0.25">
      <c r="A829" t="s">
        <v>1553</v>
      </c>
      <c r="B829" t="s">
        <v>11</v>
      </c>
      <c r="C829">
        <v>60</v>
      </c>
      <c r="D829" t="s">
        <v>46</v>
      </c>
      <c r="E829" t="s">
        <v>50</v>
      </c>
      <c r="F829" t="s">
        <v>47</v>
      </c>
      <c r="G829">
        <v>2033603</v>
      </c>
      <c r="H829">
        <f t="shared" ca="1" si="12"/>
        <v>67</v>
      </c>
      <c r="I829">
        <v>28.85</v>
      </c>
      <c r="J829">
        <v>10.49</v>
      </c>
      <c r="K829" t="s">
        <v>1554</v>
      </c>
      <c r="L829">
        <f>_INVESTEMENTDATA[[#This Row],[Investment_Amount]]*0.18</f>
        <v>366048.54</v>
      </c>
      <c r="M829">
        <f>_INVESTEMENTDATA[[#This Row],[Investment_Amount]]*0.18*25</f>
        <v>9151213.5</v>
      </c>
    </row>
    <row r="830" spans="1:13" x14ac:dyDescent="0.25">
      <c r="A830" t="s">
        <v>1555</v>
      </c>
      <c r="B830" t="s">
        <v>11</v>
      </c>
      <c r="C830">
        <v>61</v>
      </c>
      <c r="D830" t="s">
        <v>38</v>
      </c>
      <c r="E830" t="s">
        <v>50</v>
      </c>
      <c r="F830" t="s">
        <v>41</v>
      </c>
      <c r="G830">
        <v>2085991</v>
      </c>
      <c r="H830">
        <f t="shared" ca="1" si="12"/>
        <v>347</v>
      </c>
      <c r="I830">
        <v>26.21</v>
      </c>
      <c r="J830">
        <v>12.71</v>
      </c>
      <c r="K830" t="s">
        <v>1074</v>
      </c>
      <c r="L830">
        <f>_INVESTEMENTDATA[[#This Row],[Investment_Amount]]*0.18</f>
        <v>375478.38</v>
      </c>
      <c r="M830">
        <f>_INVESTEMENTDATA[[#This Row],[Investment_Amount]]*0.18*25</f>
        <v>9386959.5</v>
      </c>
    </row>
    <row r="831" spans="1:13" x14ac:dyDescent="0.25">
      <c r="A831" t="s">
        <v>1556</v>
      </c>
      <c r="B831" t="s">
        <v>11</v>
      </c>
      <c r="C831">
        <v>57</v>
      </c>
      <c r="D831" t="s">
        <v>28</v>
      </c>
      <c r="E831" t="s">
        <v>50</v>
      </c>
      <c r="F831" t="s">
        <v>47</v>
      </c>
      <c r="G831">
        <v>3398714</v>
      </c>
      <c r="H831">
        <f t="shared" ca="1" si="12"/>
        <v>303</v>
      </c>
      <c r="I831">
        <v>22.68</v>
      </c>
      <c r="J831">
        <v>26.83</v>
      </c>
      <c r="K831" t="s">
        <v>1557</v>
      </c>
      <c r="L831">
        <f>_INVESTEMENTDATA[[#This Row],[Investment_Amount]]*0.18</f>
        <v>611768.52</v>
      </c>
      <c r="M831">
        <f>_INVESTEMENTDATA[[#This Row],[Investment_Amount]]*0.18*25</f>
        <v>15294213</v>
      </c>
    </row>
    <row r="832" spans="1:13" x14ac:dyDescent="0.25">
      <c r="A832" t="s">
        <v>1558</v>
      </c>
      <c r="B832" t="s">
        <v>11</v>
      </c>
      <c r="C832">
        <v>51</v>
      </c>
      <c r="D832" t="s">
        <v>46</v>
      </c>
      <c r="E832" t="s">
        <v>29</v>
      </c>
      <c r="F832" t="s">
        <v>14</v>
      </c>
      <c r="G832">
        <v>4251396</v>
      </c>
      <c r="H832">
        <f t="shared" ca="1" si="12"/>
        <v>311</v>
      </c>
      <c r="I832">
        <v>22.88</v>
      </c>
      <c r="J832">
        <v>4.47</v>
      </c>
      <c r="K832" t="s">
        <v>470</v>
      </c>
      <c r="L832">
        <f>_INVESTEMENTDATA[[#This Row],[Investment_Amount]]*0.18</f>
        <v>765251.28</v>
      </c>
      <c r="M832">
        <f>_INVESTEMENTDATA[[#This Row],[Investment_Amount]]*0.18*25</f>
        <v>19131282</v>
      </c>
    </row>
    <row r="833" spans="1:13" x14ac:dyDescent="0.25">
      <c r="A833" t="s">
        <v>1559</v>
      </c>
      <c r="B833" t="s">
        <v>11</v>
      </c>
      <c r="C833">
        <v>64</v>
      </c>
      <c r="D833" t="s">
        <v>38</v>
      </c>
      <c r="E833" t="s">
        <v>19</v>
      </c>
      <c r="F833" t="s">
        <v>30</v>
      </c>
      <c r="G833">
        <v>998747</v>
      </c>
      <c r="H833">
        <f t="shared" ca="1" si="12"/>
        <v>9</v>
      </c>
      <c r="I833">
        <v>13.68</v>
      </c>
      <c r="J833">
        <v>37.08</v>
      </c>
      <c r="K833" t="s">
        <v>251</v>
      </c>
      <c r="L833">
        <f>_INVESTEMENTDATA[[#This Row],[Investment_Amount]]*0.18</f>
        <v>179774.46</v>
      </c>
      <c r="M833">
        <f>_INVESTEMENTDATA[[#This Row],[Investment_Amount]]*0.18*25</f>
        <v>4494361.5</v>
      </c>
    </row>
    <row r="834" spans="1:13" x14ac:dyDescent="0.25">
      <c r="A834" t="s">
        <v>1560</v>
      </c>
      <c r="B834" t="s">
        <v>17</v>
      </c>
      <c r="C834">
        <v>37</v>
      </c>
      <c r="D834" t="s">
        <v>12</v>
      </c>
      <c r="E834" t="s">
        <v>50</v>
      </c>
      <c r="F834" t="s">
        <v>35</v>
      </c>
      <c r="G834">
        <v>805305</v>
      </c>
      <c r="H834">
        <f t="shared" ref="H834:H897" ca="1" si="13">RANDBETWEEN(7,365)</f>
        <v>161</v>
      </c>
      <c r="I834">
        <v>30.34</v>
      </c>
      <c r="J834">
        <v>18.47</v>
      </c>
      <c r="K834" t="s">
        <v>764</v>
      </c>
      <c r="L834">
        <f>_INVESTEMENTDATA[[#This Row],[Investment_Amount]]*0.18</f>
        <v>144954.9</v>
      </c>
      <c r="M834">
        <f>_INVESTEMENTDATA[[#This Row],[Investment_Amount]]*0.18*25</f>
        <v>3623872.5</v>
      </c>
    </row>
    <row r="835" spans="1:13" x14ac:dyDescent="0.25">
      <c r="A835" t="s">
        <v>1561</v>
      </c>
      <c r="B835" t="s">
        <v>17</v>
      </c>
      <c r="C835">
        <v>30</v>
      </c>
      <c r="D835" t="s">
        <v>38</v>
      </c>
      <c r="E835" t="s">
        <v>50</v>
      </c>
      <c r="F835" t="s">
        <v>30</v>
      </c>
      <c r="G835">
        <v>4644353</v>
      </c>
      <c r="H835">
        <f t="shared" ca="1" si="13"/>
        <v>108</v>
      </c>
      <c r="I835">
        <v>12.45</v>
      </c>
      <c r="J835">
        <v>28.16</v>
      </c>
      <c r="K835" t="s">
        <v>1433</v>
      </c>
      <c r="L835">
        <f>_INVESTEMENTDATA[[#This Row],[Investment_Amount]]*0.18</f>
        <v>835983.53999999992</v>
      </c>
      <c r="M835">
        <f>_INVESTEMENTDATA[[#This Row],[Investment_Amount]]*0.18*25</f>
        <v>20899588.499999996</v>
      </c>
    </row>
    <row r="836" spans="1:13" x14ac:dyDescent="0.25">
      <c r="A836" t="s">
        <v>1562</v>
      </c>
      <c r="B836" t="s">
        <v>11</v>
      </c>
      <c r="C836">
        <v>24</v>
      </c>
      <c r="D836" t="s">
        <v>12</v>
      </c>
      <c r="E836" t="s">
        <v>50</v>
      </c>
      <c r="F836" t="s">
        <v>14</v>
      </c>
      <c r="G836">
        <v>2219465</v>
      </c>
      <c r="H836">
        <f t="shared" ca="1" si="13"/>
        <v>322</v>
      </c>
      <c r="I836">
        <v>20.440000000000001</v>
      </c>
      <c r="J836">
        <v>-3.92</v>
      </c>
      <c r="K836" t="s">
        <v>186</v>
      </c>
      <c r="L836">
        <f>_INVESTEMENTDATA[[#This Row],[Investment_Amount]]*0.18</f>
        <v>399503.7</v>
      </c>
      <c r="M836">
        <f>_INVESTEMENTDATA[[#This Row],[Investment_Amount]]*0.18*25</f>
        <v>9987592.5</v>
      </c>
    </row>
    <row r="837" spans="1:13" x14ac:dyDescent="0.25">
      <c r="A837" t="s">
        <v>1563</v>
      </c>
      <c r="B837" t="s">
        <v>17</v>
      </c>
      <c r="C837">
        <v>44</v>
      </c>
      <c r="D837" t="s">
        <v>28</v>
      </c>
      <c r="E837" t="s">
        <v>19</v>
      </c>
      <c r="F837" t="s">
        <v>20</v>
      </c>
      <c r="G837">
        <v>4571007</v>
      </c>
      <c r="H837">
        <f t="shared" ca="1" si="13"/>
        <v>83</v>
      </c>
      <c r="I837">
        <v>13.05</v>
      </c>
      <c r="J837">
        <v>5.13</v>
      </c>
      <c r="K837" t="s">
        <v>1564</v>
      </c>
      <c r="L837">
        <f>_INVESTEMENTDATA[[#This Row],[Investment_Amount]]*0.18</f>
        <v>822781.26</v>
      </c>
      <c r="M837">
        <f>_INVESTEMENTDATA[[#This Row],[Investment_Amount]]*0.18*25</f>
        <v>20569531.5</v>
      </c>
    </row>
    <row r="838" spans="1:13" x14ac:dyDescent="0.25">
      <c r="A838" t="s">
        <v>1565</v>
      </c>
      <c r="B838" t="s">
        <v>11</v>
      </c>
      <c r="C838">
        <v>41</v>
      </c>
      <c r="D838" t="s">
        <v>12</v>
      </c>
      <c r="E838" t="s">
        <v>50</v>
      </c>
      <c r="F838" t="s">
        <v>30</v>
      </c>
      <c r="G838">
        <v>4374969</v>
      </c>
      <c r="H838">
        <f t="shared" ca="1" si="13"/>
        <v>100</v>
      </c>
      <c r="I838">
        <v>7.34</v>
      </c>
      <c r="J838">
        <v>16.52</v>
      </c>
      <c r="K838" t="s">
        <v>609</v>
      </c>
      <c r="L838">
        <f>_INVESTEMENTDATA[[#This Row],[Investment_Amount]]*0.18</f>
        <v>787494.41999999993</v>
      </c>
      <c r="M838">
        <f>_INVESTEMENTDATA[[#This Row],[Investment_Amount]]*0.18*25</f>
        <v>19687360.5</v>
      </c>
    </row>
    <row r="839" spans="1:13" x14ac:dyDescent="0.25">
      <c r="A839" t="s">
        <v>1566</v>
      </c>
      <c r="B839" t="s">
        <v>11</v>
      </c>
      <c r="C839">
        <v>34</v>
      </c>
      <c r="D839" t="s">
        <v>28</v>
      </c>
      <c r="E839" t="s">
        <v>23</v>
      </c>
      <c r="F839" t="s">
        <v>41</v>
      </c>
      <c r="G839">
        <v>1350083</v>
      </c>
      <c r="H839">
        <f t="shared" ca="1" si="13"/>
        <v>255</v>
      </c>
      <c r="I839">
        <v>24.79</v>
      </c>
      <c r="J839">
        <v>44.21</v>
      </c>
      <c r="K839" t="s">
        <v>1567</v>
      </c>
      <c r="L839">
        <f>_INVESTEMENTDATA[[#This Row],[Investment_Amount]]*0.18</f>
        <v>243014.94</v>
      </c>
      <c r="M839">
        <f>_INVESTEMENTDATA[[#This Row],[Investment_Amount]]*0.18*25</f>
        <v>6075373.5</v>
      </c>
    </row>
    <row r="840" spans="1:13" x14ac:dyDescent="0.25">
      <c r="A840" t="s">
        <v>1568</v>
      </c>
      <c r="B840" t="s">
        <v>11</v>
      </c>
      <c r="C840">
        <v>45</v>
      </c>
      <c r="D840" t="s">
        <v>18</v>
      </c>
      <c r="E840" t="s">
        <v>19</v>
      </c>
      <c r="F840" t="s">
        <v>20</v>
      </c>
      <c r="G840">
        <v>847232</v>
      </c>
      <c r="H840">
        <f t="shared" ca="1" si="13"/>
        <v>271</v>
      </c>
      <c r="I840">
        <v>21.63</v>
      </c>
      <c r="J840">
        <v>33.85</v>
      </c>
      <c r="K840" t="s">
        <v>1569</v>
      </c>
      <c r="L840">
        <f>_INVESTEMENTDATA[[#This Row],[Investment_Amount]]*0.18</f>
        <v>152501.75999999998</v>
      </c>
      <c r="M840">
        <f>_INVESTEMENTDATA[[#This Row],[Investment_Amount]]*0.18*25</f>
        <v>3812543.9999999995</v>
      </c>
    </row>
    <row r="841" spans="1:13" x14ac:dyDescent="0.25">
      <c r="A841" t="s">
        <v>1570</v>
      </c>
      <c r="B841" t="s">
        <v>17</v>
      </c>
      <c r="C841">
        <v>52</v>
      </c>
      <c r="D841" t="s">
        <v>46</v>
      </c>
      <c r="E841" t="s">
        <v>57</v>
      </c>
      <c r="F841" t="s">
        <v>14</v>
      </c>
      <c r="G841">
        <v>4457672</v>
      </c>
      <c r="H841">
        <f t="shared" ca="1" si="13"/>
        <v>125</v>
      </c>
      <c r="I841">
        <v>21.69</v>
      </c>
      <c r="J841">
        <v>-5.73</v>
      </c>
      <c r="K841" t="s">
        <v>564</v>
      </c>
      <c r="L841">
        <f>_INVESTEMENTDATA[[#This Row],[Investment_Amount]]*0.18</f>
        <v>802380.96</v>
      </c>
      <c r="M841">
        <f>_INVESTEMENTDATA[[#This Row],[Investment_Amount]]*0.18*25</f>
        <v>20059524</v>
      </c>
    </row>
    <row r="842" spans="1:13" x14ac:dyDescent="0.25">
      <c r="A842" t="s">
        <v>1571</v>
      </c>
      <c r="B842" t="s">
        <v>17</v>
      </c>
      <c r="C842">
        <v>51</v>
      </c>
      <c r="D842" t="s">
        <v>38</v>
      </c>
      <c r="E842" t="s">
        <v>13</v>
      </c>
      <c r="F842" t="s">
        <v>20</v>
      </c>
      <c r="G842">
        <v>83271</v>
      </c>
      <c r="H842">
        <f t="shared" ca="1" si="13"/>
        <v>122</v>
      </c>
      <c r="I842">
        <v>12.94</v>
      </c>
      <c r="J842">
        <v>1.17</v>
      </c>
      <c r="K842" t="s">
        <v>1148</v>
      </c>
      <c r="L842">
        <f>_INVESTEMENTDATA[[#This Row],[Investment_Amount]]*0.18</f>
        <v>14988.779999999999</v>
      </c>
      <c r="M842">
        <f>_INVESTEMENTDATA[[#This Row],[Investment_Amount]]*0.18*25</f>
        <v>374719.5</v>
      </c>
    </row>
    <row r="843" spans="1:13" x14ac:dyDescent="0.25">
      <c r="A843" t="s">
        <v>1572</v>
      </c>
      <c r="B843" t="s">
        <v>17</v>
      </c>
      <c r="C843">
        <v>31</v>
      </c>
      <c r="D843" t="s">
        <v>28</v>
      </c>
      <c r="E843" t="s">
        <v>19</v>
      </c>
      <c r="F843" t="s">
        <v>47</v>
      </c>
      <c r="G843">
        <v>1528491</v>
      </c>
      <c r="H843">
        <f t="shared" ca="1" si="13"/>
        <v>200</v>
      </c>
      <c r="I843">
        <v>5.18</v>
      </c>
      <c r="J843">
        <v>9.83</v>
      </c>
      <c r="K843" t="s">
        <v>299</v>
      </c>
      <c r="L843">
        <f>_INVESTEMENTDATA[[#This Row],[Investment_Amount]]*0.18</f>
        <v>275128.38</v>
      </c>
      <c r="M843">
        <f>_INVESTEMENTDATA[[#This Row],[Investment_Amount]]*0.18*25</f>
        <v>6878209.5</v>
      </c>
    </row>
    <row r="844" spans="1:13" x14ac:dyDescent="0.25">
      <c r="A844" t="s">
        <v>1573</v>
      </c>
      <c r="B844" t="s">
        <v>11</v>
      </c>
      <c r="C844">
        <v>49</v>
      </c>
      <c r="D844" t="s">
        <v>38</v>
      </c>
      <c r="E844" t="s">
        <v>57</v>
      </c>
      <c r="F844" t="s">
        <v>30</v>
      </c>
      <c r="G844">
        <v>1349302</v>
      </c>
      <c r="H844">
        <f t="shared" ca="1" si="13"/>
        <v>121</v>
      </c>
      <c r="I844">
        <v>28.59</v>
      </c>
      <c r="J844">
        <v>9.7799999999999994</v>
      </c>
      <c r="K844" t="s">
        <v>1574</v>
      </c>
      <c r="L844">
        <f>_INVESTEMENTDATA[[#This Row],[Investment_Amount]]*0.18</f>
        <v>242874.36</v>
      </c>
      <c r="M844">
        <f>_INVESTEMENTDATA[[#This Row],[Investment_Amount]]*0.18*25</f>
        <v>6071859</v>
      </c>
    </row>
    <row r="845" spans="1:13" x14ac:dyDescent="0.25">
      <c r="A845" t="s">
        <v>1575</v>
      </c>
      <c r="B845" t="s">
        <v>17</v>
      </c>
      <c r="C845">
        <v>54</v>
      </c>
      <c r="D845" t="s">
        <v>46</v>
      </c>
      <c r="E845" t="s">
        <v>57</v>
      </c>
      <c r="F845" t="s">
        <v>35</v>
      </c>
      <c r="G845">
        <v>1589385</v>
      </c>
      <c r="H845">
        <f t="shared" ca="1" si="13"/>
        <v>141</v>
      </c>
      <c r="I845">
        <v>25.76</v>
      </c>
      <c r="J845">
        <v>11.54</v>
      </c>
      <c r="K845" t="s">
        <v>1576</v>
      </c>
      <c r="L845">
        <f>_INVESTEMENTDATA[[#This Row],[Investment_Amount]]*0.18</f>
        <v>286089.3</v>
      </c>
      <c r="M845">
        <f>_INVESTEMENTDATA[[#This Row],[Investment_Amount]]*0.18*25</f>
        <v>7152232.5</v>
      </c>
    </row>
    <row r="846" spans="1:13" x14ac:dyDescent="0.25">
      <c r="A846" t="s">
        <v>1577</v>
      </c>
      <c r="B846" t="s">
        <v>11</v>
      </c>
      <c r="C846">
        <v>63</v>
      </c>
      <c r="D846" t="s">
        <v>46</v>
      </c>
      <c r="E846" t="s">
        <v>23</v>
      </c>
      <c r="F846" t="s">
        <v>14</v>
      </c>
      <c r="G846">
        <v>1124760</v>
      </c>
      <c r="H846">
        <f t="shared" ca="1" si="13"/>
        <v>260</v>
      </c>
      <c r="I846">
        <v>27.26</v>
      </c>
      <c r="J846">
        <v>13.29</v>
      </c>
      <c r="K846" t="s">
        <v>833</v>
      </c>
      <c r="L846">
        <f>_INVESTEMENTDATA[[#This Row],[Investment_Amount]]*0.18</f>
        <v>202456.8</v>
      </c>
      <c r="M846">
        <f>_INVESTEMENTDATA[[#This Row],[Investment_Amount]]*0.18*25</f>
        <v>5061420</v>
      </c>
    </row>
    <row r="847" spans="1:13" x14ac:dyDescent="0.25">
      <c r="A847" t="s">
        <v>1578</v>
      </c>
      <c r="B847" t="s">
        <v>17</v>
      </c>
      <c r="C847">
        <v>21</v>
      </c>
      <c r="D847" t="s">
        <v>18</v>
      </c>
      <c r="E847" t="s">
        <v>19</v>
      </c>
      <c r="F847" t="s">
        <v>30</v>
      </c>
      <c r="G847">
        <v>2493541</v>
      </c>
      <c r="H847">
        <f t="shared" ca="1" si="13"/>
        <v>96</v>
      </c>
      <c r="I847">
        <v>33.950000000000003</v>
      </c>
      <c r="J847">
        <v>37.880000000000003</v>
      </c>
      <c r="K847" t="s">
        <v>1579</v>
      </c>
      <c r="L847">
        <f>_INVESTEMENTDATA[[#This Row],[Investment_Amount]]*0.18</f>
        <v>448837.38</v>
      </c>
      <c r="M847">
        <f>_INVESTEMENTDATA[[#This Row],[Investment_Amount]]*0.18*25</f>
        <v>11220934.5</v>
      </c>
    </row>
    <row r="848" spans="1:13" x14ac:dyDescent="0.25">
      <c r="A848" t="s">
        <v>1580</v>
      </c>
      <c r="B848" t="s">
        <v>11</v>
      </c>
      <c r="C848">
        <v>62</v>
      </c>
      <c r="D848" t="s">
        <v>38</v>
      </c>
      <c r="E848" t="s">
        <v>50</v>
      </c>
      <c r="F848" t="s">
        <v>35</v>
      </c>
      <c r="G848">
        <v>3355855</v>
      </c>
      <c r="H848">
        <f t="shared" ca="1" si="13"/>
        <v>63</v>
      </c>
      <c r="I848">
        <v>23.07</v>
      </c>
      <c r="J848">
        <v>29.2</v>
      </c>
      <c r="K848" t="s">
        <v>326</v>
      </c>
      <c r="L848">
        <f>_INVESTEMENTDATA[[#This Row],[Investment_Amount]]*0.18</f>
        <v>604053.9</v>
      </c>
      <c r="M848">
        <f>_INVESTEMENTDATA[[#This Row],[Investment_Amount]]*0.18*25</f>
        <v>15101347.5</v>
      </c>
    </row>
    <row r="849" spans="1:13" x14ac:dyDescent="0.25">
      <c r="A849" t="s">
        <v>1581</v>
      </c>
      <c r="B849" t="s">
        <v>11</v>
      </c>
      <c r="C849">
        <v>23</v>
      </c>
      <c r="D849" t="s">
        <v>38</v>
      </c>
      <c r="E849" t="s">
        <v>13</v>
      </c>
      <c r="F849" t="s">
        <v>30</v>
      </c>
      <c r="G849">
        <v>3418319</v>
      </c>
      <c r="H849">
        <f t="shared" ca="1" si="13"/>
        <v>61</v>
      </c>
      <c r="I849">
        <v>7.04</v>
      </c>
      <c r="J849">
        <v>40.200000000000003</v>
      </c>
      <c r="K849" t="s">
        <v>1582</v>
      </c>
      <c r="L849">
        <f>_INVESTEMENTDATA[[#This Row],[Investment_Amount]]*0.18</f>
        <v>615297.41999999993</v>
      </c>
      <c r="M849">
        <f>_INVESTEMENTDATA[[#This Row],[Investment_Amount]]*0.18*25</f>
        <v>15382435.499999998</v>
      </c>
    </row>
    <row r="850" spans="1:13" x14ac:dyDescent="0.25">
      <c r="A850" t="s">
        <v>1583</v>
      </c>
      <c r="B850" t="s">
        <v>17</v>
      </c>
      <c r="C850">
        <v>44</v>
      </c>
      <c r="D850" t="s">
        <v>18</v>
      </c>
      <c r="E850" t="s">
        <v>57</v>
      </c>
      <c r="F850" t="s">
        <v>41</v>
      </c>
      <c r="G850">
        <v>536125</v>
      </c>
      <c r="H850">
        <f t="shared" ca="1" si="13"/>
        <v>151</v>
      </c>
      <c r="I850">
        <v>33.44</v>
      </c>
      <c r="J850">
        <v>38.03</v>
      </c>
      <c r="K850" t="s">
        <v>1584</v>
      </c>
      <c r="L850">
        <f>_INVESTEMENTDATA[[#This Row],[Investment_Amount]]*0.18</f>
        <v>96502.5</v>
      </c>
      <c r="M850">
        <f>_INVESTEMENTDATA[[#This Row],[Investment_Amount]]*0.18*25</f>
        <v>2412562.5</v>
      </c>
    </row>
    <row r="851" spans="1:13" x14ac:dyDescent="0.25">
      <c r="A851" t="s">
        <v>1585</v>
      </c>
      <c r="B851" t="s">
        <v>17</v>
      </c>
      <c r="C851">
        <v>27</v>
      </c>
      <c r="D851" t="s">
        <v>18</v>
      </c>
      <c r="E851" t="s">
        <v>50</v>
      </c>
      <c r="F851" t="s">
        <v>35</v>
      </c>
      <c r="G851">
        <v>4463495</v>
      </c>
      <c r="H851">
        <f t="shared" ca="1" si="13"/>
        <v>188</v>
      </c>
      <c r="I851">
        <v>34.380000000000003</v>
      </c>
      <c r="J851">
        <v>-6.11</v>
      </c>
      <c r="K851" t="s">
        <v>1586</v>
      </c>
      <c r="L851">
        <f>_INVESTEMENTDATA[[#This Row],[Investment_Amount]]*0.18</f>
        <v>803429.1</v>
      </c>
      <c r="M851">
        <f>_INVESTEMENTDATA[[#This Row],[Investment_Amount]]*0.18*25</f>
        <v>20085727.5</v>
      </c>
    </row>
    <row r="852" spans="1:13" x14ac:dyDescent="0.25">
      <c r="A852" t="s">
        <v>1587</v>
      </c>
      <c r="B852" t="s">
        <v>17</v>
      </c>
      <c r="C852">
        <v>22</v>
      </c>
      <c r="D852" t="s">
        <v>38</v>
      </c>
      <c r="E852" t="s">
        <v>57</v>
      </c>
      <c r="F852" t="s">
        <v>35</v>
      </c>
      <c r="G852">
        <v>1706612</v>
      </c>
      <c r="H852">
        <f t="shared" ca="1" si="13"/>
        <v>350</v>
      </c>
      <c r="I852">
        <v>7.45</v>
      </c>
      <c r="J852">
        <v>11.17</v>
      </c>
      <c r="K852" t="s">
        <v>1520</v>
      </c>
      <c r="L852">
        <f>_INVESTEMENTDATA[[#This Row],[Investment_Amount]]*0.18</f>
        <v>307190.15999999997</v>
      </c>
      <c r="M852">
        <f>_INVESTEMENTDATA[[#This Row],[Investment_Amount]]*0.18*25</f>
        <v>7679753.9999999991</v>
      </c>
    </row>
    <row r="853" spans="1:13" x14ac:dyDescent="0.25">
      <c r="A853" t="s">
        <v>1588</v>
      </c>
      <c r="B853" t="s">
        <v>17</v>
      </c>
      <c r="C853">
        <v>29</v>
      </c>
      <c r="D853" t="s">
        <v>28</v>
      </c>
      <c r="E853" t="s">
        <v>19</v>
      </c>
      <c r="F853" t="s">
        <v>30</v>
      </c>
      <c r="G853">
        <v>3277344</v>
      </c>
      <c r="H853">
        <f t="shared" ca="1" si="13"/>
        <v>227</v>
      </c>
      <c r="I853">
        <v>29.23</v>
      </c>
      <c r="J853">
        <v>42.01</v>
      </c>
      <c r="K853" t="s">
        <v>1589</v>
      </c>
      <c r="L853">
        <f>_INVESTEMENTDATA[[#This Row],[Investment_Amount]]*0.18</f>
        <v>589921.91999999993</v>
      </c>
      <c r="M853">
        <f>_INVESTEMENTDATA[[#This Row],[Investment_Amount]]*0.18*25</f>
        <v>14748047.999999998</v>
      </c>
    </row>
    <row r="854" spans="1:13" x14ac:dyDescent="0.25">
      <c r="A854" t="s">
        <v>1590</v>
      </c>
      <c r="B854" t="s">
        <v>11</v>
      </c>
      <c r="C854">
        <v>53</v>
      </c>
      <c r="D854" t="s">
        <v>38</v>
      </c>
      <c r="E854" t="s">
        <v>29</v>
      </c>
      <c r="F854" t="s">
        <v>14</v>
      </c>
      <c r="G854">
        <v>1469798</v>
      </c>
      <c r="H854">
        <f t="shared" ca="1" si="13"/>
        <v>150</v>
      </c>
      <c r="I854">
        <v>13.64</v>
      </c>
      <c r="J854">
        <v>7.61</v>
      </c>
      <c r="K854" t="s">
        <v>279</v>
      </c>
      <c r="L854">
        <f>_INVESTEMENTDATA[[#This Row],[Investment_Amount]]*0.18</f>
        <v>264563.64</v>
      </c>
      <c r="M854">
        <f>_INVESTEMENTDATA[[#This Row],[Investment_Amount]]*0.18*25</f>
        <v>6614091</v>
      </c>
    </row>
    <row r="855" spans="1:13" x14ac:dyDescent="0.25">
      <c r="A855" t="s">
        <v>1591</v>
      </c>
      <c r="B855" t="s">
        <v>17</v>
      </c>
      <c r="C855">
        <v>61</v>
      </c>
      <c r="D855" t="s">
        <v>38</v>
      </c>
      <c r="E855" t="s">
        <v>13</v>
      </c>
      <c r="F855" t="s">
        <v>41</v>
      </c>
      <c r="G855">
        <v>83257</v>
      </c>
      <c r="H855">
        <f t="shared" ca="1" si="13"/>
        <v>198</v>
      </c>
      <c r="I855">
        <v>9.6300000000000008</v>
      </c>
      <c r="J855">
        <v>21.6</v>
      </c>
      <c r="K855" t="s">
        <v>1383</v>
      </c>
      <c r="L855">
        <f>_INVESTEMENTDATA[[#This Row],[Investment_Amount]]*0.18</f>
        <v>14986.26</v>
      </c>
      <c r="M855">
        <f>_INVESTEMENTDATA[[#This Row],[Investment_Amount]]*0.18*25</f>
        <v>374656.5</v>
      </c>
    </row>
    <row r="856" spans="1:13" x14ac:dyDescent="0.25">
      <c r="A856" t="s">
        <v>1592</v>
      </c>
      <c r="B856" t="s">
        <v>11</v>
      </c>
      <c r="C856">
        <v>35</v>
      </c>
      <c r="D856" t="s">
        <v>28</v>
      </c>
      <c r="E856" t="s">
        <v>23</v>
      </c>
      <c r="F856" t="s">
        <v>30</v>
      </c>
      <c r="G856">
        <v>4545250</v>
      </c>
      <c r="H856">
        <f t="shared" ca="1" si="13"/>
        <v>89</v>
      </c>
      <c r="I856">
        <v>10.06</v>
      </c>
      <c r="J856">
        <v>0.93</v>
      </c>
      <c r="K856" t="s">
        <v>1593</v>
      </c>
      <c r="L856">
        <f>_INVESTEMENTDATA[[#This Row],[Investment_Amount]]*0.18</f>
        <v>818145</v>
      </c>
      <c r="M856">
        <f>_INVESTEMENTDATA[[#This Row],[Investment_Amount]]*0.18*25</f>
        <v>20453625</v>
      </c>
    </row>
    <row r="857" spans="1:13" x14ac:dyDescent="0.25">
      <c r="A857" t="s">
        <v>1594</v>
      </c>
      <c r="B857" t="s">
        <v>11</v>
      </c>
      <c r="C857">
        <v>58</v>
      </c>
      <c r="D857" t="s">
        <v>38</v>
      </c>
      <c r="E857" t="s">
        <v>23</v>
      </c>
      <c r="F857" t="s">
        <v>14</v>
      </c>
      <c r="G857">
        <v>1224875</v>
      </c>
      <c r="H857">
        <f t="shared" ca="1" si="13"/>
        <v>325</v>
      </c>
      <c r="I857">
        <v>34.479999999999997</v>
      </c>
      <c r="J857">
        <v>5.82</v>
      </c>
      <c r="K857" t="s">
        <v>1595</v>
      </c>
      <c r="L857">
        <f>_INVESTEMENTDATA[[#This Row],[Investment_Amount]]*0.18</f>
        <v>220477.5</v>
      </c>
      <c r="M857">
        <f>_INVESTEMENTDATA[[#This Row],[Investment_Amount]]*0.18*25</f>
        <v>5511937.5</v>
      </c>
    </row>
    <row r="858" spans="1:13" x14ac:dyDescent="0.25">
      <c r="A858" t="s">
        <v>1596</v>
      </c>
      <c r="B858" t="s">
        <v>17</v>
      </c>
      <c r="C858">
        <v>54</v>
      </c>
      <c r="D858" t="s">
        <v>28</v>
      </c>
      <c r="E858" t="s">
        <v>57</v>
      </c>
      <c r="F858" t="s">
        <v>20</v>
      </c>
      <c r="G858">
        <v>472812</v>
      </c>
      <c r="H858">
        <f t="shared" ca="1" si="13"/>
        <v>267</v>
      </c>
      <c r="I858">
        <v>30.87</v>
      </c>
      <c r="J858">
        <v>18.989999999999998</v>
      </c>
      <c r="K858" t="s">
        <v>1597</v>
      </c>
      <c r="L858">
        <f>_INVESTEMENTDATA[[#This Row],[Investment_Amount]]*0.18</f>
        <v>85106.16</v>
      </c>
      <c r="M858">
        <f>_INVESTEMENTDATA[[#This Row],[Investment_Amount]]*0.18*25</f>
        <v>2127654</v>
      </c>
    </row>
    <row r="859" spans="1:13" x14ac:dyDescent="0.25">
      <c r="A859" t="s">
        <v>1598</v>
      </c>
      <c r="B859" t="s">
        <v>11</v>
      </c>
      <c r="C859">
        <v>55</v>
      </c>
      <c r="D859" t="s">
        <v>46</v>
      </c>
      <c r="E859" t="s">
        <v>29</v>
      </c>
      <c r="F859" t="s">
        <v>41</v>
      </c>
      <c r="G859">
        <v>1129594</v>
      </c>
      <c r="H859">
        <f t="shared" ca="1" si="13"/>
        <v>174</v>
      </c>
      <c r="I859">
        <v>24.26</v>
      </c>
      <c r="J859">
        <v>25.01</v>
      </c>
      <c r="K859" t="s">
        <v>1599</v>
      </c>
      <c r="L859">
        <f>_INVESTEMENTDATA[[#This Row],[Investment_Amount]]*0.18</f>
        <v>203326.91999999998</v>
      </c>
      <c r="M859">
        <f>_INVESTEMENTDATA[[#This Row],[Investment_Amount]]*0.18*25</f>
        <v>5083173</v>
      </c>
    </row>
    <row r="860" spans="1:13" x14ac:dyDescent="0.25">
      <c r="A860" t="s">
        <v>1600</v>
      </c>
      <c r="B860" t="s">
        <v>11</v>
      </c>
      <c r="C860">
        <v>36</v>
      </c>
      <c r="D860" t="s">
        <v>28</v>
      </c>
      <c r="E860" t="s">
        <v>13</v>
      </c>
      <c r="F860" t="s">
        <v>14</v>
      </c>
      <c r="G860">
        <v>2006445</v>
      </c>
      <c r="H860">
        <f t="shared" ca="1" si="13"/>
        <v>176</v>
      </c>
      <c r="I860">
        <v>29.02</v>
      </c>
      <c r="J860">
        <v>30.86</v>
      </c>
      <c r="K860" t="s">
        <v>1601</v>
      </c>
      <c r="L860">
        <f>_INVESTEMENTDATA[[#This Row],[Investment_Amount]]*0.18</f>
        <v>361160.1</v>
      </c>
      <c r="M860">
        <f>_INVESTEMENTDATA[[#This Row],[Investment_Amount]]*0.18*25</f>
        <v>9029002.5</v>
      </c>
    </row>
    <row r="861" spans="1:13" x14ac:dyDescent="0.25">
      <c r="A861" t="s">
        <v>1602</v>
      </c>
      <c r="B861" t="s">
        <v>11</v>
      </c>
      <c r="C861">
        <v>34</v>
      </c>
      <c r="D861" t="s">
        <v>46</v>
      </c>
      <c r="E861" t="s">
        <v>19</v>
      </c>
      <c r="F861" t="s">
        <v>30</v>
      </c>
      <c r="G861">
        <v>617794</v>
      </c>
      <c r="H861">
        <f t="shared" ca="1" si="13"/>
        <v>48</v>
      </c>
      <c r="I861">
        <v>31.32</v>
      </c>
      <c r="J861">
        <v>30.3</v>
      </c>
      <c r="K861" t="s">
        <v>1603</v>
      </c>
      <c r="L861">
        <f>_INVESTEMENTDATA[[#This Row],[Investment_Amount]]*0.18</f>
        <v>111202.92</v>
      </c>
      <c r="M861">
        <f>_INVESTEMENTDATA[[#This Row],[Investment_Amount]]*0.18*25</f>
        <v>2780073</v>
      </c>
    </row>
    <row r="862" spans="1:13" x14ac:dyDescent="0.25">
      <c r="A862" t="s">
        <v>1604</v>
      </c>
      <c r="B862" t="s">
        <v>17</v>
      </c>
      <c r="C862">
        <v>43</v>
      </c>
      <c r="D862" t="s">
        <v>28</v>
      </c>
      <c r="E862" t="s">
        <v>50</v>
      </c>
      <c r="F862" t="s">
        <v>47</v>
      </c>
      <c r="G862">
        <v>3440636</v>
      </c>
      <c r="H862">
        <f t="shared" ca="1" si="13"/>
        <v>176</v>
      </c>
      <c r="I862">
        <v>23.87</v>
      </c>
      <c r="J862">
        <v>41.2</v>
      </c>
      <c r="K862" t="s">
        <v>1605</v>
      </c>
      <c r="L862">
        <f>_INVESTEMENTDATA[[#This Row],[Investment_Amount]]*0.18</f>
        <v>619314.48</v>
      </c>
      <c r="M862">
        <f>_INVESTEMENTDATA[[#This Row],[Investment_Amount]]*0.18*25</f>
        <v>15482862</v>
      </c>
    </row>
    <row r="863" spans="1:13" x14ac:dyDescent="0.25">
      <c r="A863" t="s">
        <v>1606</v>
      </c>
      <c r="B863" t="s">
        <v>11</v>
      </c>
      <c r="C863">
        <v>49</v>
      </c>
      <c r="D863" t="s">
        <v>12</v>
      </c>
      <c r="E863" t="s">
        <v>13</v>
      </c>
      <c r="F863" t="s">
        <v>30</v>
      </c>
      <c r="G863">
        <v>3937233</v>
      </c>
      <c r="H863">
        <f t="shared" ca="1" si="13"/>
        <v>87</v>
      </c>
      <c r="I863">
        <v>24.47</v>
      </c>
      <c r="J863">
        <v>28.11</v>
      </c>
      <c r="K863" t="s">
        <v>1607</v>
      </c>
      <c r="L863">
        <f>_INVESTEMENTDATA[[#This Row],[Investment_Amount]]*0.18</f>
        <v>708701.94</v>
      </c>
      <c r="M863">
        <f>_INVESTEMENTDATA[[#This Row],[Investment_Amount]]*0.18*25</f>
        <v>17717548.5</v>
      </c>
    </row>
    <row r="864" spans="1:13" x14ac:dyDescent="0.25">
      <c r="A864" t="s">
        <v>1608</v>
      </c>
      <c r="B864" t="s">
        <v>17</v>
      </c>
      <c r="C864">
        <v>41</v>
      </c>
      <c r="D864" t="s">
        <v>38</v>
      </c>
      <c r="E864" t="s">
        <v>19</v>
      </c>
      <c r="F864" t="s">
        <v>14</v>
      </c>
      <c r="G864">
        <v>1430705</v>
      </c>
      <c r="H864">
        <f t="shared" ca="1" si="13"/>
        <v>117</v>
      </c>
      <c r="I864">
        <v>20.58</v>
      </c>
      <c r="J864">
        <v>20.99</v>
      </c>
      <c r="K864" t="s">
        <v>1609</v>
      </c>
      <c r="L864">
        <f>_INVESTEMENTDATA[[#This Row],[Investment_Amount]]*0.18</f>
        <v>257526.9</v>
      </c>
      <c r="M864">
        <f>_INVESTEMENTDATA[[#This Row],[Investment_Amount]]*0.18*25</f>
        <v>6438172.5</v>
      </c>
    </row>
    <row r="865" spans="1:13" x14ac:dyDescent="0.25">
      <c r="A865" t="s">
        <v>1610</v>
      </c>
      <c r="B865" t="s">
        <v>11</v>
      </c>
      <c r="C865">
        <v>24</v>
      </c>
      <c r="D865" t="s">
        <v>28</v>
      </c>
      <c r="E865" t="s">
        <v>19</v>
      </c>
      <c r="F865" t="s">
        <v>47</v>
      </c>
      <c r="G865">
        <v>3391737</v>
      </c>
      <c r="H865">
        <f t="shared" ca="1" si="13"/>
        <v>52</v>
      </c>
      <c r="I865">
        <v>27.29</v>
      </c>
      <c r="J865">
        <v>32.57</v>
      </c>
      <c r="K865" t="s">
        <v>64</v>
      </c>
      <c r="L865">
        <f>_INVESTEMENTDATA[[#This Row],[Investment_Amount]]*0.18</f>
        <v>610512.66</v>
      </c>
      <c r="M865">
        <f>_INVESTEMENTDATA[[#This Row],[Investment_Amount]]*0.18*25</f>
        <v>15262816.5</v>
      </c>
    </row>
    <row r="866" spans="1:13" x14ac:dyDescent="0.25">
      <c r="A866" t="s">
        <v>1611</v>
      </c>
      <c r="B866" t="s">
        <v>11</v>
      </c>
      <c r="C866">
        <v>31</v>
      </c>
      <c r="D866" t="s">
        <v>12</v>
      </c>
      <c r="E866" t="s">
        <v>50</v>
      </c>
      <c r="F866" t="s">
        <v>35</v>
      </c>
      <c r="G866">
        <v>4917734</v>
      </c>
      <c r="H866">
        <f t="shared" ca="1" si="13"/>
        <v>43</v>
      </c>
      <c r="I866">
        <v>5.58</v>
      </c>
      <c r="J866">
        <v>33.57</v>
      </c>
      <c r="K866" t="s">
        <v>650</v>
      </c>
      <c r="L866">
        <f>_INVESTEMENTDATA[[#This Row],[Investment_Amount]]*0.18</f>
        <v>885192.12</v>
      </c>
      <c r="M866">
        <f>_INVESTEMENTDATA[[#This Row],[Investment_Amount]]*0.18*25</f>
        <v>22129803</v>
      </c>
    </row>
    <row r="867" spans="1:13" x14ac:dyDescent="0.25">
      <c r="A867" t="s">
        <v>1612</v>
      </c>
      <c r="B867" t="s">
        <v>11</v>
      </c>
      <c r="C867">
        <v>61</v>
      </c>
      <c r="D867" t="s">
        <v>28</v>
      </c>
      <c r="E867" t="s">
        <v>23</v>
      </c>
      <c r="F867" t="s">
        <v>41</v>
      </c>
      <c r="G867">
        <v>3723002</v>
      </c>
      <c r="H867">
        <f t="shared" ca="1" si="13"/>
        <v>35</v>
      </c>
      <c r="I867">
        <v>30.92</v>
      </c>
      <c r="J867">
        <v>13.65</v>
      </c>
      <c r="K867" t="s">
        <v>1613</v>
      </c>
      <c r="L867">
        <f>_INVESTEMENTDATA[[#This Row],[Investment_Amount]]*0.18</f>
        <v>670140.36</v>
      </c>
      <c r="M867">
        <f>_INVESTEMENTDATA[[#This Row],[Investment_Amount]]*0.18*25</f>
        <v>16753509</v>
      </c>
    </row>
    <row r="868" spans="1:13" x14ac:dyDescent="0.25">
      <c r="A868" t="s">
        <v>1614</v>
      </c>
      <c r="B868" t="s">
        <v>17</v>
      </c>
      <c r="C868">
        <v>27</v>
      </c>
      <c r="D868" t="s">
        <v>46</v>
      </c>
      <c r="E868" t="s">
        <v>57</v>
      </c>
      <c r="F868" t="s">
        <v>30</v>
      </c>
      <c r="G868">
        <v>4863102</v>
      </c>
      <c r="H868">
        <f t="shared" ca="1" si="13"/>
        <v>26</v>
      </c>
      <c r="I868">
        <v>21.84</v>
      </c>
      <c r="J868">
        <v>27.16</v>
      </c>
      <c r="K868" t="s">
        <v>1615</v>
      </c>
      <c r="L868">
        <f>_INVESTEMENTDATA[[#This Row],[Investment_Amount]]*0.18</f>
        <v>875358.36</v>
      </c>
      <c r="M868">
        <f>_INVESTEMENTDATA[[#This Row],[Investment_Amount]]*0.18*25</f>
        <v>21883959</v>
      </c>
    </row>
    <row r="869" spans="1:13" x14ac:dyDescent="0.25">
      <c r="A869" t="s">
        <v>1616</v>
      </c>
      <c r="B869" t="s">
        <v>11</v>
      </c>
      <c r="C869">
        <v>43</v>
      </c>
      <c r="D869" t="s">
        <v>28</v>
      </c>
      <c r="E869" t="s">
        <v>19</v>
      </c>
      <c r="F869" t="s">
        <v>30</v>
      </c>
      <c r="G869">
        <v>4308942</v>
      </c>
      <c r="H869">
        <f t="shared" ca="1" si="13"/>
        <v>300</v>
      </c>
      <c r="I869">
        <v>21.4</v>
      </c>
      <c r="J869">
        <v>-2.25</v>
      </c>
      <c r="K869" t="s">
        <v>712</v>
      </c>
      <c r="L869">
        <f>_INVESTEMENTDATA[[#This Row],[Investment_Amount]]*0.18</f>
        <v>775609.55999999994</v>
      </c>
      <c r="M869">
        <f>_INVESTEMENTDATA[[#This Row],[Investment_Amount]]*0.18*25</f>
        <v>19390239</v>
      </c>
    </row>
    <row r="870" spans="1:13" x14ac:dyDescent="0.25">
      <c r="A870" t="s">
        <v>1617</v>
      </c>
      <c r="B870" t="s">
        <v>11</v>
      </c>
      <c r="C870">
        <v>47</v>
      </c>
      <c r="D870" t="s">
        <v>12</v>
      </c>
      <c r="E870" t="s">
        <v>50</v>
      </c>
      <c r="F870" t="s">
        <v>14</v>
      </c>
      <c r="G870">
        <v>1136739</v>
      </c>
      <c r="H870">
        <f t="shared" ca="1" si="13"/>
        <v>141</v>
      </c>
      <c r="I870">
        <v>25.48</v>
      </c>
      <c r="J870">
        <v>-2.74</v>
      </c>
      <c r="K870" t="s">
        <v>666</v>
      </c>
      <c r="L870">
        <f>_INVESTEMENTDATA[[#This Row],[Investment_Amount]]*0.18</f>
        <v>204613.02</v>
      </c>
      <c r="M870">
        <f>_INVESTEMENTDATA[[#This Row],[Investment_Amount]]*0.18*25</f>
        <v>5115325.5</v>
      </c>
    </row>
    <row r="871" spans="1:13" x14ac:dyDescent="0.25">
      <c r="A871" t="s">
        <v>1618</v>
      </c>
      <c r="B871" t="s">
        <v>11</v>
      </c>
      <c r="C871">
        <v>22</v>
      </c>
      <c r="D871" t="s">
        <v>46</v>
      </c>
      <c r="E871" t="s">
        <v>50</v>
      </c>
      <c r="F871" t="s">
        <v>14</v>
      </c>
      <c r="G871">
        <v>3221199</v>
      </c>
      <c r="H871">
        <f t="shared" ca="1" si="13"/>
        <v>69</v>
      </c>
      <c r="I871">
        <v>23.34</v>
      </c>
      <c r="J871">
        <v>38.86</v>
      </c>
      <c r="K871" t="s">
        <v>1619</v>
      </c>
      <c r="L871">
        <f>_INVESTEMENTDATA[[#This Row],[Investment_Amount]]*0.18</f>
        <v>579815.81999999995</v>
      </c>
      <c r="M871">
        <f>_INVESTEMENTDATA[[#This Row],[Investment_Amount]]*0.18*25</f>
        <v>14495395.499999998</v>
      </c>
    </row>
    <row r="872" spans="1:13" x14ac:dyDescent="0.25">
      <c r="A872" t="s">
        <v>1620</v>
      </c>
      <c r="B872" t="s">
        <v>17</v>
      </c>
      <c r="C872">
        <v>23</v>
      </c>
      <c r="D872" t="s">
        <v>18</v>
      </c>
      <c r="E872" t="s">
        <v>57</v>
      </c>
      <c r="F872" t="s">
        <v>41</v>
      </c>
      <c r="G872">
        <v>2286379</v>
      </c>
      <c r="H872">
        <f t="shared" ca="1" si="13"/>
        <v>104</v>
      </c>
      <c r="I872">
        <v>8.2899999999999991</v>
      </c>
      <c r="J872">
        <v>-9.58</v>
      </c>
      <c r="K872" t="s">
        <v>1621</v>
      </c>
      <c r="L872">
        <f>_INVESTEMENTDATA[[#This Row],[Investment_Amount]]*0.18</f>
        <v>411548.22</v>
      </c>
      <c r="M872">
        <f>_INVESTEMENTDATA[[#This Row],[Investment_Amount]]*0.18*25</f>
        <v>10288705.5</v>
      </c>
    </row>
    <row r="873" spans="1:13" x14ac:dyDescent="0.25">
      <c r="A873" t="s">
        <v>1622</v>
      </c>
      <c r="B873" t="s">
        <v>11</v>
      </c>
      <c r="C873">
        <v>51</v>
      </c>
      <c r="D873" t="s">
        <v>46</v>
      </c>
      <c r="E873" t="s">
        <v>57</v>
      </c>
      <c r="F873" t="s">
        <v>41</v>
      </c>
      <c r="G873">
        <v>1182047</v>
      </c>
      <c r="H873">
        <f t="shared" ca="1" si="13"/>
        <v>336</v>
      </c>
      <c r="I873">
        <v>11.75</v>
      </c>
      <c r="J873">
        <v>40.450000000000003</v>
      </c>
      <c r="K873" t="s">
        <v>1623</v>
      </c>
      <c r="L873">
        <f>_INVESTEMENTDATA[[#This Row],[Investment_Amount]]*0.18</f>
        <v>212768.46</v>
      </c>
      <c r="M873">
        <f>_INVESTEMENTDATA[[#This Row],[Investment_Amount]]*0.18*25</f>
        <v>5319211.5</v>
      </c>
    </row>
    <row r="874" spans="1:13" x14ac:dyDescent="0.25">
      <c r="A874" t="s">
        <v>1624</v>
      </c>
      <c r="B874" t="s">
        <v>17</v>
      </c>
      <c r="C874">
        <v>51</v>
      </c>
      <c r="D874" t="s">
        <v>18</v>
      </c>
      <c r="E874" t="s">
        <v>50</v>
      </c>
      <c r="F874" t="s">
        <v>30</v>
      </c>
      <c r="G874">
        <v>2057010</v>
      </c>
      <c r="H874">
        <f t="shared" ca="1" si="13"/>
        <v>218</v>
      </c>
      <c r="I874">
        <v>34.67</v>
      </c>
      <c r="J874">
        <v>21.87</v>
      </c>
      <c r="K874" t="s">
        <v>1625</v>
      </c>
      <c r="L874">
        <f>_INVESTEMENTDATA[[#This Row],[Investment_Amount]]*0.18</f>
        <v>370261.8</v>
      </c>
      <c r="M874">
        <f>_INVESTEMENTDATA[[#This Row],[Investment_Amount]]*0.18*25</f>
        <v>9256545</v>
      </c>
    </row>
    <row r="875" spans="1:13" x14ac:dyDescent="0.25">
      <c r="A875" t="s">
        <v>1626</v>
      </c>
      <c r="B875" t="s">
        <v>17</v>
      </c>
      <c r="C875">
        <v>29</v>
      </c>
      <c r="D875" t="s">
        <v>28</v>
      </c>
      <c r="E875" t="s">
        <v>13</v>
      </c>
      <c r="F875" t="s">
        <v>30</v>
      </c>
      <c r="G875">
        <v>1416474</v>
      </c>
      <c r="H875">
        <f t="shared" ca="1" si="13"/>
        <v>136</v>
      </c>
      <c r="I875">
        <v>18.75</v>
      </c>
      <c r="J875">
        <v>34.51</v>
      </c>
      <c r="K875" t="s">
        <v>1021</v>
      </c>
      <c r="L875">
        <f>_INVESTEMENTDATA[[#This Row],[Investment_Amount]]*0.18</f>
        <v>254965.31999999998</v>
      </c>
      <c r="M875">
        <f>_INVESTEMENTDATA[[#This Row],[Investment_Amount]]*0.18*25</f>
        <v>6374132.9999999991</v>
      </c>
    </row>
    <row r="876" spans="1:13" x14ac:dyDescent="0.25">
      <c r="A876" t="s">
        <v>1627</v>
      </c>
      <c r="B876" t="s">
        <v>11</v>
      </c>
      <c r="C876">
        <v>52</v>
      </c>
      <c r="D876" t="s">
        <v>38</v>
      </c>
      <c r="E876" t="s">
        <v>29</v>
      </c>
      <c r="F876" t="s">
        <v>47</v>
      </c>
      <c r="G876">
        <v>4957322</v>
      </c>
      <c r="H876">
        <f t="shared" ca="1" si="13"/>
        <v>208</v>
      </c>
      <c r="I876">
        <v>6.05</v>
      </c>
      <c r="J876">
        <v>40.56</v>
      </c>
      <c r="K876" t="s">
        <v>1628</v>
      </c>
      <c r="L876">
        <f>_INVESTEMENTDATA[[#This Row],[Investment_Amount]]*0.18</f>
        <v>892317.96</v>
      </c>
      <c r="M876">
        <f>_INVESTEMENTDATA[[#This Row],[Investment_Amount]]*0.18*25</f>
        <v>22307949</v>
      </c>
    </row>
    <row r="877" spans="1:13" x14ac:dyDescent="0.25">
      <c r="A877" t="s">
        <v>1629</v>
      </c>
      <c r="B877" t="s">
        <v>11</v>
      </c>
      <c r="C877">
        <v>36</v>
      </c>
      <c r="D877" t="s">
        <v>46</v>
      </c>
      <c r="E877" t="s">
        <v>23</v>
      </c>
      <c r="F877" t="s">
        <v>47</v>
      </c>
      <c r="G877">
        <v>4331293</v>
      </c>
      <c r="H877">
        <f t="shared" ca="1" si="13"/>
        <v>11</v>
      </c>
      <c r="I877">
        <v>33.03</v>
      </c>
      <c r="J877">
        <v>35.270000000000003</v>
      </c>
      <c r="K877" t="s">
        <v>885</v>
      </c>
      <c r="L877">
        <f>_INVESTEMENTDATA[[#This Row],[Investment_Amount]]*0.18</f>
        <v>779632.74</v>
      </c>
      <c r="M877">
        <f>_INVESTEMENTDATA[[#This Row],[Investment_Amount]]*0.18*25</f>
        <v>19490818.5</v>
      </c>
    </row>
    <row r="878" spans="1:13" x14ac:dyDescent="0.25">
      <c r="A878" t="s">
        <v>1630</v>
      </c>
      <c r="B878" t="s">
        <v>11</v>
      </c>
      <c r="C878">
        <v>27</v>
      </c>
      <c r="D878" t="s">
        <v>12</v>
      </c>
      <c r="E878" t="s">
        <v>13</v>
      </c>
      <c r="F878" t="s">
        <v>35</v>
      </c>
      <c r="G878">
        <v>4293674</v>
      </c>
      <c r="H878">
        <f t="shared" ca="1" si="13"/>
        <v>106</v>
      </c>
      <c r="I878">
        <v>33.46</v>
      </c>
      <c r="J878">
        <v>9.31</v>
      </c>
      <c r="K878" t="s">
        <v>1631</v>
      </c>
      <c r="L878">
        <f>_INVESTEMENTDATA[[#This Row],[Investment_Amount]]*0.18</f>
        <v>772861.32</v>
      </c>
      <c r="M878">
        <f>_INVESTEMENTDATA[[#This Row],[Investment_Amount]]*0.18*25</f>
        <v>19321533</v>
      </c>
    </row>
    <row r="879" spans="1:13" x14ac:dyDescent="0.25">
      <c r="A879" t="s">
        <v>1632</v>
      </c>
      <c r="B879" t="s">
        <v>11</v>
      </c>
      <c r="C879">
        <v>45</v>
      </c>
      <c r="D879" t="s">
        <v>18</v>
      </c>
      <c r="E879" t="s">
        <v>23</v>
      </c>
      <c r="F879" t="s">
        <v>35</v>
      </c>
      <c r="G879">
        <v>1339434</v>
      </c>
      <c r="H879">
        <f t="shared" ca="1" si="13"/>
        <v>250</v>
      </c>
      <c r="I879">
        <v>13.21</v>
      </c>
      <c r="J879">
        <v>-2.9</v>
      </c>
      <c r="K879" t="s">
        <v>178</v>
      </c>
      <c r="L879">
        <f>_INVESTEMENTDATA[[#This Row],[Investment_Amount]]*0.18</f>
        <v>241098.12</v>
      </c>
      <c r="M879">
        <f>_INVESTEMENTDATA[[#This Row],[Investment_Amount]]*0.18*25</f>
        <v>6027453</v>
      </c>
    </row>
    <row r="880" spans="1:13" x14ac:dyDescent="0.25">
      <c r="A880" t="s">
        <v>1633</v>
      </c>
      <c r="B880" t="s">
        <v>17</v>
      </c>
      <c r="C880">
        <v>42</v>
      </c>
      <c r="D880" t="s">
        <v>28</v>
      </c>
      <c r="E880" t="s">
        <v>13</v>
      </c>
      <c r="F880" t="s">
        <v>41</v>
      </c>
      <c r="G880">
        <v>4164697</v>
      </c>
      <c r="H880">
        <f t="shared" ca="1" si="13"/>
        <v>25</v>
      </c>
      <c r="I880">
        <v>31.01</v>
      </c>
      <c r="J880">
        <v>3.78</v>
      </c>
      <c r="K880" t="s">
        <v>1634</v>
      </c>
      <c r="L880">
        <f>_INVESTEMENTDATA[[#This Row],[Investment_Amount]]*0.18</f>
        <v>749645.46</v>
      </c>
      <c r="M880">
        <f>_INVESTEMENTDATA[[#This Row],[Investment_Amount]]*0.18*25</f>
        <v>18741136.5</v>
      </c>
    </row>
    <row r="881" spans="1:13" x14ac:dyDescent="0.25">
      <c r="A881" t="s">
        <v>1635</v>
      </c>
      <c r="B881" t="s">
        <v>17</v>
      </c>
      <c r="C881">
        <v>51</v>
      </c>
      <c r="D881" t="s">
        <v>38</v>
      </c>
      <c r="E881" t="s">
        <v>23</v>
      </c>
      <c r="F881" t="s">
        <v>20</v>
      </c>
      <c r="G881">
        <v>4968461</v>
      </c>
      <c r="H881">
        <f t="shared" ca="1" si="13"/>
        <v>263</v>
      </c>
      <c r="I881">
        <v>23.98</v>
      </c>
      <c r="J881">
        <v>19.53</v>
      </c>
      <c r="K881" t="s">
        <v>228</v>
      </c>
      <c r="L881">
        <f>_INVESTEMENTDATA[[#This Row],[Investment_Amount]]*0.18</f>
        <v>894322.98</v>
      </c>
      <c r="M881">
        <f>_INVESTEMENTDATA[[#This Row],[Investment_Amount]]*0.18*25</f>
        <v>22358074.5</v>
      </c>
    </row>
    <row r="882" spans="1:13" x14ac:dyDescent="0.25">
      <c r="A882" t="s">
        <v>1636</v>
      </c>
      <c r="B882" t="s">
        <v>11</v>
      </c>
      <c r="C882">
        <v>33</v>
      </c>
      <c r="D882" t="s">
        <v>46</v>
      </c>
      <c r="E882" t="s">
        <v>19</v>
      </c>
      <c r="F882" t="s">
        <v>35</v>
      </c>
      <c r="G882">
        <v>1145437</v>
      </c>
      <c r="H882">
        <f t="shared" ca="1" si="13"/>
        <v>319</v>
      </c>
      <c r="I882">
        <v>16.850000000000001</v>
      </c>
      <c r="J882">
        <v>23.97</v>
      </c>
      <c r="K882" t="s">
        <v>1025</v>
      </c>
      <c r="L882">
        <f>_INVESTEMENTDATA[[#This Row],[Investment_Amount]]*0.18</f>
        <v>206178.66</v>
      </c>
      <c r="M882">
        <f>_INVESTEMENTDATA[[#This Row],[Investment_Amount]]*0.18*25</f>
        <v>5154466.5</v>
      </c>
    </row>
    <row r="883" spans="1:13" x14ac:dyDescent="0.25">
      <c r="A883" t="s">
        <v>1637</v>
      </c>
      <c r="B883" t="s">
        <v>17</v>
      </c>
      <c r="C883">
        <v>41</v>
      </c>
      <c r="D883" t="s">
        <v>12</v>
      </c>
      <c r="E883" t="s">
        <v>13</v>
      </c>
      <c r="F883" t="s">
        <v>14</v>
      </c>
      <c r="G883">
        <v>2955031</v>
      </c>
      <c r="H883">
        <f t="shared" ca="1" si="13"/>
        <v>159</v>
      </c>
      <c r="I883">
        <v>33.299999999999997</v>
      </c>
      <c r="J883">
        <v>-3.39</v>
      </c>
      <c r="K883" t="s">
        <v>1638</v>
      </c>
      <c r="L883">
        <f>_INVESTEMENTDATA[[#This Row],[Investment_Amount]]*0.18</f>
        <v>531905.57999999996</v>
      </c>
      <c r="M883">
        <f>_INVESTEMENTDATA[[#This Row],[Investment_Amount]]*0.18*25</f>
        <v>13297639.499999998</v>
      </c>
    </row>
    <row r="884" spans="1:13" x14ac:dyDescent="0.25">
      <c r="A884" t="s">
        <v>1639</v>
      </c>
      <c r="B884" t="s">
        <v>17</v>
      </c>
      <c r="C884">
        <v>30</v>
      </c>
      <c r="D884" t="s">
        <v>46</v>
      </c>
      <c r="E884" t="s">
        <v>23</v>
      </c>
      <c r="F884" t="s">
        <v>47</v>
      </c>
      <c r="G884">
        <v>3590192</v>
      </c>
      <c r="H884">
        <f t="shared" ca="1" si="13"/>
        <v>123</v>
      </c>
      <c r="I884">
        <v>33.770000000000003</v>
      </c>
      <c r="J884">
        <v>7.86</v>
      </c>
      <c r="K884" t="s">
        <v>525</v>
      </c>
      <c r="L884">
        <f>_INVESTEMENTDATA[[#This Row],[Investment_Amount]]*0.18</f>
        <v>646234.55999999994</v>
      </c>
      <c r="M884">
        <f>_INVESTEMENTDATA[[#This Row],[Investment_Amount]]*0.18*25</f>
        <v>16155863.999999998</v>
      </c>
    </row>
    <row r="885" spans="1:13" x14ac:dyDescent="0.25">
      <c r="A885" t="s">
        <v>1640</v>
      </c>
      <c r="B885" t="s">
        <v>11</v>
      </c>
      <c r="C885">
        <v>29</v>
      </c>
      <c r="D885" t="s">
        <v>38</v>
      </c>
      <c r="E885" t="s">
        <v>57</v>
      </c>
      <c r="F885" t="s">
        <v>41</v>
      </c>
      <c r="G885">
        <v>2557161</v>
      </c>
      <c r="H885">
        <f t="shared" ca="1" si="13"/>
        <v>176</v>
      </c>
      <c r="I885">
        <v>13.89</v>
      </c>
      <c r="J885">
        <v>23.62</v>
      </c>
      <c r="K885" t="s">
        <v>1641</v>
      </c>
      <c r="L885">
        <f>_INVESTEMENTDATA[[#This Row],[Investment_Amount]]*0.18</f>
        <v>460288.98</v>
      </c>
      <c r="M885">
        <f>_INVESTEMENTDATA[[#This Row],[Investment_Amount]]*0.18*25</f>
        <v>11507224.5</v>
      </c>
    </row>
    <row r="886" spans="1:13" x14ac:dyDescent="0.25">
      <c r="A886" t="s">
        <v>1642</v>
      </c>
      <c r="B886" t="s">
        <v>11</v>
      </c>
      <c r="C886">
        <v>35</v>
      </c>
      <c r="D886" t="s">
        <v>12</v>
      </c>
      <c r="E886" t="s">
        <v>13</v>
      </c>
      <c r="F886" t="s">
        <v>47</v>
      </c>
      <c r="G886">
        <v>1721458</v>
      </c>
      <c r="H886">
        <f t="shared" ca="1" si="13"/>
        <v>264</v>
      </c>
      <c r="I886">
        <v>13.63</v>
      </c>
      <c r="J886">
        <v>25.99</v>
      </c>
      <c r="K886" t="s">
        <v>1643</v>
      </c>
      <c r="L886">
        <f>_INVESTEMENTDATA[[#This Row],[Investment_Amount]]*0.18</f>
        <v>309862.44</v>
      </c>
      <c r="M886">
        <f>_INVESTEMENTDATA[[#This Row],[Investment_Amount]]*0.18*25</f>
        <v>7746561</v>
      </c>
    </row>
    <row r="887" spans="1:13" x14ac:dyDescent="0.25">
      <c r="A887" t="s">
        <v>1644</v>
      </c>
      <c r="B887" t="s">
        <v>17</v>
      </c>
      <c r="C887">
        <v>65</v>
      </c>
      <c r="D887" t="s">
        <v>38</v>
      </c>
      <c r="E887" t="s">
        <v>23</v>
      </c>
      <c r="F887" t="s">
        <v>14</v>
      </c>
      <c r="G887">
        <v>1832220</v>
      </c>
      <c r="H887">
        <f t="shared" ca="1" si="13"/>
        <v>12</v>
      </c>
      <c r="I887">
        <v>23.18</v>
      </c>
      <c r="J887">
        <v>13.08</v>
      </c>
      <c r="K887" t="s">
        <v>1645</v>
      </c>
      <c r="L887">
        <f>_INVESTEMENTDATA[[#This Row],[Investment_Amount]]*0.18</f>
        <v>329799.59999999998</v>
      </c>
      <c r="M887">
        <f>_INVESTEMENTDATA[[#This Row],[Investment_Amount]]*0.18*25</f>
        <v>8244989.9999999991</v>
      </c>
    </row>
    <row r="888" spans="1:13" x14ac:dyDescent="0.25">
      <c r="A888" t="s">
        <v>1646</v>
      </c>
      <c r="B888" t="s">
        <v>11</v>
      </c>
      <c r="C888">
        <v>22</v>
      </c>
      <c r="D888" t="s">
        <v>38</v>
      </c>
      <c r="E888" t="s">
        <v>23</v>
      </c>
      <c r="F888" t="s">
        <v>35</v>
      </c>
      <c r="G888">
        <v>201373</v>
      </c>
      <c r="H888">
        <f t="shared" ca="1" si="13"/>
        <v>333</v>
      </c>
      <c r="I888">
        <v>16.75</v>
      </c>
      <c r="J888">
        <v>3.59</v>
      </c>
      <c r="K888" t="s">
        <v>895</v>
      </c>
      <c r="L888">
        <f>_INVESTEMENTDATA[[#This Row],[Investment_Amount]]*0.18</f>
        <v>36247.14</v>
      </c>
      <c r="M888">
        <f>_INVESTEMENTDATA[[#This Row],[Investment_Amount]]*0.18*25</f>
        <v>906178.5</v>
      </c>
    </row>
    <row r="889" spans="1:13" x14ac:dyDescent="0.25">
      <c r="A889" t="s">
        <v>1647</v>
      </c>
      <c r="B889" t="s">
        <v>17</v>
      </c>
      <c r="C889">
        <v>64</v>
      </c>
      <c r="D889" t="s">
        <v>12</v>
      </c>
      <c r="E889" t="s">
        <v>50</v>
      </c>
      <c r="F889" t="s">
        <v>47</v>
      </c>
      <c r="G889">
        <v>708309</v>
      </c>
      <c r="H889">
        <f t="shared" ca="1" si="13"/>
        <v>150</v>
      </c>
      <c r="I889">
        <v>28.48</v>
      </c>
      <c r="J889">
        <v>6.32</v>
      </c>
      <c r="K889" t="s">
        <v>1648</v>
      </c>
      <c r="L889">
        <f>_INVESTEMENTDATA[[#This Row],[Investment_Amount]]*0.18</f>
        <v>127495.62</v>
      </c>
      <c r="M889">
        <f>_INVESTEMENTDATA[[#This Row],[Investment_Amount]]*0.18*25</f>
        <v>3187390.5</v>
      </c>
    </row>
    <row r="890" spans="1:13" x14ac:dyDescent="0.25">
      <c r="A890" t="s">
        <v>1649</v>
      </c>
      <c r="B890" t="s">
        <v>17</v>
      </c>
      <c r="C890">
        <v>27</v>
      </c>
      <c r="D890" t="s">
        <v>18</v>
      </c>
      <c r="E890" t="s">
        <v>57</v>
      </c>
      <c r="F890" t="s">
        <v>20</v>
      </c>
      <c r="G890">
        <v>3687969</v>
      </c>
      <c r="H890">
        <f t="shared" ca="1" si="13"/>
        <v>89</v>
      </c>
      <c r="I890">
        <v>10.66</v>
      </c>
      <c r="J890">
        <v>-9.98</v>
      </c>
      <c r="K890" t="s">
        <v>1650</v>
      </c>
      <c r="L890">
        <f>_INVESTEMENTDATA[[#This Row],[Investment_Amount]]*0.18</f>
        <v>663834.41999999993</v>
      </c>
      <c r="M890">
        <f>_INVESTEMENTDATA[[#This Row],[Investment_Amount]]*0.18*25</f>
        <v>16595860.499999998</v>
      </c>
    </row>
    <row r="891" spans="1:13" x14ac:dyDescent="0.25">
      <c r="A891" t="s">
        <v>1651</v>
      </c>
      <c r="B891" t="s">
        <v>11</v>
      </c>
      <c r="C891">
        <v>49</v>
      </c>
      <c r="D891" t="s">
        <v>12</v>
      </c>
      <c r="E891" t="s">
        <v>13</v>
      </c>
      <c r="F891" t="s">
        <v>20</v>
      </c>
      <c r="G891">
        <v>4621601</v>
      </c>
      <c r="H891">
        <f t="shared" ca="1" si="13"/>
        <v>252</v>
      </c>
      <c r="I891">
        <v>24.15</v>
      </c>
      <c r="J891">
        <v>3.18</v>
      </c>
      <c r="K891" t="s">
        <v>1652</v>
      </c>
      <c r="L891">
        <f>_INVESTEMENTDATA[[#This Row],[Investment_Amount]]*0.18</f>
        <v>831888.17999999993</v>
      </c>
      <c r="M891">
        <f>_INVESTEMENTDATA[[#This Row],[Investment_Amount]]*0.18*25</f>
        <v>20797204.5</v>
      </c>
    </row>
    <row r="892" spans="1:13" x14ac:dyDescent="0.25">
      <c r="A892" t="s">
        <v>1653</v>
      </c>
      <c r="B892" t="s">
        <v>11</v>
      </c>
      <c r="C892">
        <v>48</v>
      </c>
      <c r="D892" t="s">
        <v>18</v>
      </c>
      <c r="E892" t="s">
        <v>29</v>
      </c>
      <c r="F892" t="s">
        <v>35</v>
      </c>
      <c r="G892">
        <v>447639</v>
      </c>
      <c r="H892">
        <f t="shared" ca="1" si="13"/>
        <v>25</v>
      </c>
      <c r="I892">
        <v>21.71</v>
      </c>
      <c r="J892">
        <v>4.05</v>
      </c>
      <c r="K892" t="s">
        <v>874</v>
      </c>
      <c r="L892">
        <f>_INVESTEMENTDATA[[#This Row],[Investment_Amount]]*0.18</f>
        <v>80575.02</v>
      </c>
      <c r="M892">
        <f>_INVESTEMENTDATA[[#This Row],[Investment_Amount]]*0.18*25</f>
        <v>2014375.5</v>
      </c>
    </row>
    <row r="893" spans="1:13" x14ac:dyDescent="0.25">
      <c r="A893" t="s">
        <v>1654</v>
      </c>
      <c r="B893" t="s">
        <v>11</v>
      </c>
      <c r="C893">
        <v>34</v>
      </c>
      <c r="D893" t="s">
        <v>12</v>
      </c>
      <c r="E893" t="s">
        <v>29</v>
      </c>
      <c r="F893" t="s">
        <v>20</v>
      </c>
      <c r="G893">
        <v>1333855</v>
      </c>
      <c r="H893">
        <f t="shared" ca="1" si="13"/>
        <v>184</v>
      </c>
      <c r="I893">
        <v>21.57</v>
      </c>
      <c r="J893">
        <v>16.59</v>
      </c>
      <c r="K893" t="s">
        <v>1593</v>
      </c>
      <c r="L893">
        <f>_INVESTEMENTDATA[[#This Row],[Investment_Amount]]*0.18</f>
        <v>240093.9</v>
      </c>
      <c r="M893">
        <f>_INVESTEMENTDATA[[#This Row],[Investment_Amount]]*0.18*25</f>
        <v>6002347.5</v>
      </c>
    </row>
    <row r="894" spans="1:13" x14ac:dyDescent="0.25">
      <c r="A894" t="s">
        <v>1655</v>
      </c>
      <c r="B894" t="s">
        <v>17</v>
      </c>
      <c r="C894">
        <v>30</v>
      </c>
      <c r="D894" t="s">
        <v>38</v>
      </c>
      <c r="E894" t="s">
        <v>23</v>
      </c>
      <c r="F894" t="s">
        <v>20</v>
      </c>
      <c r="G894">
        <v>3668472</v>
      </c>
      <c r="H894">
        <f t="shared" ca="1" si="13"/>
        <v>45</v>
      </c>
      <c r="I894">
        <v>27.64</v>
      </c>
      <c r="J894">
        <v>13.96</v>
      </c>
      <c r="K894" t="s">
        <v>1656</v>
      </c>
      <c r="L894">
        <f>_INVESTEMENTDATA[[#This Row],[Investment_Amount]]*0.18</f>
        <v>660324.96</v>
      </c>
      <c r="M894">
        <f>_INVESTEMENTDATA[[#This Row],[Investment_Amount]]*0.18*25</f>
        <v>16508124</v>
      </c>
    </row>
    <row r="895" spans="1:13" x14ac:dyDescent="0.25">
      <c r="A895" t="s">
        <v>1657</v>
      </c>
      <c r="B895" t="s">
        <v>17</v>
      </c>
      <c r="C895">
        <v>22</v>
      </c>
      <c r="D895" t="s">
        <v>38</v>
      </c>
      <c r="E895" t="s">
        <v>13</v>
      </c>
      <c r="F895" t="s">
        <v>14</v>
      </c>
      <c r="G895">
        <v>4768210</v>
      </c>
      <c r="H895">
        <f t="shared" ca="1" si="13"/>
        <v>78</v>
      </c>
      <c r="I895">
        <v>27.22</v>
      </c>
      <c r="J895">
        <v>28.67</v>
      </c>
      <c r="K895" t="s">
        <v>1658</v>
      </c>
      <c r="L895">
        <f>_INVESTEMENTDATA[[#This Row],[Investment_Amount]]*0.18</f>
        <v>858277.79999999993</v>
      </c>
      <c r="M895">
        <f>_INVESTEMENTDATA[[#This Row],[Investment_Amount]]*0.18*25</f>
        <v>21456945</v>
      </c>
    </row>
    <row r="896" spans="1:13" x14ac:dyDescent="0.25">
      <c r="A896" t="s">
        <v>1659</v>
      </c>
      <c r="B896" t="s">
        <v>17</v>
      </c>
      <c r="C896">
        <v>37</v>
      </c>
      <c r="D896" t="s">
        <v>38</v>
      </c>
      <c r="E896" t="s">
        <v>23</v>
      </c>
      <c r="F896" t="s">
        <v>47</v>
      </c>
      <c r="G896">
        <v>4054659</v>
      </c>
      <c r="H896">
        <f t="shared" ca="1" si="13"/>
        <v>76</v>
      </c>
      <c r="I896">
        <v>20.5</v>
      </c>
      <c r="J896">
        <v>12.56</v>
      </c>
      <c r="K896" t="s">
        <v>1660</v>
      </c>
      <c r="L896">
        <f>_INVESTEMENTDATA[[#This Row],[Investment_Amount]]*0.18</f>
        <v>729838.62</v>
      </c>
      <c r="M896">
        <f>_INVESTEMENTDATA[[#This Row],[Investment_Amount]]*0.18*25</f>
        <v>18245965.5</v>
      </c>
    </row>
    <row r="897" spans="1:13" x14ac:dyDescent="0.25">
      <c r="A897" t="s">
        <v>1661</v>
      </c>
      <c r="B897" t="s">
        <v>11</v>
      </c>
      <c r="C897">
        <v>47</v>
      </c>
      <c r="D897" t="s">
        <v>12</v>
      </c>
      <c r="E897" t="s">
        <v>23</v>
      </c>
      <c r="F897" t="s">
        <v>47</v>
      </c>
      <c r="G897">
        <v>3704879</v>
      </c>
      <c r="H897">
        <f t="shared" ca="1" si="13"/>
        <v>74</v>
      </c>
      <c r="I897">
        <v>19.440000000000001</v>
      </c>
      <c r="J897">
        <v>15.67</v>
      </c>
      <c r="K897" t="s">
        <v>182</v>
      </c>
      <c r="L897">
        <f>_INVESTEMENTDATA[[#This Row],[Investment_Amount]]*0.18</f>
        <v>666878.22</v>
      </c>
      <c r="M897">
        <f>_INVESTEMENTDATA[[#This Row],[Investment_Amount]]*0.18*25</f>
        <v>16671955.5</v>
      </c>
    </row>
    <row r="898" spans="1:13" x14ac:dyDescent="0.25">
      <c r="A898" t="s">
        <v>1662</v>
      </c>
      <c r="B898" t="s">
        <v>17</v>
      </c>
      <c r="C898">
        <v>59</v>
      </c>
      <c r="D898" t="s">
        <v>28</v>
      </c>
      <c r="E898" t="s">
        <v>29</v>
      </c>
      <c r="F898" t="s">
        <v>20</v>
      </c>
      <c r="G898">
        <v>3061248</v>
      </c>
      <c r="H898">
        <f t="shared" ref="H898:H961" ca="1" si="14">RANDBETWEEN(7,365)</f>
        <v>208</v>
      </c>
      <c r="I898">
        <v>26.37</v>
      </c>
      <c r="J898">
        <v>24.54</v>
      </c>
      <c r="K898" t="s">
        <v>399</v>
      </c>
      <c r="L898">
        <f>_INVESTEMENTDATA[[#This Row],[Investment_Amount]]*0.18</f>
        <v>551024.64000000001</v>
      </c>
      <c r="M898">
        <f>_INVESTEMENTDATA[[#This Row],[Investment_Amount]]*0.18*25</f>
        <v>13775616</v>
      </c>
    </row>
    <row r="899" spans="1:13" x14ac:dyDescent="0.25">
      <c r="A899" t="s">
        <v>1663</v>
      </c>
      <c r="B899" t="s">
        <v>17</v>
      </c>
      <c r="C899">
        <v>56</v>
      </c>
      <c r="D899" t="s">
        <v>28</v>
      </c>
      <c r="E899" t="s">
        <v>50</v>
      </c>
      <c r="F899" t="s">
        <v>14</v>
      </c>
      <c r="G899">
        <v>4184229</v>
      </c>
      <c r="H899">
        <f t="shared" ca="1" si="14"/>
        <v>76</v>
      </c>
      <c r="I899">
        <v>29.04</v>
      </c>
      <c r="J899">
        <v>5.04</v>
      </c>
      <c r="K899" t="s">
        <v>725</v>
      </c>
      <c r="L899">
        <f>_INVESTEMENTDATA[[#This Row],[Investment_Amount]]*0.18</f>
        <v>753161.22</v>
      </c>
      <c r="M899">
        <f>_INVESTEMENTDATA[[#This Row],[Investment_Amount]]*0.18*25</f>
        <v>18829030.5</v>
      </c>
    </row>
    <row r="900" spans="1:13" x14ac:dyDescent="0.25">
      <c r="A900" t="s">
        <v>1664</v>
      </c>
      <c r="B900" t="s">
        <v>17</v>
      </c>
      <c r="C900">
        <v>45</v>
      </c>
      <c r="D900" t="s">
        <v>46</v>
      </c>
      <c r="E900" t="s">
        <v>50</v>
      </c>
      <c r="F900" t="s">
        <v>20</v>
      </c>
      <c r="G900">
        <v>2863688</v>
      </c>
      <c r="H900">
        <f t="shared" ca="1" si="14"/>
        <v>174</v>
      </c>
      <c r="I900">
        <v>5.44</v>
      </c>
      <c r="J900">
        <v>13.28</v>
      </c>
      <c r="K900" t="s">
        <v>415</v>
      </c>
      <c r="L900">
        <f>_INVESTEMENTDATA[[#This Row],[Investment_Amount]]*0.18</f>
        <v>515463.83999999997</v>
      </c>
      <c r="M900">
        <f>_INVESTEMENTDATA[[#This Row],[Investment_Amount]]*0.18*25</f>
        <v>12886596</v>
      </c>
    </row>
    <row r="901" spans="1:13" x14ac:dyDescent="0.25">
      <c r="A901" t="s">
        <v>1665</v>
      </c>
      <c r="B901" t="s">
        <v>17</v>
      </c>
      <c r="C901">
        <v>38</v>
      </c>
      <c r="D901" t="s">
        <v>12</v>
      </c>
      <c r="E901" t="s">
        <v>23</v>
      </c>
      <c r="F901" t="s">
        <v>47</v>
      </c>
      <c r="G901">
        <v>4184417</v>
      </c>
      <c r="H901">
        <f t="shared" ca="1" si="14"/>
        <v>315</v>
      </c>
      <c r="I901">
        <v>34.1</v>
      </c>
      <c r="J901">
        <v>34.049999999999997</v>
      </c>
      <c r="K901" t="s">
        <v>1666</v>
      </c>
      <c r="L901">
        <f>_INVESTEMENTDATA[[#This Row],[Investment_Amount]]*0.18</f>
        <v>753195.05999999994</v>
      </c>
      <c r="M901">
        <f>_INVESTEMENTDATA[[#This Row],[Investment_Amount]]*0.18*25</f>
        <v>18829876.5</v>
      </c>
    </row>
    <row r="902" spans="1:13" x14ac:dyDescent="0.25">
      <c r="A902" t="s">
        <v>1667</v>
      </c>
      <c r="B902" t="s">
        <v>11</v>
      </c>
      <c r="C902">
        <v>24</v>
      </c>
      <c r="D902" t="s">
        <v>38</v>
      </c>
      <c r="E902" t="s">
        <v>19</v>
      </c>
      <c r="F902" t="s">
        <v>14</v>
      </c>
      <c r="G902">
        <v>4003703</v>
      </c>
      <c r="H902">
        <f t="shared" ca="1" si="14"/>
        <v>261</v>
      </c>
      <c r="I902">
        <v>32.130000000000003</v>
      </c>
      <c r="J902">
        <v>38.75</v>
      </c>
      <c r="K902" t="s">
        <v>1668</v>
      </c>
      <c r="L902">
        <f>_INVESTEMENTDATA[[#This Row],[Investment_Amount]]*0.18</f>
        <v>720666.53999999992</v>
      </c>
      <c r="M902">
        <f>_INVESTEMENTDATA[[#This Row],[Investment_Amount]]*0.18*25</f>
        <v>18016663.499999996</v>
      </c>
    </row>
    <row r="903" spans="1:13" x14ac:dyDescent="0.25">
      <c r="A903" t="s">
        <v>1669</v>
      </c>
      <c r="B903" t="s">
        <v>11</v>
      </c>
      <c r="C903">
        <v>27</v>
      </c>
      <c r="D903" t="s">
        <v>46</v>
      </c>
      <c r="E903" t="s">
        <v>19</v>
      </c>
      <c r="F903" t="s">
        <v>47</v>
      </c>
      <c r="G903">
        <v>2268967</v>
      </c>
      <c r="H903">
        <f t="shared" ca="1" si="14"/>
        <v>97</v>
      </c>
      <c r="I903">
        <v>19.8</v>
      </c>
      <c r="J903">
        <v>-8.75</v>
      </c>
      <c r="K903" t="s">
        <v>1670</v>
      </c>
      <c r="L903">
        <f>_INVESTEMENTDATA[[#This Row],[Investment_Amount]]*0.18</f>
        <v>408414.06</v>
      </c>
      <c r="M903">
        <f>_INVESTEMENTDATA[[#This Row],[Investment_Amount]]*0.18*25</f>
        <v>10210351.5</v>
      </c>
    </row>
    <row r="904" spans="1:13" x14ac:dyDescent="0.25">
      <c r="A904" t="s">
        <v>1671</v>
      </c>
      <c r="B904" t="s">
        <v>17</v>
      </c>
      <c r="C904">
        <v>28</v>
      </c>
      <c r="D904" t="s">
        <v>46</v>
      </c>
      <c r="E904" t="s">
        <v>19</v>
      </c>
      <c r="F904" t="s">
        <v>41</v>
      </c>
      <c r="G904">
        <v>4189898</v>
      </c>
      <c r="H904">
        <f t="shared" ca="1" si="14"/>
        <v>336</v>
      </c>
      <c r="I904">
        <v>19.04</v>
      </c>
      <c r="J904">
        <v>-2.08</v>
      </c>
      <c r="K904" t="s">
        <v>1672</v>
      </c>
      <c r="L904">
        <f>_INVESTEMENTDATA[[#This Row],[Investment_Amount]]*0.18</f>
        <v>754181.64</v>
      </c>
      <c r="M904">
        <f>_INVESTEMENTDATA[[#This Row],[Investment_Amount]]*0.18*25</f>
        <v>18854541</v>
      </c>
    </row>
    <row r="905" spans="1:13" x14ac:dyDescent="0.25">
      <c r="A905" t="s">
        <v>1673</v>
      </c>
      <c r="B905" t="s">
        <v>11</v>
      </c>
      <c r="C905">
        <v>30</v>
      </c>
      <c r="D905" t="s">
        <v>46</v>
      </c>
      <c r="E905" t="s">
        <v>57</v>
      </c>
      <c r="F905" t="s">
        <v>47</v>
      </c>
      <c r="G905">
        <v>4859723</v>
      </c>
      <c r="H905">
        <f t="shared" ca="1" si="14"/>
        <v>127</v>
      </c>
      <c r="I905">
        <v>7.16</v>
      </c>
      <c r="J905">
        <v>26.84</v>
      </c>
      <c r="K905" t="s">
        <v>1674</v>
      </c>
      <c r="L905">
        <f>_INVESTEMENTDATA[[#This Row],[Investment_Amount]]*0.18</f>
        <v>874750.14</v>
      </c>
      <c r="M905">
        <f>_INVESTEMENTDATA[[#This Row],[Investment_Amount]]*0.18*25</f>
        <v>21868753.5</v>
      </c>
    </row>
    <row r="906" spans="1:13" x14ac:dyDescent="0.25">
      <c r="A906" t="s">
        <v>1675</v>
      </c>
      <c r="B906" t="s">
        <v>17</v>
      </c>
      <c r="C906">
        <v>54</v>
      </c>
      <c r="D906" t="s">
        <v>18</v>
      </c>
      <c r="E906" t="s">
        <v>50</v>
      </c>
      <c r="F906" t="s">
        <v>47</v>
      </c>
      <c r="G906">
        <v>2147254</v>
      </c>
      <c r="H906">
        <f t="shared" ca="1" si="14"/>
        <v>297</v>
      </c>
      <c r="I906">
        <v>20.32</v>
      </c>
      <c r="J906">
        <v>31.42</v>
      </c>
      <c r="K906" t="s">
        <v>1311</v>
      </c>
      <c r="L906">
        <f>_INVESTEMENTDATA[[#This Row],[Investment_Amount]]*0.18</f>
        <v>386505.72</v>
      </c>
      <c r="M906">
        <f>_INVESTEMENTDATA[[#This Row],[Investment_Amount]]*0.18*25</f>
        <v>9662643</v>
      </c>
    </row>
    <row r="907" spans="1:13" x14ac:dyDescent="0.25">
      <c r="A907" t="s">
        <v>1676</v>
      </c>
      <c r="B907" t="s">
        <v>11</v>
      </c>
      <c r="C907">
        <v>22</v>
      </c>
      <c r="D907" t="s">
        <v>28</v>
      </c>
      <c r="E907" t="s">
        <v>57</v>
      </c>
      <c r="F907" t="s">
        <v>41</v>
      </c>
      <c r="G907">
        <v>3649515</v>
      </c>
      <c r="H907">
        <f t="shared" ca="1" si="14"/>
        <v>355</v>
      </c>
      <c r="I907">
        <v>33.32</v>
      </c>
      <c r="J907">
        <v>42.3</v>
      </c>
      <c r="K907" t="s">
        <v>1677</v>
      </c>
      <c r="L907">
        <f>_INVESTEMENTDATA[[#This Row],[Investment_Amount]]*0.18</f>
        <v>656912.69999999995</v>
      </c>
      <c r="M907">
        <f>_INVESTEMENTDATA[[#This Row],[Investment_Amount]]*0.18*25</f>
        <v>16422817.499999998</v>
      </c>
    </row>
    <row r="908" spans="1:13" x14ac:dyDescent="0.25">
      <c r="A908" t="s">
        <v>1678</v>
      </c>
      <c r="B908" t="s">
        <v>17</v>
      </c>
      <c r="C908">
        <v>51</v>
      </c>
      <c r="D908" t="s">
        <v>38</v>
      </c>
      <c r="E908" t="s">
        <v>23</v>
      </c>
      <c r="F908" t="s">
        <v>14</v>
      </c>
      <c r="G908">
        <v>740707</v>
      </c>
      <c r="H908">
        <f t="shared" ca="1" si="14"/>
        <v>228</v>
      </c>
      <c r="I908">
        <v>31.2</v>
      </c>
      <c r="J908">
        <v>-7.85</v>
      </c>
      <c r="K908" t="s">
        <v>1679</v>
      </c>
      <c r="L908">
        <f>_INVESTEMENTDATA[[#This Row],[Investment_Amount]]*0.18</f>
        <v>133327.26</v>
      </c>
      <c r="M908">
        <f>_INVESTEMENTDATA[[#This Row],[Investment_Amount]]*0.18*25</f>
        <v>3333181.5</v>
      </c>
    </row>
    <row r="909" spans="1:13" x14ac:dyDescent="0.25">
      <c r="A909" t="s">
        <v>1680</v>
      </c>
      <c r="B909" t="s">
        <v>11</v>
      </c>
      <c r="C909">
        <v>53</v>
      </c>
      <c r="D909" t="s">
        <v>46</v>
      </c>
      <c r="E909" t="s">
        <v>19</v>
      </c>
      <c r="F909" t="s">
        <v>14</v>
      </c>
      <c r="G909">
        <v>3585634</v>
      </c>
      <c r="H909">
        <f t="shared" ca="1" si="14"/>
        <v>29</v>
      </c>
      <c r="I909">
        <v>9.1</v>
      </c>
      <c r="J909">
        <v>-0.8</v>
      </c>
      <c r="K909" t="s">
        <v>1681</v>
      </c>
      <c r="L909">
        <f>_INVESTEMENTDATA[[#This Row],[Investment_Amount]]*0.18</f>
        <v>645414.12</v>
      </c>
      <c r="M909">
        <f>_INVESTEMENTDATA[[#This Row],[Investment_Amount]]*0.18*25</f>
        <v>16135353</v>
      </c>
    </row>
    <row r="910" spans="1:13" x14ac:dyDescent="0.25">
      <c r="A910" t="s">
        <v>1682</v>
      </c>
      <c r="B910" t="s">
        <v>11</v>
      </c>
      <c r="C910">
        <v>57</v>
      </c>
      <c r="D910" t="s">
        <v>18</v>
      </c>
      <c r="E910" t="s">
        <v>13</v>
      </c>
      <c r="F910" t="s">
        <v>14</v>
      </c>
      <c r="G910">
        <v>2472422</v>
      </c>
      <c r="H910">
        <f t="shared" ca="1" si="14"/>
        <v>301</v>
      </c>
      <c r="I910">
        <v>18.8</v>
      </c>
      <c r="J910">
        <v>30.62</v>
      </c>
      <c r="K910" t="s">
        <v>768</v>
      </c>
      <c r="L910">
        <f>_INVESTEMENTDATA[[#This Row],[Investment_Amount]]*0.18</f>
        <v>445035.95999999996</v>
      </c>
      <c r="M910">
        <f>_INVESTEMENTDATA[[#This Row],[Investment_Amount]]*0.18*25</f>
        <v>11125899</v>
      </c>
    </row>
    <row r="911" spans="1:13" x14ac:dyDescent="0.25">
      <c r="A911" t="s">
        <v>1683</v>
      </c>
      <c r="B911" t="s">
        <v>17</v>
      </c>
      <c r="C911">
        <v>44</v>
      </c>
      <c r="D911" t="s">
        <v>18</v>
      </c>
      <c r="E911" t="s">
        <v>50</v>
      </c>
      <c r="F911" t="s">
        <v>41</v>
      </c>
      <c r="G911">
        <v>2395056</v>
      </c>
      <c r="H911">
        <f t="shared" ca="1" si="14"/>
        <v>215</v>
      </c>
      <c r="I911">
        <v>9.24</v>
      </c>
      <c r="J911">
        <v>-4</v>
      </c>
      <c r="K911" t="s">
        <v>1684</v>
      </c>
      <c r="L911">
        <f>_INVESTEMENTDATA[[#This Row],[Investment_Amount]]*0.18</f>
        <v>431110.07999999996</v>
      </c>
      <c r="M911">
        <f>_INVESTEMENTDATA[[#This Row],[Investment_Amount]]*0.18*25</f>
        <v>10777751.999999998</v>
      </c>
    </row>
    <row r="912" spans="1:13" x14ac:dyDescent="0.25">
      <c r="A912" t="s">
        <v>1685</v>
      </c>
      <c r="B912" t="s">
        <v>11</v>
      </c>
      <c r="C912">
        <v>62</v>
      </c>
      <c r="D912" t="s">
        <v>18</v>
      </c>
      <c r="E912" t="s">
        <v>29</v>
      </c>
      <c r="F912" t="s">
        <v>20</v>
      </c>
      <c r="G912">
        <v>460391</v>
      </c>
      <c r="H912">
        <f t="shared" ca="1" si="14"/>
        <v>78</v>
      </c>
      <c r="I912">
        <v>26.53</v>
      </c>
      <c r="J912">
        <v>19.25</v>
      </c>
      <c r="K912" t="s">
        <v>1395</v>
      </c>
      <c r="L912">
        <f>_INVESTEMENTDATA[[#This Row],[Investment_Amount]]*0.18</f>
        <v>82870.37999999999</v>
      </c>
      <c r="M912">
        <f>_INVESTEMENTDATA[[#This Row],[Investment_Amount]]*0.18*25</f>
        <v>2071759.4999999998</v>
      </c>
    </row>
    <row r="913" spans="1:13" x14ac:dyDescent="0.25">
      <c r="A913" t="s">
        <v>1686</v>
      </c>
      <c r="B913" t="s">
        <v>11</v>
      </c>
      <c r="C913">
        <v>44</v>
      </c>
      <c r="D913" t="s">
        <v>38</v>
      </c>
      <c r="E913" t="s">
        <v>57</v>
      </c>
      <c r="F913" t="s">
        <v>14</v>
      </c>
      <c r="G913">
        <v>3425964</v>
      </c>
      <c r="H913">
        <f t="shared" ca="1" si="14"/>
        <v>211</v>
      </c>
      <c r="I913">
        <v>34.549999999999997</v>
      </c>
      <c r="J913">
        <v>26.45</v>
      </c>
      <c r="K913" t="s">
        <v>1687</v>
      </c>
      <c r="L913">
        <f>_INVESTEMENTDATA[[#This Row],[Investment_Amount]]*0.18</f>
        <v>616673.52</v>
      </c>
      <c r="M913">
        <f>_INVESTEMENTDATA[[#This Row],[Investment_Amount]]*0.18*25</f>
        <v>15416838</v>
      </c>
    </row>
    <row r="914" spans="1:13" x14ac:dyDescent="0.25">
      <c r="A914" t="s">
        <v>1688</v>
      </c>
      <c r="B914" t="s">
        <v>17</v>
      </c>
      <c r="C914">
        <v>65</v>
      </c>
      <c r="D914" t="s">
        <v>28</v>
      </c>
      <c r="E914" t="s">
        <v>50</v>
      </c>
      <c r="F914" t="s">
        <v>41</v>
      </c>
      <c r="G914">
        <v>3124518</v>
      </c>
      <c r="H914">
        <f t="shared" ca="1" si="14"/>
        <v>285</v>
      </c>
      <c r="I914">
        <v>5.98</v>
      </c>
      <c r="J914">
        <v>32.65</v>
      </c>
      <c r="K914" t="s">
        <v>564</v>
      </c>
      <c r="L914">
        <f>_INVESTEMENTDATA[[#This Row],[Investment_Amount]]*0.18</f>
        <v>562413.24</v>
      </c>
      <c r="M914">
        <f>_INVESTEMENTDATA[[#This Row],[Investment_Amount]]*0.18*25</f>
        <v>14060331</v>
      </c>
    </row>
    <row r="915" spans="1:13" x14ac:dyDescent="0.25">
      <c r="A915" t="s">
        <v>1689</v>
      </c>
      <c r="B915" t="s">
        <v>11</v>
      </c>
      <c r="C915">
        <v>44</v>
      </c>
      <c r="D915" t="s">
        <v>12</v>
      </c>
      <c r="E915" t="s">
        <v>13</v>
      </c>
      <c r="F915" t="s">
        <v>47</v>
      </c>
      <c r="G915">
        <v>1800329</v>
      </c>
      <c r="H915">
        <f t="shared" ca="1" si="14"/>
        <v>341</v>
      </c>
      <c r="I915">
        <v>32.81</v>
      </c>
      <c r="J915">
        <v>41.83</v>
      </c>
      <c r="K915" t="s">
        <v>1690</v>
      </c>
      <c r="L915">
        <f>_INVESTEMENTDATA[[#This Row],[Investment_Amount]]*0.18</f>
        <v>324059.21999999997</v>
      </c>
      <c r="M915">
        <f>_INVESTEMENTDATA[[#This Row],[Investment_Amount]]*0.18*25</f>
        <v>8101480.4999999991</v>
      </c>
    </row>
    <row r="916" spans="1:13" x14ac:dyDescent="0.25">
      <c r="A916" t="s">
        <v>1691</v>
      </c>
      <c r="B916" t="s">
        <v>17</v>
      </c>
      <c r="C916">
        <v>64</v>
      </c>
      <c r="D916" t="s">
        <v>28</v>
      </c>
      <c r="E916" t="s">
        <v>19</v>
      </c>
      <c r="F916" t="s">
        <v>47</v>
      </c>
      <c r="G916">
        <v>3285994</v>
      </c>
      <c r="H916">
        <f t="shared" ca="1" si="14"/>
        <v>302</v>
      </c>
      <c r="I916">
        <v>20.07</v>
      </c>
      <c r="J916">
        <v>3.13</v>
      </c>
      <c r="K916" t="s">
        <v>1692</v>
      </c>
      <c r="L916">
        <f>_INVESTEMENTDATA[[#This Row],[Investment_Amount]]*0.18</f>
        <v>591478.91999999993</v>
      </c>
      <c r="M916">
        <f>_INVESTEMENTDATA[[#This Row],[Investment_Amount]]*0.18*25</f>
        <v>14786972.999999998</v>
      </c>
    </row>
    <row r="917" spans="1:13" x14ac:dyDescent="0.25">
      <c r="A917" t="s">
        <v>1693</v>
      </c>
      <c r="B917" t="s">
        <v>11</v>
      </c>
      <c r="C917">
        <v>32</v>
      </c>
      <c r="D917" t="s">
        <v>38</v>
      </c>
      <c r="E917" t="s">
        <v>23</v>
      </c>
      <c r="F917" t="s">
        <v>30</v>
      </c>
      <c r="G917">
        <v>301956</v>
      </c>
      <c r="H917">
        <f t="shared" ca="1" si="14"/>
        <v>275</v>
      </c>
      <c r="I917">
        <v>7.69</v>
      </c>
      <c r="J917">
        <v>17.09</v>
      </c>
      <c r="K917" t="s">
        <v>1694</v>
      </c>
      <c r="L917">
        <f>_INVESTEMENTDATA[[#This Row],[Investment_Amount]]*0.18</f>
        <v>54352.079999999994</v>
      </c>
      <c r="M917">
        <f>_INVESTEMENTDATA[[#This Row],[Investment_Amount]]*0.18*25</f>
        <v>1358801.9999999998</v>
      </c>
    </row>
    <row r="918" spans="1:13" x14ac:dyDescent="0.25">
      <c r="A918" t="s">
        <v>1695</v>
      </c>
      <c r="B918" t="s">
        <v>17</v>
      </c>
      <c r="C918">
        <v>57</v>
      </c>
      <c r="D918" t="s">
        <v>18</v>
      </c>
      <c r="E918" t="s">
        <v>13</v>
      </c>
      <c r="F918" t="s">
        <v>20</v>
      </c>
      <c r="G918">
        <v>3589553</v>
      </c>
      <c r="H918">
        <f t="shared" ca="1" si="14"/>
        <v>239</v>
      </c>
      <c r="I918">
        <v>32.04</v>
      </c>
      <c r="J918">
        <v>11.68</v>
      </c>
      <c r="K918" t="s">
        <v>386</v>
      </c>
      <c r="L918">
        <f>_INVESTEMENTDATA[[#This Row],[Investment_Amount]]*0.18</f>
        <v>646119.53999999992</v>
      </c>
      <c r="M918">
        <f>_INVESTEMENTDATA[[#This Row],[Investment_Amount]]*0.18*25</f>
        <v>16152988.499999998</v>
      </c>
    </row>
    <row r="919" spans="1:13" x14ac:dyDescent="0.25">
      <c r="A919" t="s">
        <v>1696</v>
      </c>
      <c r="B919" t="s">
        <v>17</v>
      </c>
      <c r="C919">
        <v>35</v>
      </c>
      <c r="D919" t="s">
        <v>18</v>
      </c>
      <c r="E919" t="s">
        <v>23</v>
      </c>
      <c r="F919" t="s">
        <v>41</v>
      </c>
      <c r="G919">
        <v>3112947</v>
      </c>
      <c r="H919">
        <f t="shared" ca="1" si="14"/>
        <v>121</v>
      </c>
      <c r="I919">
        <v>14.74</v>
      </c>
      <c r="J919">
        <v>21</v>
      </c>
      <c r="K919" t="s">
        <v>1697</v>
      </c>
      <c r="L919">
        <f>_INVESTEMENTDATA[[#This Row],[Investment_Amount]]*0.18</f>
        <v>560330.46</v>
      </c>
      <c r="M919">
        <f>_INVESTEMENTDATA[[#This Row],[Investment_Amount]]*0.18*25</f>
        <v>14008261.5</v>
      </c>
    </row>
    <row r="920" spans="1:13" x14ac:dyDescent="0.25">
      <c r="A920" t="s">
        <v>1698</v>
      </c>
      <c r="B920" t="s">
        <v>11</v>
      </c>
      <c r="C920">
        <v>27</v>
      </c>
      <c r="D920" t="s">
        <v>18</v>
      </c>
      <c r="E920" t="s">
        <v>57</v>
      </c>
      <c r="F920" t="s">
        <v>20</v>
      </c>
      <c r="G920">
        <v>4338464</v>
      </c>
      <c r="H920">
        <f t="shared" ca="1" si="14"/>
        <v>216</v>
      </c>
      <c r="I920">
        <v>31.76</v>
      </c>
      <c r="J920">
        <v>13.25</v>
      </c>
      <c r="K920" t="s">
        <v>1512</v>
      </c>
      <c r="L920">
        <f>_INVESTEMENTDATA[[#This Row],[Investment_Amount]]*0.18</f>
        <v>780923.52</v>
      </c>
      <c r="M920">
        <f>_INVESTEMENTDATA[[#This Row],[Investment_Amount]]*0.18*25</f>
        <v>19523088</v>
      </c>
    </row>
    <row r="921" spans="1:13" x14ac:dyDescent="0.25">
      <c r="A921" t="s">
        <v>1699</v>
      </c>
      <c r="B921" t="s">
        <v>11</v>
      </c>
      <c r="C921">
        <v>35</v>
      </c>
      <c r="D921" t="s">
        <v>28</v>
      </c>
      <c r="E921" t="s">
        <v>29</v>
      </c>
      <c r="F921" t="s">
        <v>41</v>
      </c>
      <c r="G921">
        <v>3586553</v>
      </c>
      <c r="H921">
        <f t="shared" ca="1" si="14"/>
        <v>256</v>
      </c>
      <c r="I921">
        <v>27.03</v>
      </c>
      <c r="J921">
        <v>-2.2000000000000002</v>
      </c>
      <c r="K921" t="s">
        <v>1700</v>
      </c>
      <c r="L921">
        <f>_INVESTEMENTDATA[[#This Row],[Investment_Amount]]*0.18</f>
        <v>645579.53999999992</v>
      </c>
      <c r="M921">
        <f>_INVESTEMENTDATA[[#This Row],[Investment_Amount]]*0.18*25</f>
        <v>16139488.499999998</v>
      </c>
    </row>
    <row r="922" spans="1:13" x14ac:dyDescent="0.25">
      <c r="A922" t="s">
        <v>1701</v>
      </c>
      <c r="B922" t="s">
        <v>17</v>
      </c>
      <c r="C922">
        <v>21</v>
      </c>
      <c r="D922" t="s">
        <v>38</v>
      </c>
      <c r="E922" t="s">
        <v>23</v>
      </c>
      <c r="F922" t="s">
        <v>30</v>
      </c>
      <c r="G922">
        <v>4616761</v>
      </c>
      <c r="H922">
        <f t="shared" ca="1" si="14"/>
        <v>104</v>
      </c>
      <c r="I922">
        <v>33.659999999999997</v>
      </c>
      <c r="J922">
        <v>-7.17</v>
      </c>
      <c r="K922" t="s">
        <v>1702</v>
      </c>
      <c r="L922">
        <f>_INVESTEMENTDATA[[#This Row],[Investment_Amount]]*0.18</f>
        <v>831016.98</v>
      </c>
      <c r="M922">
        <f>_INVESTEMENTDATA[[#This Row],[Investment_Amount]]*0.18*25</f>
        <v>20775424.5</v>
      </c>
    </row>
    <row r="923" spans="1:13" x14ac:dyDescent="0.25">
      <c r="A923" t="s">
        <v>1703</v>
      </c>
      <c r="B923" t="s">
        <v>17</v>
      </c>
      <c r="C923">
        <v>56</v>
      </c>
      <c r="D923" t="s">
        <v>38</v>
      </c>
      <c r="E923" t="s">
        <v>50</v>
      </c>
      <c r="F923" t="s">
        <v>14</v>
      </c>
      <c r="G923">
        <v>4138090</v>
      </c>
      <c r="H923">
        <f t="shared" ca="1" si="14"/>
        <v>83</v>
      </c>
      <c r="I923">
        <v>5.2</v>
      </c>
      <c r="J923">
        <v>4.93</v>
      </c>
      <c r="K923" t="s">
        <v>476</v>
      </c>
      <c r="L923">
        <f>_INVESTEMENTDATA[[#This Row],[Investment_Amount]]*0.18</f>
        <v>744856.2</v>
      </c>
      <c r="M923">
        <f>_INVESTEMENTDATA[[#This Row],[Investment_Amount]]*0.18*25</f>
        <v>18621405</v>
      </c>
    </row>
    <row r="924" spans="1:13" x14ac:dyDescent="0.25">
      <c r="A924" t="s">
        <v>1704</v>
      </c>
      <c r="B924" t="s">
        <v>11</v>
      </c>
      <c r="C924">
        <v>39</v>
      </c>
      <c r="D924" t="s">
        <v>46</v>
      </c>
      <c r="E924" t="s">
        <v>19</v>
      </c>
      <c r="F924" t="s">
        <v>41</v>
      </c>
      <c r="G924">
        <v>968561</v>
      </c>
      <c r="H924">
        <f t="shared" ca="1" si="14"/>
        <v>179</v>
      </c>
      <c r="I924">
        <v>12.58</v>
      </c>
      <c r="J924">
        <v>23.33</v>
      </c>
      <c r="K924" t="s">
        <v>1705</v>
      </c>
      <c r="L924">
        <f>_INVESTEMENTDATA[[#This Row],[Investment_Amount]]*0.18</f>
        <v>174340.97999999998</v>
      </c>
      <c r="M924">
        <f>_INVESTEMENTDATA[[#This Row],[Investment_Amount]]*0.18*25</f>
        <v>4358524.5</v>
      </c>
    </row>
    <row r="925" spans="1:13" x14ac:dyDescent="0.25">
      <c r="A925" t="s">
        <v>1706</v>
      </c>
      <c r="B925" t="s">
        <v>17</v>
      </c>
      <c r="C925">
        <v>55</v>
      </c>
      <c r="D925" t="s">
        <v>12</v>
      </c>
      <c r="E925" t="s">
        <v>57</v>
      </c>
      <c r="F925" t="s">
        <v>41</v>
      </c>
      <c r="G925">
        <v>2843110</v>
      </c>
      <c r="H925">
        <f t="shared" ca="1" si="14"/>
        <v>271</v>
      </c>
      <c r="I925">
        <v>34.94</v>
      </c>
      <c r="J925">
        <v>21.66</v>
      </c>
      <c r="K925" t="s">
        <v>1707</v>
      </c>
      <c r="L925">
        <f>_INVESTEMENTDATA[[#This Row],[Investment_Amount]]*0.18</f>
        <v>511759.8</v>
      </c>
      <c r="M925">
        <f>_INVESTEMENTDATA[[#This Row],[Investment_Amount]]*0.18*25</f>
        <v>12793995</v>
      </c>
    </row>
    <row r="926" spans="1:13" x14ac:dyDescent="0.25">
      <c r="A926" t="s">
        <v>1708</v>
      </c>
      <c r="B926" t="s">
        <v>11</v>
      </c>
      <c r="C926">
        <v>61</v>
      </c>
      <c r="D926" t="s">
        <v>46</v>
      </c>
      <c r="E926" t="s">
        <v>13</v>
      </c>
      <c r="F926" t="s">
        <v>41</v>
      </c>
      <c r="G926">
        <v>4788787</v>
      </c>
      <c r="H926">
        <f t="shared" ca="1" si="14"/>
        <v>112</v>
      </c>
      <c r="I926">
        <v>19.72</v>
      </c>
      <c r="J926">
        <v>4.5599999999999996</v>
      </c>
      <c r="K926" t="s">
        <v>1709</v>
      </c>
      <c r="L926">
        <f>_INVESTEMENTDATA[[#This Row],[Investment_Amount]]*0.18</f>
        <v>861981.65999999992</v>
      </c>
      <c r="M926">
        <f>_INVESTEMENTDATA[[#This Row],[Investment_Amount]]*0.18*25</f>
        <v>21549541.499999996</v>
      </c>
    </row>
    <row r="927" spans="1:13" x14ac:dyDescent="0.25">
      <c r="A927" t="s">
        <v>1710</v>
      </c>
      <c r="B927" t="s">
        <v>11</v>
      </c>
      <c r="C927">
        <v>53</v>
      </c>
      <c r="D927" t="s">
        <v>46</v>
      </c>
      <c r="E927" t="s">
        <v>23</v>
      </c>
      <c r="F927" t="s">
        <v>30</v>
      </c>
      <c r="G927">
        <v>280521</v>
      </c>
      <c r="H927">
        <f t="shared" ca="1" si="14"/>
        <v>90</v>
      </c>
      <c r="I927">
        <v>28.42</v>
      </c>
      <c r="J927">
        <v>23.75</v>
      </c>
      <c r="K927" t="s">
        <v>174</v>
      </c>
      <c r="L927">
        <f>_INVESTEMENTDATA[[#This Row],[Investment_Amount]]*0.18</f>
        <v>50493.78</v>
      </c>
      <c r="M927">
        <f>_INVESTEMENTDATA[[#This Row],[Investment_Amount]]*0.18*25</f>
        <v>1262344.5</v>
      </c>
    </row>
    <row r="928" spans="1:13" x14ac:dyDescent="0.25">
      <c r="A928" t="s">
        <v>1711</v>
      </c>
      <c r="B928" t="s">
        <v>11</v>
      </c>
      <c r="C928">
        <v>53</v>
      </c>
      <c r="D928" t="s">
        <v>18</v>
      </c>
      <c r="E928" t="s">
        <v>50</v>
      </c>
      <c r="F928" t="s">
        <v>35</v>
      </c>
      <c r="G928">
        <v>3839635</v>
      </c>
      <c r="H928">
        <f t="shared" ca="1" si="14"/>
        <v>325</v>
      </c>
      <c r="I928">
        <v>19.84</v>
      </c>
      <c r="J928">
        <v>26.94</v>
      </c>
      <c r="K928" t="s">
        <v>1712</v>
      </c>
      <c r="L928">
        <f>_INVESTEMENTDATA[[#This Row],[Investment_Amount]]*0.18</f>
        <v>691134.29999999993</v>
      </c>
      <c r="M928">
        <f>_INVESTEMENTDATA[[#This Row],[Investment_Amount]]*0.18*25</f>
        <v>17278357.5</v>
      </c>
    </row>
    <row r="929" spans="1:13" x14ac:dyDescent="0.25">
      <c r="A929" t="s">
        <v>1713</v>
      </c>
      <c r="B929" t="s">
        <v>17</v>
      </c>
      <c r="C929">
        <v>35</v>
      </c>
      <c r="D929" t="s">
        <v>18</v>
      </c>
      <c r="E929" t="s">
        <v>23</v>
      </c>
      <c r="F929" t="s">
        <v>14</v>
      </c>
      <c r="G929">
        <v>1302200</v>
      </c>
      <c r="H929">
        <f t="shared" ca="1" si="14"/>
        <v>14</v>
      </c>
      <c r="I929">
        <v>14.9</v>
      </c>
      <c r="J929">
        <v>40.799999999999997</v>
      </c>
      <c r="K929" t="s">
        <v>1714</v>
      </c>
      <c r="L929">
        <f>_INVESTEMENTDATA[[#This Row],[Investment_Amount]]*0.18</f>
        <v>234396</v>
      </c>
      <c r="M929">
        <f>_INVESTEMENTDATA[[#This Row],[Investment_Amount]]*0.18*25</f>
        <v>5859900</v>
      </c>
    </row>
    <row r="930" spans="1:13" x14ac:dyDescent="0.25">
      <c r="A930" t="s">
        <v>1715</v>
      </c>
      <c r="B930" t="s">
        <v>17</v>
      </c>
      <c r="C930">
        <v>38</v>
      </c>
      <c r="D930" t="s">
        <v>12</v>
      </c>
      <c r="E930" t="s">
        <v>50</v>
      </c>
      <c r="F930" t="s">
        <v>47</v>
      </c>
      <c r="G930">
        <v>2896937</v>
      </c>
      <c r="H930">
        <f t="shared" ca="1" si="14"/>
        <v>120</v>
      </c>
      <c r="I930">
        <v>33.54</v>
      </c>
      <c r="J930">
        <v>14.34</v>
      </c>
      <c r="K930" t="s">
        <v>628</v>
      </c>
      <c r="L930">
        <f>_INVESTEMENTDATA[[#This Row],[Investment_Amount]]*0.18</f>
        <v>521448.66</v>
      </c>
      <c r="M930">
        <f>_INVESTEMENTDATA[[#This Row],[Investment_Amount]]*0.18*25</f>
        <v>13036216.5</v>
      </c>
    </row>
    <row r="931" spans="1:13" x14ac:dyDescent="0.25">
      <c r="A931" t="s">
        <v>1716</v>
      </c>
      <c r="B931" t="s">
        <v>11</v>
      </c>
      <c r="C931">
        <v>38</v>
      </c>
      <c r="D931" t="s">
        <v>46</v>
      </c>
      <c r="E931" t="s">
        <v>23</v>
      </c>
      <c r="F931" t="s">
        <v>35</v>
      </c>
      <c r="G931">
        <v>477127</v>
      </c>
      <c r="H931">
        <f t="shared" ca="1" si="14"/>
        <v>284</v>
      </c>
      <c r="I931">
        <v>16.989999999999998</v>
      </c>
      <c r="J931">
        <v>32.07</v>
      </c>
      <c r="K931" t="s">
        <v>1339</v>
      </c>
      <c r="L931">
        <f>_INVESTEMENTDATA[[#This Row],[Investment_Amount]]*0.18</f>
        <v>85882.86</v>
      </c>
      <c r="M931">
        <f>_INVESTEMENTDATA[[#This Row],[Investment_Amount]]*0.18*25</f>
        <v>2147071.5</v>
      </c>
    </row>
    <row r="932" spans="1:13" x14ac:dyDescent="0.25">
      <c r="A932" t="s">
        <v>1717</v>
      </c>
      <c r="B932" t="s">
        <v>17</v>
      </c>
      <c r="C932">
        <v>23</v>
      </c>
      <c r="D932" t="s">
        <v>18</v>
      </c>
      <c r="E932" t="s">
        <v>50</v>
      </c>
      <c r="F932" t="s">
        <v>20</v>
      </c>
      <c r="G932">
        <v>4414189</v>
      </c>
      <c r="H932">
        <f t="shared" ca="1" si="14"/>
        <v>339</v>
      </c>
      <c r="I932">
        <v>20.43</v>
      </c>
      <c r="J932">
        <v>44.08</v>
      </c>
      <c r="K932" t="s">
        <v>1198</v>
      </c>
      <c r="L932">
        <f>_INVESTEMENTDATA[[#This Row],[Investment_Amount]]*0.18</f>
        <v>794554.02</v>
      </c>
      <c r="M932">
        <f>_INVESTEMENTDATA[[#This Row],[Investment_Amount]]*0.18*25</f>
        <v>19863850.5</v>
      </c>
    </row>
    <row r="933" spans="1:13" x14ac:dyDescent="0.25">
      <c r="A933" t="s">
        <v>1718</v>
      </c>
      <c r="B933" t="s">
        <v>11</v>
      </c>
      <c r="C933">
        <v>60</v>
      </c>
      <c r="D933" t="s">
        <v>46</v>
      </c>
      <c r="E933" t="s">
        <v>29</v>
      </c>
      <c r="F933" t="s">
        <v>35</v>
      </c>
      <c r="G933">
        <v>601436</v>
      </c>
      <c r="H933">
        <f t="shared" ca="1" si="14"/>
        <v>273</v>
      </c>
      <c r="I933">
        <v>20.52</v>
      </c>
      <c r="J933">
        <v>6.12</v>
      </c>
      <c r="K933" t="s">
        <v>1719</v>
      </c>
      <c r="L933">
        <f>_INVESTEMENTDATA[[#This Row],[Investment_Amount]]*0.18</f>
        <v>108258.48</v>
      </c>
      <c r="M933">
        <f>_INVESTEMENTDATA[[#This Row],[Investment_Amount]]*0.18*25</f>
        <v>2706462</v>
      </c>
    </row>
    <row r="934" spans="1:13" x14ac:dyDescent="0.25">
      <c r="A934" t="s">
        <v>1720</v>
      </c>
      <c r="B934" t="s">
        <v>11</v>
      </c>
      <c r="C934">
        <v>62</v>
      </c>
      <c r="D934" t="s">
        <v>12</v>
      </c>
      <c r="E934" t="s">
        <v>50</v>
      </c>
      <c r="F934" t="s">
        <v>35</v>
      </c>
      <c r="G934">
        <v>3341236</v>
      </c>
      <c r="H934">
        <f t="shared" ca="1" si="14"/>
        <v>330</v>
      </c>
      <c r="I934">
        <v>16.43</v>
      </c>
      <c r="J934">
        <v>33.880000000000003</v>
      </c>
      <c r="K934" t="s">
        <v>1721</v>
      </c>
      <c r="L934">
        <f>_INVESTEMENTDATA[[#This Row],[Investment_Amount]]*0.18</f>
        <v>601422.48</v>
      </c>
      <c r="M934">
        <f>_INVESTEMENTDATA[[#This Row],[Investment_Amount]]*0.18*25</f>
        <v>15035562</v>
      </c>
    </row>
    <row r="935" spans="1:13" x14ac:dyDescent="0.25">
      <c r="A935" t="s">
        <v>1722</v>
      </c>
      <c r="B935" t="s">
        <v>11</v>
      </c>
      <c r="C935">
        <v>37</v>
      </c>
      <c r="D935" t="s">
        <v>38</v>
      </c>
      <c r="E935" t="s">
        <v>23</v>
      </c>
      <c r="F935" t="s">
        <v>41</v>
      </c>
      <c r="G935">
        <v>3418487</v>
      </c>
      <c r="H935">
        <f t="shared" ca="1" si="14"/>
        <v>290</v>
      </c>
      <c r="I935">
        <v>14.25</v>
      </c>
      <c r="J935">
        <v>42.73</v>
      </c>
      <c r="K935" t="s">
        <v>1723</v>
      </c>
      <c r="L935">
        <f>_INVESTEMENTDATA[[#This Row],[Investment_Amount]]*0.18</f>
        <v>615327.66</v>
      </c>
      <c r="M935">
        <f>_INVESTEMENTDATA[[#This Row],[Investment_Amount]]*0.18*25</f>
        <v>15383191.5</v>
      </c>
    </row>
    <row r="936" spans="1:13" x14ac:dyDescent="0.25">
      <c r="A936" t="s">
        <v>1724</v>
      </c>
      <c r="B936" t="s">
        <v>11</v>
      </c>
      <c r="C936">
        <v>42</v>
      </c>
      <c r="D936" t="s">
        <v>12</v>
      </c>
      <c r="E936" t="s">
        <v>57</v>
      </c>
      <c r="F936" t="s">
        <v>20</v>
      </c>
      <c r="G936">
        <v>422685</v>
      </c>
      <c r="H936">
        <f t="shared" ca="1" si="14"/>
        <v>139</v>
      </c>
      <c r="I936">
        <v>22.59</v>
      </c>
      <c r="J936">
        <v>1.42</v>
      </c>
      <c r="K936" t="s">
        <v>1725</v>
      </c>
      <c r="L936">
        <f>_INVESTEMENTDATA[[#This Row],[Investment_Amount]]*0.18</f>
        <v>76083.3</v>
      </c>
      <c r="M936">
        <f>_INVESTEMENTDATA[[#This Row],[Investment_Amount]]*0.18*25</f>
        <v>1902082.5</v>
      </c>
    </row>
    <row r="937" spans="1:13" x14ac:dyDescent="0.25">
      <c r="A937" t="s">
        <v>1726</v>
      </c>
      <c r="B937" t="s">
        <v>17</v>
      </c>
      <c r="C937">
        <v>44</v>
      </c>
      <c r="D937" t="s">
        <v>28</v>
      </c>
      <c r="E937" t="s">
        <v>13</v>
      </c>
      <c r="F937" t="s">
        <v>35</v>
      </c>
      <c r="G937">
        <v>4738905</v>
      </c>
      <c r="H937">
        <f t="shared" ca="1" si="14"/>
        <v>185</v>
      </c>
      <c r="I937">
        <v>32.520000000000003</v>
      </c>
      <c r="J937">
        <v>5.0999999999999996</v>
      </c>
      <c r="K937" t="s">
        <v>1727</v>
      </c>
      <c r="L937">
        <f>_INVESTEMENTDATA[[#This Row],[Investment_Amount]]*0.18</f>
        <v>853002.9</v>
      </c>
      <c r="M937">
        <f>_INVESTEMENTDATA[[#This Row],[Investment_Amount]]*0.18*25</f>
        <v>21325072.5</v>
      </c>
    </row>
    <row r="938" spans="1:13" x14ac:dyDescent="0.25">
      <c r="A938" t="s">
        <v>1728</v>
      </c>
      <c r="B938" t="s">
        <v>11</v>
      </c>
      <c r="C938">
        <v>27</v>
      </c>
      <c r="D938" t="s">
        <v>28</v>
      </c>
      <c r="E938" t="s">
        <v>57</v>
      </c>
      <c r="F938" t="s">
        <v>35</v>
      </c>
      <c r="G938">
        <v>2468875</v>
      </c>
      <c r="H938">
        <f t="shared" ca="1" si="14"/>
        <v>247</v>
      </c>
      <c r="I938">
        <v>6.96</v>
      </c>
      <c r="J938">
        <v>-8.86</v>
      </c>
      <c r="K938" t="s">
        <v>1729</v>
      </c>
      <c r="L938">
        <f>_INVESTEMENTDATA[[#This Row],[Investment_Amount]]*0.18</f>
        <v>444397.5</v>
      </c>
      <c r="M938">
        <f>_INVESTEMENTDATA[[#This Row],[Investment_Amount]]*0.18*25</f>
        <v>11109937.5</v>
      </c>
    </row>
    <row r="939" spans="1:13" x14ac:dyDescent="0.25">
      <c r="A939" t="s">
        <v>1730</v>
      </c>
      <c r="B939" t="s">
        <v>11</v>
      </c>
      <c r="C939">
        <v>24</v>
      </c>
      <c r="D939" t="s">
        <v>18</v>
      </c>
      <c r="E939" t="s">
        <v>57</v>
      </c>
      <c r="F939" t="s">
        <v>20</v>
      </c>
      <c r="G939">
        <v>2572813</v>
      </c>
      <c r="H939">
        <f t="shared" ca="1" si="14"/>
        <v>271</v>
      </c>
      <c r="I939">
        <v>22.57</v>
      </c>
      <c r="J939">
        <v>0.88</v>
      </c>
      <c r="K939" t="s">
        <v>1731</v>
      </c>
      <c r="L939">
        <f>_INVESTEMENTDATA[[#This Row],[Investment_Amount]]*0.18</f>
        <v>463106.33999999997</v>
      </c>
      <c r="M939">
        <f>_INVESTEMENTDATA[[#This Row],[Investment_Amount]]*0.18*25</f>
        <v>11577658.5</v>
      </c>
    </row>
    <row r="940" spans="1:13" x14ac:dyDescent="0.25">
      <c r="A940" t="s">
        <v>1732</v>
      </c>
      <c r="B940" t="s">
        <v>11</v>
      </c>
      <c r="C940">
        <v>52</v>
      </c>
      <c r="D940" t="s">
        <v>12</v>
      </c>
      <c r="E940" t="s">
        <v>23</v>
      </c>
      <c r="F940" t="s">
        <v>14</v>
      </c>
      <c r="G940">
        <v>4566200</v>
      </c>
      <c r="H940">
        <f t="shared" ca="1" si="14"/>
        <v>190</v>
      </c>
      <c r="I940">
        <v>12.65</v>
      </c>
      <c r="J940">
        <v>-2.74</v>
      </c>
      <c r="K940" t="s">
        <v>1733</v>
      </c>
      <c r="L940">
        <f>_INVESTEMENTDATA[[#This Row],[Investment_Amount]]*0.18</f>
        <v>821916</v>
      </c>
      <c r="M940">
        <f>_INVESTEMENTDATA[[#This Row],[Investment_Amount]]*0.18*25</f>
        <v>20547900</v>
      </c>
    </row>
    <row r="941" spans="1:13" x14ac:dyDescent="0.25">
      <c r="A941" t="s">
        <v>1734</v>
      </c>
      <c r="B941" t="s">
        <v>17</v>
      </c>
      <c r="C941">
        <v>30</v>
      </c>
      <c r="D941" t="s">
        <v>12</v>
      </c>
      <c r="E941" t="s">
        <v>13</v>
      </c>
      <c r="F941" t="s">
        <v>20</v>
      </c>
      <c r="G941">
        <v>1357074</v>
      </c>
      <c r="H941">
        <f t="shared" ca="1" si="14"/>
        <v>162</v>
      </c>
      <c r="I941">
        <v>12.37</v>
      </c>
      <c r="J941">
        <v>2.92</v>
      </c>
      <c r="K941" t="s">
        <v>1735</v>
      </c>
      <c r="L941">
        <f>_INVESTEMENTDATA[[#This Row],[Investment_Amount]]*0.18</f>
        <v>244273.31999999998</v>
      </c>
      <c r="M941">
        <f>_INVESTEMENTDATA[[#This Row],[Investment_Amount]]*0.18*25</f>
        <v>6106832.9999999991</v>
      </c>
    </row>
    <row r="942" spans="1:13" x14ac:dyDescent="0.25">
      <c r="A942" t="s">
        <v>1736</v>
      </c>
      <c r="B942" t="s">
        <v>11</v>
      </c>
      <c r="C942">
        <v>33</v>
      </c>
      <c r="D942" t="s">
        <v>46</v>
      </c>
      <c r="E942" t="s">
        <v>29</v>
      </c>
      <c r="F942" t="s">
        <v>30</v>
      </c>
      <c r="G942">
        <v>3750902</v>
      </c>
      <c r="H942">
        <f t="shared" ca="1" si="14"/>
        <v>258</v>
      </c>
      <c r="I942">
        <v>18.29</v>
      </c>
      <c r="J942">
        <v>41.25</v>
      </c>
      <c r="K942" t="s">
        <v>1737</v>
      </c>
      <c r="L942">
        <f>_INVESTEMENTDATA[[#This Row],[Investment_Amount]]*0.18</f>
        <v>675162.36</v>
      </c>
      <c r="M942">
        <f>_INVESTEMENTDATA[[#This Row],[Investment_Amount]]*0.18*25</f>
        <v>16879059</v>
      </c>
    </row>
    <row r="943" spans="1:13" x14ac:dyDescent="0.25">
      <c r="A943" t="s">
        <v>1738</v>
      </c>
      <c r="B943" t="s">
        <v>11</v>
      </c>
      <c r="C943">
        <v>34</v>
      </c>
      <c r="D943" t="s">
        <v>46</v>
      </c>
      <c r="E943" t="s">
        <v>23</v>
      </c>
      <c r="F943" t="s">
        <v>20</v>
      </c>
      <c r="G943">
        <v>3347615</v>
      </c>
      <c r="H943">
        <f t="shared" ca="1" si="14"/>
        <v>68</v>
      </c>
      <c r="I943">
        <v>10.34</v>
      </c>
      <c r="J943">
        <v>24.86</v>
      </c>
      <c r="K943" t="s">
        <v>1739</v>
      </c>
      <c r="L943">
        <f>_INVESTEMENTDATA[[#This Row],[Investment_Amount]]*0.18</f>
        <v>602570.69999999995</v>
      </c>
      <c r="M943">
        <f>_INVESTEMENTDATA[[#This Row],[Investment_Amount]]*0.18*25</f>
        <v>15064267.499999998</v>
      </c>
    </row>
    <row r="944" spans="1:13" x14ac:dyDescent="0.25">
      <c r="A944" t="s">
        <v>1740</v>
      </c>
      <c r="B944" t="s">
        <v>17</v>
      </c>
      <c r="C944">
        <v>24</v>
      </c>
      <c r="D944" t="s">
        <v>28</v>
      </c>
      <c r="E944" t="s">
        <v>23</v>
      </c>
      <c r="F944" t="s">
        <v>20</v>
      </c>
      <c r="G944">
        <v>1293183</v>
      </c>
      <c r="H944">
        <f t="shared" ca="1" si="14"/>
        <v>102</v>
      </c>
      <c r="I944">
        <v>15.19</v>
      </c>
      <c r="J944">
        <v>18.41</v>
      </c>
      <c r="K944" t="s">
        <v>1741</v>
      </c>
      <c r="L944">
        <f>_INVESTEMENTDATA[[#This Row],[Investment_Amount]]*0.18</f>
        <v>232772.94</v>
      </c>
      <c r="M944">
        <f>_INVESTEMENTDATA[[#This Row],[Investment_Amount]]*0.18*25</f>
        <v>5819323.5</v>
      </c>
    </row>
    <row r="945" spans="1:13" x14ac:dyDescent="0.25">
      <c r="A945" t="s">
        <v>1742</v>
      </c>
      <c r="B945" t="s">
        <v>11</v>
      </c>
      <c r="C945">
        <v>30</v>
      </c>
      <c r="D945" t="s">
        <v>28</v>
      </c>
      <c r="E945" t="s">
        <v>57</v>
      </c>
      <c r="F945" t="s">
        <v>30</v>
      </c>
      <c r="G945">
        <v>1136573</v>
      </c>
      <c r="H945">
        <f t="shared" ca="1" si="14"/>
        <v>232</v>
      </c>
      <c r="I945">
        <v>32.44</v>
      </c>
      <c r="J945">
        <v>12.27</v>
      </c>
      <c r="K945" t="s">
        <v>1743</v>
      </c>
      <c r="L945">
        <f>_INVESTEMENTDATA[[#This Row],[Investment_Amount]]*0.18</f>
        <v>204583.13999999998</v>
      </c>
      <c r="M945">
        <f>_INVESTEMENTDATA[[#This Row],[Investment_Amount]]*0.18*25</f>
        <v>5114578.5</v>
      </c>
    </row>
    <row r="946" spans="1:13" x14ac:dyDescent="0.25">
      <c r="A946" t="s">
        <v>1744</v>
      </c>
      <c r="B946" t="s">
        <v>11</v>
      </c>
      <c r="C946">
        <v>55</v>
      </c>
      <c r="D946" t="s">
        <v>28</v>
      </c>
      <c r="E946" t="s">
        <v>23</v>
      </c>
      <c r="F946" t="s">
        <v>41</v>
      </c>
      <c r="G946">
        <v>1939255</v>
      </c>
      <c r="H946">
        <f t="shared" ca="1" si="14"/>
        <v>313</v>
      </c>
      <c r="I946">
        <v>9.1300000000000008</v>
      </c>
      <c r="J946">
        <v>5.71</v>
      </c>
      <c r="K946" t="s">
        <v>1593</v>
      </c>
      <c r="L946">
        <f>_INVESTEMENTDATA[[#This Row],[Investment_Amount]]*0.18</f>
        <v>349065.89999999997</v>
      </c>
      <c r="M946">
        <f>_INVESTEMENTDATA[[#This Row],[Investment_Amount]]*0.18*25</f>
        <v>8726647.5</v>
      </c>
    </row>
    <row r="947" spans="1:13" x14ac:dyDescent="0.25">
      <c r="A947" t="s">
        <v>1745</v>
      </c>
      <c r="B947" t="s">
        <v>11</v>
      </c>
      <c r="C947">
        <v>59</v>
      </c>
      <c r="D947" t="s">
        <v>18</v>
      </c>
      <c r="E947" t="s">
        <v>50</v>
      </c>
      <c r="F947" t="s">
        <v>35</v>
      </c>
      <c r="G947">
        <v>701896</v>
      </c>
      <c r="H947">
        <f t="shared" ca="1" si="14"/>
        <v>129</v>
      </c>
      <c r="I947">
        <v>32.24</v>
      </c>
      <c r="J947">
        <v>22.28</v>
      </c>
      <c r="K947" t="s">
        <v>1009</v>
      </c>
      <c r="L947">
        <f>_INVESTEMENTDATA[[#This Row],[Investment_Amount]]*0.18</f>
        <v>126341.28</v>
      </c>
      <c r="M947">
        <f>_INVESTEMENTDATA[[#This Row],[Investment_Amount]]*0.18*25</f>
        <v>3158532</v>
      </c>
    </row>
    <row r="948" spans="1:13" x14ac:dyDescent="0.25">
      <c r="A948" t="s">
        <v>1746</v>
      </c>
      <c r="B948" t="s">
        <v>17</v>
      </c>
      <c r="C948">
        <v>26</v>
      </c>
      <c r="D948" t="s">
        <v>18</v>
      </c>
      <c r="E948" t="s">
        <v>57</v>
      </c>
      <c r="F948" t="s">
        <v>47</v>
      </c>
      <c r="G948">
        <v>2801858</v>
      </c>
      <c r="H948">
        <f t="shared" ca="1" si="14"/>
        <v>10</v>
      </c>
      <c r="I948">
        <v>14.24</v>
      </c>
      <c r="J948">
        <v>27.68</v>
      </c>
      <c r="K948" t="s">
        <v>1078</v>
      </c>
      <c r="L948">
        <f>_INVESTEMENTDATA[[#This Row],[Investment_Amount]]*0.18</f>
        <v>504334.44</v>
      </c>
      <c r="M948">
        <f>_INVESTEMENTDATA[[#This Row],[Investment_Amount]]*0.18*25</f>
        <v>12608361</v>
      </c>
    </row>
    <row r="949" spans="1:13" x14ac:dyDescent="0.25">
      <c r="A949" t="s">
        <v>1747</v>
      </c>
      <c r="B949" t="s">
        <v>11</v>
      </c>
      <c r="C949">
        <v>61</v>
      </c>
      <c r="D949" t="s">
        <v>28</v>
      </c>
      <c r="E949" t="s">
        <v>50</v>
      </c>
      <c r="F949" t="s">
        <v>47</v>
      </c>
      <c r="G949">
        <v>4555328</v>
      </c>
      <c r="H949">
        <f t="shared" ca="1" si="14"/>
        <v>216</v>
      </c>
      <c r="I949">
        <v>8.15</v>
      </c>
      <c r="J949">
        <v>16.13</v>
      </c>
      <c r="K949" t="s">
        <v>893</v>
      </c>
      <c r="L949">
        <f>_INVESTEMENTDATA[[#This Row],[Investment_Amount]]*0.18</f>
        <v>819959.03999999992</v>
      </c>
      <c r="M949">
        <f>_INVESTEMENTDATA[[#This Row],[Investment_Amount]]*0.18*25</f>
        <v>20498975.999999996</v>
      </c>
    </row>
    <row r="950" spans="1:13" x14ac:dyDescent="0.25">
      <c r="A950" t="s">
        <v>1748</v>
      </c>
      <c r="B950" t="s">
        <v>17</v>
      </c>
      <c r="C950">
        <v>38</v>
      </c>
      <c r="D950" t="s">
        <v>18</v>
      </c>
      <c r="E950" t="s">
        <v>29</v>
      </c>
      <c r="F950" t="s">
        <v>20</v>
      </c>
      <c r="G950">
        <v>854805</v>
      </c>
      <c r="H950">
        <f t="shared" ca="1" si="14"/>
        <v>342</v>
      </c>
      <c r="I950">
        <v>23.49</v>
      </c>
      <c r="J950">
        <v>40.25</v>
      </c>
      <c r="K950" t="s">
        <v>1749</v>
      </c>
      <c r="L950">
        <f>_INVESTEMENTDATA[[#This Row],[Investment_Amount]]*0.18</f>
        <v>153864.9</v>
      </c>
      <c r="M950">
        <f>_INVESTEMENTDATA[[#This Row],[Investment_Amount]]*0.18*25</f>
        <v>3846622.5</v>
      </c>
    </row>
    <row r="951" spans="1:13" x14ac:dyDescent="0.25">
      <c r="A951" t="s">
        <v>1750</v>
      </c>
      <c r="B951" t="s">
        <v>17</v>
      </c>
      <c r="C951">
        <v>29</v>
      </c>
      <c r="D951" t="s">
        <v>38</v>
      </c>
      <c r="E951" t="s">
        <v>23</v>
      </c>
      <c r="F951" t="s">
        <v>20</v>
      </c>
      <c r="G951">
        <v>1898496</v>
      </c>
      <c r="H951">
        <f t="shared" ca="1" si="14"/>
        <v>39</v>
      </c>
      <c r="I951">
        <v>21.49</v>
      </c>
      <c r="J951">
        <v>-9.5299999999999994</v>
      </c>
      <c r="K951" t="s">
        <v>1751</v>
      </c>
      <c r="L951">
        <f>_INVESTEMENTDATA[[#This Row],[Investment_Amount]]*0.18</f>
        <v>341729.27999999997</v>
      </c>
      <c r="M951">
        <f>_INVESTEMENTDATA[[#This Row],[Investment_Amount]]*0.18*25</f>
        <v>8543232</v>
      </c>
    </row>
    <row r="952" spans="1:13" x14ac:dyDescent="0.25">
      <c r="A952" t="s">
        <v>1752</v>
      </c>
      <c r="B952" t="s">
        <v>11</v>
      </c>
      <c r="C952">
        <v>26</v>
      </c>
      <c r="D952" t="s">
        <v>18</v>
      </c>
      <c r="E952" t="s">
        <v>19</v>
      </c>
      <c r="F952" t="s">
        <v>30</v>
      </c>
      <c r="G952">
        <v>2834511</v>
      </c>
      <c r="H952">
        <f t="shared" ca="1" si="14"/>
        <v>159</v>
      </c>
      <c r="I952">
        <v>7.9</v>
      </c>
      <c r="J952">
        <v>-4.97</v>
      </c>
      <c r="K952" t="s">
        <v>1753</v>
      </c>
      <c r="L952">
        <f>_INVESTEMENTDATA[[#This Row],[Investment_Amount]]*0.18</f>
        <v>510211.98</v>
      </c>
      <c r="M952">
        <f>_INVESTEMENTDATA[[#This Row],[Investment_Amount]]*0.18*25</f>
        <v>12755299.5</v>
      </c>
    </row>
    <row r="953" spans="1:13" x14ac:dyDescent="0.25">
      <c r="A953" t="s">
        <v>1754</v>
      </c>
      <c r="B953" t="s">
        <v>17</v>
      </c>
      <c r="C953">
        <v>61</v>
      </c>
      <c r="D953" t="s">
        <v>28</v>
      </c>
      <c r="E953" t="s">
        <v>19</v>
      </c>
      <c r="F953" t="s">
        <v>20</v>
      </c>
      <c r="G953">
        <v>3971811</v>
      </c>
      <c r="H953">
        <f t="shared" ca="1" si="14"/>
        <v>320</v>
      </c>
      <c r="I953">
        <v>13.78</v>
      </c>
      <c r="J953">
        <v>7</v>
      </c>
      <c r="K953" t="s">
        <v>1755</v>
      </c>
      <c r="L953">
        <f>_INVESTEMENTDATA[[#This Row],[Investment_Amount]]*0.18</f>
        <v>714925.98</v>
      </c>
      <c r="M953">
        <f>_INVESTEMENTDATA[[#This Row],[Investment_Amount]]*0.18*25</f>
        <v>17873149.5</v>
      </c>
    </row>
    <row r="954" spans="1:13" x14ac:dyDescent="0.25">
      <c r="A954" t="s">
        <v>1756</v>
      </c>
      <c r="B954" t="s">
        <v>17</v>
      </c>
      <c r="C954">
        <v>39</v>
      </c>
      <c r="D954" t="s">
        <v>38</v>
      </c>
      <c r="E954" t="s">
        <v>57</v>
      </c>
      <c r="F954" t="s">
        <v>30</v>
      </c>
      <c r="G954">
        <v>1658197</v>
      </c>
      <c r="H954">
        <f t="shared" ca="1" si="14"/>
        <v>51</v>
      </c>
      <c r="I954">
        <v>26.63</v>
      </c>
      <c r="J954">
        <v>32.92</v>
      </c>
      <c r="K954" t="s">
        <v>1757</v>
      </c>
      <c r="L954">
        <f>_INVESTEMENTDATA[[#This Row],[Investment_Amount]]*0.18</f>
        <v>298475.45999999996</v>
      </c>
      <c r="M954">
        <f>_INVESTEMENTDATA[[#This Row],[Investment_Amount]]*0.18*25</f>
        <v>7461886.4999999991</v>
      </c>
    </row>
    <row r="955" spans="1:13" x14ac:dyDescent="0.25">
      <c r="A955" t="s">
        <v>1758</v>
      </c>
      <c r="B955" t="s">
        <v>17</v>
      </c>
      <c r="C955">
        <v>24</v>
      </c>
      <c r="D955" t="s">
        <v>12</v>
      </c>
      <c r="E955" t="s">
        <v>50</v>
      </c>
      <c r="F955" t="s">
        <v>20</v>
      </c>
      <c r="G955">
        <v>1719615</v>
      </c>
      <c r="H955">
        <f t="shared" ca="1" si="14"/>
        <v>241</v>
      </c>
      <c r="I955">
        <v>33.61</v>
      </c>
      <c r="J955">
        <v>33</v>
      </c>
      <c r="K955" t="s">
        <v>1435</v>
      </c>
      <c r="L955">
        <f>_INVESTEMENTDATA[[#This Row],[Investment_Amount]]*0.18</f>
        <v>309530.7</v>
      </c>
      <c r="M955">
        <f>_INVESTEMENTDATA[[#This Row],[Investment_Amount]]*0.18*25</f>
        <v>7738267.5</v>
      </c>
    </row>
    <row r="956" spans="1:13" x14ac:dyDescent="0.25">
      <c r="A956" t="s">
        <v>1759</v>
      </c>
      <c r="B956" t="s">
        <v>17</v>
      </c>
      <c r="C956">
        <v>30</v>
      </c>
      <c r="D956" t="s">
        <v>12</v>
      </c>
      <c r="E956" t="s">
        <v>19</v>
      </c>
      <c r="F956" t="s">
        <v>35</v>
      </c>
      <c r="G956">
        <v>1718983</v>
      </c>
      <c r="H956">
        <f t="shared" ca="1" si="14"/>
        <v>50</v>
      </c>
      <c r="I956">
        <v>17.420000000000002</v>
      </c>
      <c r="J956">
        <v>15.97</v>
      </c>
      <c r="K956" t="s">
        <v>1760</v>
      </c>
      <c r="L956">
        <f>_INVESTEMENTDATA[[#This Row],[Investment_Amount]]*0.18</f>
        <v>309416.94</v>
      </c>
      <c r="M956">
        <f>_INVESTEMENTDATA[[#This Row],[Investment_Amount]]*0.18*25</f>
        <v>7735423.5</v>
      </c>
    </row>
    <row r="957" spans="1:13" x14ac:dyDescent="0.25">
      <c r="A957" t="s">
        <v>1761</v>
      </c>
      <c r="B957" t="s">
        <v>11</v>
      </c>
      <c r="C957">
        <v>25</v>
      </c>
      <c r="D957" t="s">
        <v>46</v>
      </c>
      <c r="E957" t="s">
        <v>23</v>
      </c>
      <c r="F957" t="s">
        <v>41</v>
      </c>
      <c r="G957">
        <v>1834231</v>
      </c>
      <c r="H957">
        <f t="shared" ca="1" si="14"/>
        <v>49</v>
      </c>
      <c r="I957">
        <v>33.32</v>
      </c>
      <c r="J957">
        <v>6.44</v>
      </c>
      <c r="K957" t="s">
        <v>1762</v>
      </c>
      <c r="L957">
        <f>_INVESTEMENTDATA[[#This Row],[Investment_Amount]]*0.18</f>
        <v>330161.58</v>
      </c>
      <c r="M957">
        <f>_INVESTEMENTDATA[[#This Row],[Investment_Amount]]*0.18*25</f>
        <v>8254039.5</v>
      </c>
    </row>
    <row r="958" spans="1:13" x14ac:dyDescent="0.25">
      <c r="A958" t="s">
        <v>1763</v>
      </c>
      <c r="B958" t="s">
        <v>17</v>
      </c>
      <c r="C958">
        <v>35</v>
      </c>
      <c r="D958" t="s">
        <v>18</v>
      </c>
      <c r="E958" t="s">
        <v>23</v>
      </c>
      <c r="F958" t="s">
        <v>14</v>
      </c>
      <c r="G958">
        <v>2601036</v>
      </c>
      <c r="H958">
        <f t="shared" ca="1" si="14"/>
        <v>84</v>
      </c>
      <c r="I958">
        <v>16.920000000000002</v>
      </c>
      <c r="J958">
        <v>29.35</v>
      </c>
      <c r="K958" t="s">
        <v>1764</v>
      </c>
      <c r="L958">
        <f>_INVESTEMENTDATA[[#This Row],[Investment_Amount]]*0.18</f>
        <v>468186.48</v>
      </c>
      <c r="M958">
        <f>_INVESTEMENTDATA[[#This Row],[Investment_Amount]]*0.18*25</f>
        <v>11704662</v>
      </c>
    </row>
    <row r="959" spans="1:13" x14ac:dyDescent="0.25">
      <c r="A959" t="s">
        <v>1765</v>
      </c>
      <c r="B959" t="s">
        <v>11</v>
      </c>
      <c r="C959">
        <v>31</v>
      </c>
      <c r="D959" t="s">
        <v>38</v>
      </c>
      <c r="E959" t="s">
        <v>50</v>
      </c>
      <c r="F959" t="s">
        <v>14</v>
      </c>
      <c r="G959">
        <v>3779896</v>
      </c>
      <c r="H959">
        <f t="shared" ca="1" si="14"/>
        <v>256</v>
      </c>
      <c r="I959">
        <v>22.09</v>
      </c>
      <c r="J959">
        <v>36.56</v>
      </c>
      <c r="K959" t="s">
        <v>1766</v>
      </c>
      <c r="L959">
        <f>_INVESTEMENTDATA[[#This Row],[Investment_Amount]]*0.18</f>
        <v>680381.28</v>
      </c>
      <c r="M959">
        <f>_INVESTEMENTDATA[[#This Row],[Investment_Amount]]*0.18*25</f>
        <v>17009532</v>
      </c>
    </row>
    <row r="960" spans="1:13" x14ac:dyDescent="0.25">
      <c r="A960" t="s">
        <v>1767</v>
      </c>
      <c r="B960" t="s">
        <v>11</v>
      </c>
      <c r="C960">
        <v>48</v>
      </c>
      <c r="D960" t="s">
        <v>12</v>
      </c>
      <c r="E960" t="s">
        <v>57</v>
      </c>
      <c r="F960" t="s">
        <v>47</v>
      </c>
      <c r="G960">
        <v>3554764</v>
      </c>
      <c r="H960">
        <f t="shared" ca="1" si="14"/>
        <v>319</v>
      </c>
      <c r="I960">
        <v>22.38</v>
      </c>
      <c r="J960">
        <v>-5.93</v>
      </c>
      <c r="K960" t="s">
        <v>98</v>
      </c>
      <c r="L960">
        <f>_INVESTEMENTDATA[[#This Row],[Investment_Amount]]*0.18</f>
        <v>639857.52</v>
      </c>
      <c r="M960">
        <f>_INVESTEMENTDATA[[#This Row],[Investment_Amount]]*0.18*25</f>
        <v>15996438</v>
      </c>
    </row>
    <row r="961" spans="1:13" x14ac:dyDescent="0.25">
      <c r="A961" t="s">
        <v>1768</v>
      </c>
      <c r="B961" t="s">
        <v>11</v>
      </c>
      <c r="C961">
        <v>23</v>
      </c>
      <c r="D961" t="s">
        <v>18</v>
      </c>
      <c r="E961" t="s">
        <v>19</v>
      </c>
      <c r="F961" t="s">
        <v>35</v>
      </c>
      <c r="G961">
        <v>4197884</v>
      </c>
      <c r="H961">
        <f t="shared" ca="1" si="14"/>
        <v>294</v>
      </c>
      <c r="I961">
        <v>17.899999999999999</v>
      </c>
      <c r="J961">
        <v>31.55</v>
      </c>
      <c r="K961" t="s">
        <v>812</v>
      </c>
      <c r="L961">
        <f>_INVESTEMENTDATA[[#This Row],[Investment_Amount]]*0.18</f>
        <v>755619.12</v>
      </c>
      <c r="M961">
        <f>_INVESTEMENTDATA[[#This Row],[Investment_Amount]]*0.18*25</f>
        <v>18890478</v>
      </c>
    </row>
    <row r="962" spans="1:13" x14ac:dyDescent="0.25">
      <c r="A962" t="s">
        <v>1769</v>
      </c>
      <c r="B962" t="s">
        <v>17</v>
      </c>
      <c r="C962">
        <v>50</v>
      </c>
      <c r="D962" t="s">
        <v>18</v>
      </c>
      <c r="E962" t="s">
        <v>13</v>
      </c>
      <c r="F962" t="s">
        <v>20</v>
      </c>
      <c r="G962">
        <v>1365914</v>
      </c>
      <c r="H962">
        <f t="shared" ref="H962:H1001" ca="1" si="15">RANDBETWEEN(7,365)</f>
        <v>250</v>
      </c>
      <c r="I962">
        <v>24.55</v>
      </c>
      <c r="J962">
        <v>5.73</v>
      </c>
      <c r="K962" t="s">
        <v>1770</v>
      </c>
      <c r="L962">
        <f>_INVESTEMENTDATA[[#This Row],[Investment_Amount]]*0.18</f>
        <v>245864.52</v>
      </c>
      <c r="M962">
        <f>_INVESTEMENTDATA[[#This Row],[Investment_Amount]]*0.18*25</f>
        <v>6146613</v>
      </c>
    </row>
    <row r="963" spans="1:13" x14ac:dyDescent="0.25">
      <c r="A963" t="s">
        <v>1771</v>
      </c>
      <c r="B963" t="s">
        <v>11</v>
      </c>
      <c r="C963">
        <v>31</v>
      </c>
      <c r="D963" t="s">
        <v>12</v>
      </c>
      <c r="E963" t="s">
        <v>57</v>
      </c>
      <c r="F963" t="s">
        <v>41</v>
      </c>
      <c r="G963">
        <v>1410060</v>
      </c>
      <c r="H963">
        <f t="shared" ca="1" si="15"/>
        <v>208</v>
      </c>
      <c r="I963">
        <v>28.07</v>
      </c>
      <c r="J963">
        <v>11.04</v>
      </c>
      <c r="K963" t="s">
        <v>1772</v>
      </c>
      <c r="L963">
        <f>_INVESTEMENTDATA[[#This Row],[Investment_Amount]]*0.18</f>
        <v>253810.8</v>
      </c>
      <c r="M963">
        <f>_INVESTEMENTDATA[[#This Row],[Investment_Amount]]*0.18*25</f>
        <v>6345270</v>
      </c>
    </row>
    <row r="964" spans="1:13" x14ac:dyDescent="0.25">
      <c r="A964" t="s">
        <v>1773</v>
      </c>
      <c r="B964" t="s">
        <v>11</v>
      </c>
      <c r="C964">
        <v>48</v>
      </c>
      <c r="D964" t="s">
        <v>12</v>
      </c>
      <c r="E964" t="s">
        <v>29</v>
      </c>
      <c r="F964" t="s">
        <v>14</v>
      </c>
      <c r="G964">
        <v>3110499</v>
      </c>
      <c r="H964">
        <f t="shared" ca="1" si="15"/>
        <v>314</v>
      </c>
      <c r="I964">
        <v>16.95</v>
      </c>
      <c r="J964">
        <v>31.83</v>
      </c>
      <c r="K964" t="s">
        <v>792</v>
      </c>
      <c r="L964">
        <f>_INVESTEMENTDATA[[#This Row],[Investment_Amount]]*0.18</f>
        <v>559889.81999999995</v>
      </c>
      <c r="M964">
        <f>_INVESTEMENTDATA[[#This Row],[Investment_Amount]]*0.18*25</f>
        <v>13997245.499999998</v>
      </c>
    </row>
    <row r="965" spans="1:13" x14ac:dyDescent="0.25">
      <c r="A965" t="s">
        <v>1774</v>
      </c>
      <c r="B965" t="s">
        <v>11</v>
      </c>
      <c r="C965">
        <v>54</v>
      </c>
      <c r="D965" t="s">
        <v>12</v>
      </c>
      <c r="E965" t="s">
        <v>50</v>
      </c>
      <c r="F965" t="s">
        <v>41</v>
      </c>
      <c r="G965">
        <v>3031254</v>
      </c>
      <c r="H965">
        <f t="shared" ca="1" si="15"/>
        <v>63</v>
      </c>
      <c r="I965">
        <v>13.01</v>
      </c>
      <c r="J965">
        <v>-4.8099999999999996</v>
      </c>
      <c r="K965" t="s">
        <v>1775</v>
      </c>
      <c r="L965">
        <f>_INVESTEMENTDATA[[#This Row],[Investment_Amount]]*0.18</f>
        <v>545625.72</v>
      </c>
      <c r="M965">
        <f>_INVESTEMENTDATA[[#This Row],[Investment_Amount]]*0.18*25</f>
        <v>13640643</v>
      </c>
    </row>
    <row r="966" spans="1:13" x14ac:dyDescent="0.25">
      <c r="A966" t="s">
        <v>1776</v>
      </c>
      <c r="B966" t="s">
        <v>17</v>
      </c>
      <c r="C966">
        <v>27</v>
      </c>
      <c r="D966" t="s">
        <v>28</v>
      </c>
      <c r="E966" t="s">
        <v>57</v>
      </c>
      <c r="F966" t="s">
        <v>30</v>
      </c>
      <c r="G966">
        <v>4785649</v>
      </c>
      <c r="H966">
        <f t="shared" ca="1" si="15"/>
        <v>168</v>
      </c>
      <c r="I966">
        <v>29.28</v>
      </c>
      <c r="J966">
        <v>0.56999999999999995</v>
      </c>
      <c r="K966" t="s">
        <v>1777</v>
      </c>
      <c r="L966">
        <f>_INVESTEMENTDATA[[#This Row],[Investment_Amount]]*0.18</f>
        <v>861416.82</v>
      </c>
      <c r="M966">
        <f>_INVESTEMENTDATA[[#This Row],[Investment_Amount]]*0.18*25</f>
        <v>21535420.5</v>
      </c>
    </row>
    <row r="967" spans="1:13" x14ac:dyDescent="0.25">
      <c r="A967" t="s">
        <v>1778</v>
      </c>
      <c r="B967" t="s">
        <v>17</v>
      </c>
      <c r="C967">
        <v>45</v>
      </c>
      <c r="D967" t="s">
        <v>18</v>
      </c>
      <c r="E967" t="s">
        <v>29</v>
      </c>
      <c r="F967" t="s">
        <v>30</v>
      </c>
      <c r="G967">
        <v>2403456</v>
      </c>
      <c r="H967">
        <f t="shared" ca="1" si="15"/>
        <v>115</v>
      </c>
      <c r="I967">
        <v>27.02</v>
      </c>
      <c r="J967">
        <v>21.25</v>
      </c>
      <c r="K967" t="s">
        <v>1779</v>
      </c>
      <c r="L967">
        <f>_INVESTEMENTDATA[[#This Row],[Investment_Amount]]*0.18</f>
        <v>432622.07999999996</v>
      </c>
      <c r="M967">
        <f>_INVESTEMENTDATA[[#This Row],[Investment_Amount]]*0.18*25</f>
        <v>10815551.999999998</v>
      </c>
    </row>
    <row r="968" spans="1:13" x14ac:dyDescent="0.25">
      <c r="A968" t="s">
        <v>1780</v>
      </c>
      <c r="B968" t="s">
        <v>11</v>
      </c>
      <c r="C968">
        <v>23</v>
      </c>
      <c r="D968" t="s">
        <v>28</v>
      </c>
      <c r="E968" t="s">
        <v>57</v>
      </c>
      <c r="F968" t="s">
        <v>41</v>
      </c>
      <c r="G968">
        <v>4430412</v>
      </c>
      <c r="H968">
        <f t="shared" ca="1" si="15"/>
        <v>205</v>
      </c>
      <c r="I968">
        <v>13.62</v>
      </c>
      <c r="J968">
        <v>26.49</v>
      </c>
      <c r="K968" t="s">
        <v>872</v>
      </c>
      <c r="L968">
        <f>_INVESTEMENTDATA[[#This Row],[Investment_Amount]]*0.18</f>
        <v>797474.15999999992</v>
      </c>
      <c r="M968">
        <f>_INVESTEMENTDATA[[#This Row],[Investment_Amount]]*0.18*25</f>
        <v>19936853.999999996</v>
      </c>
    </row>
    <row r="969" spans="1:13" x14ac:dyDescent="0.25">
      <c r="A969" t="s">
        <v>1781</v>
      </c>
      <c r="B969" t="s">
        <v>11</v>
      </c>
      <c r="C969">
        <v>51</v>
      </c>
      <c r="D969" t="s">
        <v>12</v>
      </c>
      <c r="E969" t="s">
        <v>57</v>
      </c>
      <c r="F969" t="s">
        <v>30</v>
      </c>
      <c r="G969">
        <v>2090942</v>
      </c>
      <c r="H969">
        <f t="shared" ca="1" si="15"/>
        <v>74</v>
      </c>
      <c r="I969">
        <v>34.770000000000003</v>
      </c>
      <c r="J969">
        <v>-4.29</v>
      </c>
      <c r="K969" t="s">
        <v>1782</v>
      </c>
      <c r="L969">
        <f>_INVESTEMENTDATA[[#This Row],[Investment_Amount]]*0.18</f>
        <v>376369.56</v>
      </c>
      <c r="M969">
        <f>_INVESTEMENTDATA[[#This Row],[Investment_Amount]]*0.18*25</f>
        <v>9409239</v>
      </c>
    </row>
    <row r="970" spans="1:13" x14ac:dyDescent="0.25">
      <c r="A970" t="s">
        <v>1783</v>
      </c>
      <c r="B970" t="s">
        <v>11</v>
      </c>
      <c r="C970">
        <v>26</v>
      </c>
      <c r="D970" t="s">
        <v>18</v>
      </c>
      <c r="E970" t="s">
        <v>29</v>
      </c>
      <c r="F970" t="s">
        <v>41</v>
      </c>
      <c r="G970">
        <v>4703453</v>
      </c>
      <c r="H970">
        <f t="shared" ca="1" si="15"/>
        <v>26</v>
      </c>
      <c r="I970">
        <v>24.15</v>
      </c>
      <c r="J970">
        <v>-0.94</v>
      </c>
      <c r="K970" t="s">
        <v>686</v>
      </c>
      <c r="L970">
        <f>_INVESTEMENTDATA[[#This Row],[Investment_Amount]]*0.18</f>
        <v>846621.53999999992</v>
      </c>
      <c r="M970">
        <f>_INVESTEMENTDATA[[#This Row],[Investment_Amount]]*0.18*25</f>
        <v>21165538.499999996</v>
      </c>
    </row>
    <row r="971" spans="1:13" x14ac:dyDescent="0.25">
      <c r="A971" t="s">
        <v>1784</v>
      </c>
      <c r="B971" t="s">
        <v>11</v>
      </c>
      <c r="C971">
        <v>28</v>
      </c>
      <c r="D971" t="s">
        <v>46</v>
      </c>
      <c r="E971" t="s">
        <v>13</v>
      </c>
      <c r="F971" t="s">
        <v>14</v>
      </c>
      <c r="G971">
        <v>1944590</v>
      </c>
      <c r="H971">
        <f t="shared" ca="1" si="15"/>
        <v>50</v>
      </c>
      <c r="I971">
        <v>6.84</v>
      </c>
      <c r="J971">
        <v>34.54</v>
      </c>
      <c r="K971" t="s">
        <v>1785</v>
      </c>
      <c r="L971">
        <f>_INVESTEMENTDATA[[#This Row],[Investment_Amount]]*0.18</f>
        <v>350026.2</v>
      </c>
      <c r="M971">
        <f>_INVESTEMENTDATA[[#This Row],[Investment_Amount]]*0.18*25</f>
        <v>8750655</v>
      </c>
    </row>
    <row r="972" spans="1:13" x14ac:dyDescent="0.25">
      <c r="A972" t="s">
        <v>1786</v>
      </c>
      <c r="B972" t="s">
        <v>17</v>
      </c>
      <c r="C972">
        <v>30</v>
      </c>
      <c r="D972" t="s">
        <v>46</v>
      </c>
      <c r="E972" t="s">
        <v>50</v>
      </c>
      <c r="F972" t="s">
        <v>35</v>
      </c>
      <c r="G972">
        <v>3665680</v>
      </c>
      <c r="H972">
        <f t="shared" ca="1" si="15"/>
        <v>320</v>
      </c>
      <c r="I972">
        <v>29.78</v>
      </c>
      <c r="J972">
        <v>44.83</v>
      </c>
      <c r="K972" t="s">
        <v>301</v>
      </c>
      <c r="L972">
        <f>_INVESTEMENTDATA[[#This Row],[Investment_Amount]]*0.18</f>
        <v>659822.4</v>
      </c>
      <c r="M972">
        <f>_INVESTEMENTDATA[[#This Row],[Investment_Amount]]*0.18*25</f>
        <v>16495560</v>
      </c>
    </row>
    <row r="973" spans="1:13" x14ac:dyDescent="0.25">
      <c r="A973" t="s">
        <v>1787</v>
      </c>
      <c r="B973" t="s">
        <v>17</v>
      </c>
      <c r="C973">
        <v>27</v>
      </c>
      <c r="D973" t="s">
        <v>46</v>
      </c>
      <c r="E973" t="s">
        <v>19</v>
      </c>
      <c r="F973" t="s">
        <v>47</v>
      </c>
      <c r="G973">
        <v>4239353</v>
      </c>
      <c r="H973">
        <f t="shared" ca="1" si="15"/>
        <v>152</v>
      </c>
      <c r="I973">
        <v>7.1</v>
      </c>
      <c r="J973">
        <v>31.75</v>
      </c>
      <c r="K973" t="s">
        <v>72</v>
      </c>
      <c r="L973">
        <f>_INVESTEMENTDATA[[#This Row],[Investment_Amount]]*0.18</f>
        <v>763083.53999999992</v>
      </c>
      <c r="M973">
        <f>_INVESTEMENTDATA[[#This Row],[Investment_Amount]]*0.18*25</f>
        <v>19077088.499999996</v>
      </c>
    </row>
    <row r="974" spans="1:13" x14ac:dyDescent="0.25">
      <c r="A974" t="s">
        <v>1788</v>
      </c>
      <c r="B974" t="s">
        <v>17</v>
      </c>
      <c r="C974">
        <v>61</v>
      </c>
      <c r="D974" t="s">
        <v>38</v>
      </c>
      <c r="E974" t="s">
        <v>23</v>
      </c>
      <c r="F974" t="s">
        <v>30</v>
      </c>
      <c r="G974">
        <v>4599920</v>
      </c>
      <c r="H974">
        <f t="shared" ca="1" si="15"/>
        <v>282</v>
      </c>
      <c r="I974">
        <v>9.23</v>
      </c>
      <c r="J974">
        <v>5.91</v>
      </c>
      <c r="K974" t="s">
        <v>1789</v>
      </c>
      <c r="L974">
        <f>_INVESTEMENTDATA[[#This Row],[Investment_Amount]]*0.18</f>
        <v>827985.6</v>
      </c>
      <c r="M974">
        <f>_INVESTEMENTDATA[[#This Row],[Investment_Amount]]*0.18*25</f>
        <v>20699640</v>
      </c>
    </row>
    <row r="975" spans="1:13" x14ac:dyDescent="0.25">
      <c r="A975" t="s">
        <v>1790</v>
      </c>
      <c r="B975" t="s">
        <v>17</v>
      </c>
      <c r="C975">
        <v>49</v>
      </c>
      <c r="D975" t="s">
        <v>38</v>
      </c>
      <c r="E975" t="s">
        <v>19</v>
      </c>
      <c r="F975" t="s">
        <v>35</v>
      </c>
      <c r="G975">
        <v>2015113</v>
      </c>
      <c r="H975">
        <f t="shared" ca="1" si="15"/>
        <v>135</v>
      </c>
      <c r="I975">
        <v>8.1999999999999993</v>
      </c>
      <c r="J975">
        <v>40.57</v>
      </c>
      <c r="K975" t="s">
        <v>1159</v>
      </c>
      <c r="L975">
        <f>_INVESTEMENTDATA[[#This Row],[Investment_Amount]]*0.18</f>
        <v>362720.33999999997</v>
      </c>
      <c r="M975">
        <f>_INVESTEMENTDATA[[#This Row],[Investment_Amount]]*0.18*25</f>
        <v>9068008.5</v>
      </c>
    </row>
    <row r="976" spans="1:13" x14ac:dyDescent="0.25">
      <c r="A976" t="s">
        <v>1791</v>
      </c>
      <c r="B976" t="s">
        <v>17</v>
      </c>
      <c r="C976">
        <v>34</v>
      </c>
      <c r="D976" t="s">
        <v>18</v>
      </c>
      <c r="E976" t="s">
        <v>19</v>
      </c>
      <c r="F976" t="s">
        <v>35</v>
      </c>
      <c r="G976">
        <v>1868624</v>
      </c>
      <c r="H976">
        <f t="shared" ca="1" si="15"/>
        <v>232</v>
      </c>
      <c r="I976">
        <v>15.98</v>
      </c>
      <c r="J976">
        <v>8.69</v>
      </c>
      <c r="K976" t="s">
        <v>664</v>
      </c>
      <c r="L976">
        <f>_INVESTEMENTDATA[[#This Row],[Investment_Amount]]*0.18</f>
        <v>336352.32</v>
      </c>
      <c r="M976">
        <f>_INVESTEMENTDATA[[#This Row],[Investment_Amount]]*0.18*25</f>
        <v>8408808</v>
      </c>
    </row>
    <row r="977" spans="1:13" x14ac:dyDescent="0.25">
      <c r="A977" t="s">
        <v>1792</v>
      </c>
      <c r="B977" t="s">
        <v>11</v>
      </c>
      <c r="C977">
        <v>50</v>
      </c>
      <c r="D977" t="s">
        <v>46</v>
      </c>
      <c r="E977" t="s">
        <v>29</v>
      </c>
      <c r="F977" t="s">
        <v>41</v>
      </c>
      <c r="G977">
        <v>2288223</v>
      </c>
      <c r="H977">
        <f t="shared" ca="1" si="15"/>
        <v>337</v>
      </c>
      <c r="I977">
        <v>8.1999999999999993</v>
      </c>
      <c r="J977">
        <v>25.27</v>
      </c>
      <c r="K977" t="s">
        <v>1793</v>
      </c>
      <c r="L977">
        <f>_INVESTEMENTDATA[[#This Row],[Investment_Amount]]*0.18</f>
        <v>411880.13999999996</v>
      </c>
      <c r="M977">
        <f>_INVESTEMENTDATA[[#This Row],[Investment_Amount]]*0.18*25</f>
        <v>10297003.499999998</v>
      </c>
    </row>
    <row r="978" spans="1:13" x14ac:dyDescent="0.25">
      <c r="A978" t="s">
        <v>1794</v>
      </c>
      <c r="B978" t="s">
        <v>17</v>
      </c>
      <c r="C978">
        <v>44</v>
      </c>
      <c r="D978" t="s">
        <v>12</v>
      </c>
      <c r="E978" t="s">
        <v>19</v>
      </c>
      <c r="F978" t="s">
        <v>41</v>
      </c>
      <c r="G978">
        <v>3718739</v>
      </c>
      <c r="H978">
        <f t="shared" ca="1" si="15"/>
        <v>17</v>
      </c>
      <c r="I978">
        <v>19.010000000000002</v>
      </c>
      <c r="J978">
        <v>9.85</v>
      </c>
      <c r="K978" t="s">
        <v>1795</v>
      </c>
      <c r="L978">
        <f>_INVESTEMENTDATA[[#This Row],[Investment_Amount]]*0.18</f>
        <v>669373.02</v>
      </c>
      <c r="M978">
        <f>_INVESTEMENTDATA[[#This Row],[Investment_Amount]]*0.18*25</f>
        <v>16734325.5</v>
      </c>
    </row>
    <row r="979" spans="1:13" x14ac:dyDescent="0.25">
      <c r="A979" t="s">
        <v>1796</v>
      </c>
      <c r="B979" t="s">
        <v>17</v>
      </c>
      <c r="C979">
        <v>30</v>
      </c>
      <c r="D979" t="s">
        <v>38</v>
      </c>
      <c r="E979" t="s">
        <v>50</v>
      </c>
      <c r="F979" t="s">
        <v>30</v>
      </c>
      <c r="G979">
        <v>2234729</v>
      </c>
      <c r="H979">
        <f t="shared" ca="1" si="15"/>
        <v>262</v>
      </c>
      <c r="I979">
        <v>14.65</v>
      </c>
      <c r="J979">
        <v>19.7</v>
      </c>
      <c r="K979" t="s">
        <v>1797</v>
      </c>
      <c r="L979">
        <f>_INVESTEMENTDATA[[#This Row],[Investment_Amount]]*0.18</f>
        <v>402251.22</v>
      </c>
      <c r="M979">
        <f>_INVESTEMENTDATA[[#This Row],[Investment_Amount]]*0.18*25</f>
        <v>10056280.5</v>
      </c>
    </row>
    <row r="980" spans="1:13" x14ac:dyDescent="0.25">
      <c r="A980" t="s">
        <v>1798</v>
      </c>
      <c r="B980" t="s">
        <v>11</v>
      </c>
      <c r="C980">
        <v>58</v>
      </c>
      <c r="D980" t="s">
        <v>46</v>
      </c>
      <c r="E980" t="s">
        <v>23</v>
      </c>
      <c r="F980" t="s">
        <v>30</v>
      </c>
      <c r="G980">
        <v>3812762</v>
      </c>
      <c r="H980">
        <f t="shared" ca="1" si="15"/>
        <v>76</v>
      </c>
      <c r="I980">
        <v>22.39</v>
      </c>
      <c r="J980">
        <v>41.71</v>
      </c>
      <c r="K980" t="s">
        <v>1692</v>
      </c>
      <c r="L980">
        <f>_INVESTEMENTDATA[[#This Row],[Investment_Amount]]*0.18</f>
        <v>686297.16</v>
      </c>
      <c r="M980">
        <f>_INVESTEMENTDATA[[#This Row],[Investment_Amount]]*0.18*25</f>
        <v>17157429</v>
      </c>
    </row>
    <row r="981" spans="1:13" x14ac:dyDescent="0.25">
      <c r="A981" t="s">
        <v>1799</v>
      </c>
      <c r="B981" t="s">
        <v>11</v>
      </c>
      <c r="C981">
        <v>32</v>
      </c>
      <c r="D981" t="s">
        <v>28</v>
      </c>
      <c r="E981" t="s">
        <v>57</v>
      </c>
      <c r="F981" t="s">
        <v>14</v>
      </c>
      <c r="G981">
        <v>3449917</v>
      </c>
      <c r="H981">
        <f t="shared" ca="1" si="15"/>
        <v>182</v>
      </c>
      <c r="I981">
        <v>27.68</v>
      </c>
      <c r="J981">
        <v>1.38</v>
      </c>
      <c r="K981" t="s">
        <v>1800</v>
      </c>
      <c r="L981">
        <f>_INVESTEMENTDATA[[#This Row],[Investment_Amount]]*0.18</f>
        <v>620985.05999999994</v>
      </c>
      <c r="M981">
        <f>_INVESTEMENTDATA[[#This Row],[Investment_Amount]]*0.18*25</f>
        <v>15524626.499999998</v>
      </c>
    </row>
    <row r="982" spans="1:13" x14ac:dyDescent="0.25">
      <c r="A982" t="s">
        <v>1801</v>
      </c>
      <c r="B982" t="s">
        <v>17</v>
      </c>
      <c r="C982">
        <v>25</v>
      </c>
      <c r="D982" t="s">
        <v>12</v>
      </c>
      <c r="E982" t="s">
        <v>29</v>
      </c>
      <c r="F982" t="s">
        <v>14</v>
      </c>
      <c r="G982">
        <v>1227506</v>
      </c>
      <c r="H982">
        <f t="shared" ca="1" si="15"/>
        <v>153</v>
      </c>
      <c r="I982">
        <v>33.26</v>
      </c>
      <c r="J982">
        <v>30.16</v>
      </c>
      <c r="K982" t="s">
        <v>415</v>
      </c>
      <c r="L982">
        <f>_INVESTEMENTDATA[[#This Row],[Investment_Amount]]*0.18</f>
        <v>220951.08</v>
      </c>
      <c r="M982">
        <f>_INVESTEMENTDATA[[#This Row],[Investment_Amount]]*0.18*25</f>
        <v>5523777</v>
      </c>
    </row>
    <row r="983" spans="1:13" x14ac:dyDescent="0.25">
      <c r="A983" t="s">
        <v>1802</v>
      </c>
      <c r="B983" t="s">
        <v>17</v>
      </c>
      <c r="C983">
        <v>25</v>
      </c>
      <c r="D983" t="s">
        <v>12</v>
      </c>
      <c r="E983" t="s">
        <v>50</v>
      </c>
      <c r="F983" t="s">
        <v>30</v>
      </c>
      <c r="G983">
        <v>1094431</v>
      </c>
      <c r="H983">
        <f t="shared" ca="1" si="15"/>
        <v>47</v>
      </c>
      <c r="I983">
        <v>25.51</v>
      </c>
      <c r="J983">
        <v>16.96</v>
      </c>
      <c r="K983" t="s">
        <v>948</v>
      </c>
      <c r="L983">
        <f>_INVESTEMENTDATA[[#This Row],[Investment_Amount]]*0.18</f>
        <v>196997.58</v>
      </c>
      <c r="M983">
        <f>_INVESTEMENTDATA[[#This Row],[Investment_Amount]]*0.18*25</f>
        <v>4924939.5</v>
      </c>
    </row>
    <row r="984" spans="1:13" x14ac:dyDescent="0.25">
      <c r="A984" t="s">
        <v>1803</v>
      </c>
      <c r="B984" t="s">
        <v>11</v>
      </c>
      <c r="C984">
        <v>43</v>
      </c>
      <c r="D984" t="s">
        <v>18</v>
      </c>
      <c r="E984" t="s">
        <v>57</v>
      </c>
      <c r="F984" t="s">
        <v>20</v>
      </c>
      <c r="G984">
        <v>351987</v>
      </c>
      <c r="H984">
        <f t="shared" ca="1" si="15"/>
        <v>265</v>
      </c>
      <c r="I984">
        <v>6.2</v>
      </c>
      <c r="J984">
        <v>39.65</v>
      </c>
      <c r="K984" t="s">
        <v>1804</v>
      </c>
      <c r="L984">
        <f>_INVESTEMENTDATA[[#This Row],[Investment_Amount]]*0.18</f>
        <v>63357.659999999996</v>
      </c>
      <c r="M984">
        <f>_INVESTEMENTDATA[[#This Row],[Investment_Amount]]*0.18*25</f>
        <v>1583941.5</v>
      </c>
    </row>
    <row r="985" spans="1:13" x14ac:dyDescent="0.25">
      <c r="A985" t="s">
        <v>1805</v>
      </c>
      <c r="B985" t="s">
        <v>17</v>
      </c>
      <c r="C985">
        <v>42</v>
      </c>
      <c r="D985" t="s">
        <v>12</v>
      </c>
      <c r="E985" t="s">
        <v>50</v>
      </c>
      <c r="F985" t="s">
        <v>35</v>
      </c>
      <c r="G985">
        <v>3974184</v>
      </c>
      <c r="H985">
        <f t="shared" ca="1" si="15"/>
        <v>9</v>
      </c>
      <c r="I985">
        <v>19.16</v>
      </c>
      <c r="J985">
        <v>33.450000000000003</v>
      </c>
      <c r="K985" t="s">
        <v>1806</v>
      </c>
      <c r="L985">
        <f>_INVESTEMENTDATA[[#This Row],[Investment_Amount]]*0.18</f>
        <v>715353.12</v>
      </c>
      <c r="M985">
        <f>_INVESTEMENTDATA[[#This Row],[Investment_Amount]]*0.18*25</f>
        <v>17883828</v>
      </c>
    </row>
    <row r="986" spans="1:13" x14ac:dyDescent="0.25">
      <c r="A986" t="s">
        <v>1807</v>
      </c>
      <c r="B986" t="s">
        <v>11</v>
      </c>
      <c r="C986">
        <v>26</v>
      </c>
      <c r="D986" t="s">
        <v>46</v>
      </c>
      <c r="E986" t="s">
        <v>50</v>
      </c>
      <c r="F986" t="s">
        <v>20</v>
      </c>
      <c r="G986">
        <v>3470711</v>
      </c>
      <c r="H986">
        <f t="shared" ca="1" si="15"/>
        <v>143</v>
      </c>
      <c r="I986">
        <v>21.18</v>
      </c>
      <c r="J986">
        <v>17.579999999999998</v>
      </c>
      <c r="K986" t="s">
        <v>1808</v>
      </c>
      <c r="L986">
        <f>_INVESTEMENTDATA[[#This Row],[Investment_Amount]]*0.18</f>
        <v>624727.98</v>
      </c>
      <c r="M986">
        <f>_INVESTEMENTDATA[[#This Row],[Investment_Amount]]*0.18*25</f>
        <v>15618199.5</v>
      </c>
    </row>
    <row r="987" spans="1:13" x14ac:dyDescent="0.25">
      <c r="A987" t="s">
        <v>1809</v>
      </c>
      <c r="B987" t="s">
        <v>17</v>
      </c>
      <c r="C987">
        <v>26</v>
      </c>
      <c r="D987" t="s">
        <v>12</v>
      </c>
      <c r="E987" t="s">
        <v>29</v>
      </c>
      <c r="F987" t="s">
        <v>30</v>
      </c>
      <c r="G987">
        <v>4233806</v>
      </c>
      <c r="H987">
        <f t="shared" ca="1" si="15"/>
        <v>51</v>
      </c>
      <c r="I987">
        <v>6</v>
      </c>
      <c r="J987">
        <v>3.6</v>
      </c>
      <c r="K987" t="s">
        <v>992</v>
      </c>
      <c r="L987">
        <f>_INVESTEMENTDATA[[#This Row],[Investment_Amount]]*0.18</f>
        <v>762085.08</v>
      </c>
      <c r="M987">
        <f>_INVESTEMENTDATA[[#This Row],[Investment_Amount]]*0.18*25</f>
        <v>19052127</v>
      </c>
    </row>
    <row r="988" spans="1:13" x14ac:dyDescent="0.25">
      <c r="A988" t="s">
        <v>1810</v>
      </c>
      <c r="B988" t="s">
        <v>11</v>
      </c>
      <c r="C988">
        <v>34</v>
      </c>
      <c r="D988" t="s">
        <v>12</v>
      </c>
      <c r="E988" t="s">
        <v>29</v>
      </c>
      <c r="F988" t="s">
        <v>35</v>
      </c>
      <c r="G988">
        <v>3981794</v>
      </c>
      <c r="H988">
        <f t="shared" ca="1" si="15"/>
        <v>330</v>
      </c>
      <c r="I988">
        <v>13.1</v>
      </c>
      <c r="J988">
        <v>-0.28999999999999998</v>
      </c>
      <c r="K988" t="s">
        <v>1524</v>
      </c>
      <c r="L988">
        <f>_INVESTEMENTDATA[[#This Row],[Investment_Amount]]*0.18</f>
        <v>716722.91999999993</v>
      </c>
      <c r="M988">
        <f>_INVESTEMENTDATA[[#This Row],[Investment_Amount]]*0.18*25</f>
        <v>17918073</v>
      </c>
    </row>
    <row r="989" spans="1:13" x14ac:dyDescent="0.25">
      <c r="A989" t="s">
        <v>1811</v>
      </c>
      <c r="B989" t="s">
        <v>17</v>
      </c>
      <c r="C989">
        <v>42</v>
      </c>
      <c r="D989" t="s">
        <v>18</v>
      </c>
      <c r="E989" t="s">
        <v>50</v>
      </c>
      <c r="F989" t="s">
        <v>41</v>
      </c>
      <c r="G989">
        <v>1431071</v>
      </c>
      <c r="H989">
        <f t="shared" ca="1" si="15"/>
        <v>272</v>
      </c>
      <c r="I989">
        <v>30.32</v>
      </c>
      <c r="J989">
        <v>30.69</v>
      </c>
      <c r="K989" t="s">
        <v>44</v>
      </c>
      <c r="L989">
        <f>_INVESTEMENTDATA[[#This Row],[Investment_Amount]]*0.18</f>
        <v>257592.78</v>
      </c>
      <c r="M989">
        <f>_INVESTEMENTDATA[[#This Row],[Investment_Amount]]*0.18*25</f>
        <v>6439819.5</v>
      </c>
    </row>
    <row r="990" spans="1:13" x14ac:dyDescent="0.25">
      <c r="A990" t="s">
        <v>1812</v>
      </c>
      <c r="B990" t="s">
        <v>17</v>
      </c>
      <c r="C990">
        <v>42</v>
      </c>
      <c r="D990" t="s">
        <v>46</v>
      </c>
      <c r="E990" t="s">
        <v>19</v>
      </c>
      <c r="F990" t="s">
        <v>14</v>
      </c>
      <c r="G990">
        <v>1950677</v>
      </c>
      <c r="H990">
        <f t="shared" ca="1" si="15"/>
        <v>254</v>
      </c>
      <c r="I990">
        <v>22.15</v>
      </c>
      <c r="J990">
        <v>-4.07</v>
      </c>
      <c r="K990" t="s">
        <v>700</v>
      </c>
      <c r="L990">
        <f>_INVESTEMENTDATA[[#This Row],[Investment_Amount]]*0.18</f>
        <v>351121.86</v>
      </c>
      <c r="M990">
        <f>_INVESTEMENTDATA[[#This Row],[Investment_Amount]]*0.18*25</f>
        <v>8778046.5</v>
      </c>
    </row>
    <row r="991" spans="1:13" x14ac:dyDescent="0.25">
      <c r="A991" t="s">
        <v>1813</v>
      </c>
      <c r="B991" t="s">
        <v>11</v>
      </c>
      <c r="C991">
        <v>59</v>
      </c>
      <c r="D991" t="s">
        <v>12</v>
      </c>
      <c r="E991" t="s">
        <v>57</v>
      </c>
      <c r="F991" t="s">
        <v>14</v>
      </c>
      <c r="G991">
        <v>1894159</v>
      </c>
      <c r="H991">
        <f t="shared" ca="1" si="15"/>
        <v>27</v>
      </c>
      <c r="I991">
        <v>34.1</v>
      </c>
      <c r="J991">
        <v>21.6</v>
      </c>
      <c r="K991" t="s">
        <v>305</v>
      </c>
      <c r="L991">
        <f>_INVESTEMENTDATA[[#This Row],[Investment_Amount]]*0.18</f>
        <v>340948.62</v>
      </c>
      <c r="M991">
        <f>_INVESTEMENTDATA[[#This Row],[Investment_Amount]]*0.18*25</f>
        <v>8523715.5</v>
      </c>
    </row>
    <row r="992" spans="1:13" x14ac:dyDescent="0.25">
      <c r="A992" t="s">
        <v>1814</v>
      </c>
      <c r="B992" t="s">
        <v>17</v>
      </c>
      <c r="C992">
        <v>57</v>
      </c>
      <c r="D992" t="s">
        <v>12</v>
      </c>
      <c r="E992" t="s">
        <v>23</v>
      </c>
      <c r="F992" t="s">
        <v>14</v>
      </c>
      <c r="G992">
        <v>3273246</v>
      </c>
      <c r="H992">
        <f t="shared" ca="1" si="15"/>
        <v>82</v>
      </c>
      <c r="I992">
        <v>29.67</v>
      </c>
      <c r="J992">
        <v>-2.64</v>
      </c>
      <c r="K992" t="s">
        <v>794</v>
      </c>
      <c r="L992">
        <f>_INVESTEMENTDATA[[#This Row],[Investment_Amount]]*0.18</f>
        <v>589184.28</v>
      </c>
      <c r="M992">
        <f>_INVESTEMENTDATA[[#This Row],[Investment_Amount]]*0.18*25</f>
        <v>14729607</v>
      </c>
    </row>
    <row r="993" spans="1:13" x14ac:dyDescent="0.25">
      <c r="A993" t="s">
        <v>1815</v>
      </c>
      <c r="B993" t="s">
        <v>11</v>
      </c>
      <c r="C993">
        <v>45</v>
      </c>
      <c r="D993" t="s">
        <v>38</v>
      </c>
      <c r="E993" t="s">
        <v>29</v>
      </c>
      <c r="F993" t="s">
        <v>35</v>
      </c>
      <c r="G993">
        <v>2280456</v>
      </c>
      <c r="H993">
        <f t="shared" ca="1" si="15"/>
        <v>41</v>
      </c>
      <c r="I993">
        <v>33.01</v>
      </c>
      <c r="J993">
        <v>28.42</v>
      </c>
      <c r="K993" t="s">
        <v>1816</v>
      </c>
      <c r="L993">
        <f>_INVESTEMENTDATA[[#This Row],[Investment_Amount]]*0.18</f>
        <v>410482.07999999996</v>
      </c>
      <c r="M993">
        <f>_INVESTEMENTDATA[[#This Row],[Investment_Amount]]*0.18*25</f>
        <v>10262051.999999998</v>
      </c>
    </row>
    <row r="994" spans="1:13" x14ac:dyDescent="0.25">
      <c r="A994" t="s">
        <v>1817</v>
      </c>
      <c r="B994" t="s">
        <v>11</v>
      </c>
      <c r="C994">
        <v>40</v>
      </c>
      <c r="D994" t="s">
        <v>18</v>
      </c>
      <c r="E994" t="s">
        <v>50</v>
      </c>
      <c r="F994" t="s">
        <v>35</v>
      </c>
      <c r="G994">
        <v>3205002</v>
      </c>
      <c r="H994">
        <f t="shared" ca="1" si="15"/>
        <v>106</v>
      </c>
      <c r="I994">
        <v>18.12</v>
      </c>
      <c r="J994">
        <v>7.34</v>
      </c>
      <c r="K994" t="s">
        <v>1818</v>
      </c>
      <c r="L994">
        <f>_INVESTEMENTDATA[[#This Row],[Investment_Amount]]*0.18</f>
        <v>576900.36</v>
      </c>
      <c r="M994">
        <f>_INVESTEMENTDATA[[#This Row],[Investment_Amount]]*0.18*25</f>
        <v>14422509</v>
      </c>
    </row>
    <row r="995" spans="1:13" x14ac:dyDescent="0.25">
      <c r="A995" t="s">
        <v>1819</v>
      </c>
      <c r="B995" t="s">
        <v>17</v>
      </c>
      <c r="C995">
        <v>50</v>
      </c>
      <c r="D995" t="s">
        <v>18</v>
      </c>
      <c r="E995" t="s">
        <v>57</v>
      </c>
      <c r="F995" t="s">
        <v>30</v>
      </c>
      <c r="G995">
        <v>461838</v>
      </c>
      <c r="H995">
        <f t="shared" ca="1" si="15"/>
        <v>169</v>
      </c>
      <c r="I995">
        <v>5.17</v>
      </c>
      <c r="J995">
        <v>4.7699999999999996</v>
      </c>
      <c r="K995" t="s">
        <v>1820</v>
      </c>
      <c r="L995">
        <f>_INVESTEMENTDATA[[#This Row],[Investment_Amount]]*0.18</f>
        <v>83130.84</v>
      </c>
      <c r="M995">
        <f>_INVESTEMENTDATA[[#This Row],[Investment_Amount]]*0.18*25</f>
        <v>2078271</v>
      </c>
    </row>
    <row r="996" spans="1:13" x14ac:dyDescent="0.25">
      <c r="A996" t="s">
        <v>1821</v>
      </c>
      <c r="B996" t="s">
        <v>11</v>
      </c>
      <c r="C996">
        <v>40</v>
      </c>
      <c r="D996" t="s">
        <v>12</v>
      </c>
      <c r="E996" t="s">
        <v>29</v>
      </c>
      <c r="F996" t="s">
        <v>35</v>
      </c>
      <c r="G996">
        <v>3088690</v>
      </c>
      <c r="H996">
        <f t="shared" ca="1" si="15"/>
        <v>256</v>
      </c>
      <c r="I996">
        <v>31.26</v>
      </c>
      <c r="J996">
        <v>9.75</v>
      </c>
      <c r="K996" t="s">
        <v>1822</v>
      </c>
      <c r="L996">
        <f>_INVESTEMENTDATA[[#This Row],[Investment_Amount]]*0.18</f>
        <v>555964.19999999995</v>
      </c>
      <c r="M996">
        <f>_INVESTEMENTDATA[[#This Row],[Investment_Amount]]*0.18*25</f>
        <v>13899104.999999998</v>
      </c>
    </row>
    <row r="997" spans="1:13" x14ac:dyDescent="0.25">
      <c r="A997" t="s">
        <v>1823</v>
      </c>
      <c r="B997" t="s">
        <v>11</v>
      </c>
      <c r="C997">
        <v>23</v>
      </c>
      <c r="D997" t="s">
        <v>46</v>
      </c>
      <c r="E997" t="s">
        <v>13</v>
      </c>
      <c r="F997" t="s">
        <v>47</v>
      </c>
      <c r="G997">
        <v>2778015</v>
      </c>
      <c r="H997">
        <f t="shared" ca="1" si="15"/>
        <v>198</v>
      </c>
      <c r="I997">
        <v>19.309999999999999</v>
      </c>
      <c r="J997">
        <v>0.6</v>
      </c>
      <c r="K997" t="s">
        <v>990</v>
      </c>
      <c r="L997">
        <f>_INVESTEMENTDATA[[#This Row],[Investment_Amount]]*0.18</f>
        <v>500042.69999999995</v>
      </c>
      <c r="M997">
        <f>_INVESTEMENTDATA[[#This Row],[Investment_Amount]]*0.18*25</f>
        <v>12501067.499999998</v>
      </c>
    </row>
    <row r="998" spans="1:13" x14ac:dyDescent="0.25">
      <c r="A998" t="s">
        <v>1824</v>
      </c>
      <c r="B998" t="s">
        <v>17</v>
      </c>
      <c r="C998">
        <v>27</v>
      </c>
      <c r="D998" t="s">
        <v>38</v>
      </c>
      <c r="E998" t="s">
        <v>50</v>
      </c>
      <c r="F998" t="s">
        <v>20</v>
      </c>
      <c r="G998">
        <v>1365112</v>
      </c>
      <c r="H998">
        <f t="shared" ca="1" si="15"/>
        <v>115</v>
      </c>
      <c r="I998">
        <v>18.66</v>
      </c>
      <c r="J998">
        <v>2.75</v>
      </c>
      <c r="K998" t="s">
        <v>1825</v>
      </c>
      <c r="L998">
        <f>_INVESTEMENTDATA[[#This Row],[Investment_Amount]]*0.18</f>
        <v>245720.16</v>
      </c>
      <c r="M998">
        <f>_INVESTEMENTDATA[[#This Row],[Investment_Amount]]*0.18*25</f>
        <v>6143004</v>
      </c>
    </row>
    <row r="999" spans="1:13" x14ac:dyDescent="0.25">
      <c r="A999" t="s">
        <v>1826</v>
      </c>
      <c r="B999" t="s">
        <v>17</v>
      </c>
      <c r="C999">
        <v>24</v>
      </c>
      <c r="D999" t="s">
        <v>18</v>
      </c>
      <c r="E999" t="s">
        <v>13</v>
      </c>
      <c r="F999" t="s">
        <v>30</v>
      </c>
      <c r="G999">
        <v>3425699</v>
      </c>
      <c r="H999">
        <f t="shared" ca="1" si="15"/>
        <v>27</v>
      </c>
      <c r="I999">
        <v>27.43</v>
      </c>
      <c r="J999">
        <v>2.3199999999999998</v>
      </c>
      <c r="K999" t="s">
        <v>1827</v>
      </c>
      <c r="L999">
        <f>_INVESTEMENTDATA[[#This Row],[Investment_Amount]]*0.18</f>
        <v>616625.81999999995</v>
      </c>
      <c r="M999">
        <f>_INVESTEMENTDATA[[#This Row],[Investment_Amount]]*0.18*25</f>
        <v>15415645.499999998</v>
      </c>
    </row>
    <row r="1000" spans="1:13" x14ac:dyDescent="0.25">
      <c r="A1000" t="s">
        <v>1828</v>
      </c>
      <c r="B1000" t="s">
        <v>17</v>
      </c>
      <c r="C1000">
        <v>47</v>
      </c>
      <c r="D1000" t="s">
        <v>46</v>
      </c>
      <c r="E1000" t="s">
        <v>57</v>
      </c>
      <c r="F1000" t="s">
        <v>14</v>
      </c>
      <c r="G1000">
        <v>4818952</v>
      </c>
      <c r="H1000">
        <f t="shared" ca="1" si="15"/>
        <v>309</v>
      </c>
      <c r="I1000">
        <v>13.61</v>
      </c>
      <c r="J1000">
        <v>-4.5599999999999996</v>
      </c>
      <c r="K1000" t="s">
        <v>1250</v>
      </c>
      <c r="L1000">
        <f>_INVESTEMENTDATA[[#This Row],[Investment_Amount]]*0.18</f>
        <v>867411.36</v>
      </c>
      <c r="M1000">
        <f>_INVESTEMENTDATA[[#This Row],[Investment_Amount]]*0.18*25</f>
        <v>21685284</v>
      </c>
    </row>
    <row r="1001" spans="1:13" x14ac:dyDescent="0.25">
      <c r="A1001" t="s">
        <v>1829</v>
      </c>
      <c r="B1001" t="s">
        <v>11</v>
      </c>
      <c r="C1001">
        <v>63</v>
      </c>
      <c r="D1001" t="s">
        <v>28</v>
      </c>
      <c r="E1001" t="s">
        <v>50</v>
      </c>
      <c r="F1001" t="s">
        <v>35</v>
      </c>
      <c r="G1001">
        <v>3051370</v>
      </c>
      <c r="H1001">
        <f t="shared" ca="1" si="15"/>
        <v>277</v>
      </c>
      <c r="I1001">
        <v>13.65</v>
      </c>
      <c r="J1001">
        <v>40.840000000000003</v>
      </c>
      <c r="K1001" t="s">
        <v>1830</v>
      </c>
      <c r="L1001">
        <f>_INVESTEMENTDATA[[#This Row],[Investment_Amount]]*0.18</f>
        <v>549246.6</v>
      </c>
      <c r="M1001">
        <f>_INVESTEMENTDATA[[#This Row],[Investment_Amount]]*0.18*25</f>
        <v>13731165</v>
      </c>
    </row>
    <row r="1002" spans="1:13" x14ac:dyDescent="0.25">
      <c r="A1002" t="s">
        <v>1831</v>
      </c>
      <c r="F1002">
        <f>SUBTOTAL(103,_INVESTEMENTDATA[Region])</f>
        <v>1000</v>
      </c>
      <c r="G1002">
        <f>SUBTOTAL(109,_INVESTEMENTDATA[Investment_Amount])</f>
        <v>2542016533</v>
      </c>
      <c r="I1002">
        <f>SUBTOTAL(101,_INVESTEMENTDATA[Expected_Return_%])</f>
        <v>20.442479999999996</v>
      </c>
      <c r="K1002">
        <f>SUBTOTAL(103,_INVESTEMENTDATA[Investment_Date])</f>
        <v>1000</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D63D94-AFB1-489F-8F9E-F111102115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SUMMARIES</vt:lpstr>
      <vt:lpstr>DASHBOARD</vt:lpstr>
      <vt:lpstr>_INVESTEMENTDATA_</vt:lpstr>
      <vt:lpstr>_INVESTEMENTDATA</vt:lpstr>
      <vt:lpstr>Investment_Data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Mojisola Ogundeji</cp:lastModifiedBy>
  <dcterms:created xsi:type="dcterms:W3CDTF">2025-12-06T17:21:05Z</dcterms:created>
  <dcterms:modified xsi:type="dcterms:W3CDTF">2026-01-17T11:33:09Z</dcterms:modified>
</cp:coreProperties>
</file>